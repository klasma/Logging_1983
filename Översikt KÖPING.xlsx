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14810-2019</t>
        </is>
      </c>
      <c r="B2" s="1" t="n">
        <v>43539</v>
      </c>
      <c r="C2" s="1" t="n">
        <v>45270</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45270</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45270</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45270</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row>
    <row r="6" ht="15" customHeight="1">
      <c r="A6" t="inlineStr">
        <is>
          <t>A 19955-2019</t>
        </is>
      </c>
      <c r="B6" s="1" t="n">
        <v>43569</v>
      </c>
      <c r="C6" s="1" t="n">
        <v>45270</v>
      </c>
      <c r="D6" t="inlineStr">
        <is>
          <t>VÄSTMANLANDS LÄN</t>
        </is>
      </c>
      <c r="E6" t="inlineStr">
        <is>
          <t>KÖPING</t>
        </is>
      </c>
      <c r="F6" t="inlineStr">
        <is>
          <t>Sveaskog</t>
        </is>
      </c>
      <c r="G6" t="n">
        <v>2</v>
      </c>
      <c r="H6" t="n">
        <v>1</v>
      </c>
      <c r="I6" t="n">
        <v>0</v>
      </c>
      <c r="J6" t="n">
        <v>1</v>
      </c>
      <c r="K6" t="n">
        <v>0</v>
      </c>
      <c r="L6" t="n">
        <v>0</v>
      </c>
      <c r="M6" t="n">
        <v>0</v>
      </c>
      <c r="N6" t="n">
        <v>0</v>
      </c>
      <c r="O6" t="n">
        <v>1</v>
      </c>
      <c r="P6" t="n">
        <v>0</v>
      </c>
      <c r="Q6" t="n">
        <v>2</v>
      </c>
      <c r="R6" s="2" t="inlineStr">
        <is>
          <t>Skogsklocka
Grönvit nattviol</t>
        </is>
      </c>
      <c r="S6">
        <f>HYPERLINK("https://klasma.github.io/Logging_1983/artfynd/A 19955-2019 artfynd.xlsx", "A 19955-2019")</f>
        <v/>
      </c>
      <c r="T6">
        <f>HYPERLINK("https://klasma.github.io/Logging_1983/kartor/A 19955-2019 karta.png", "A 19955-2019")</f>
        <v/>
      </c>
      <c r="V6">
        <f>HYPERLINK("https://klasma.github.io/Logging_1983/klagomål/A 19955-2019 FSC-klagomål.docx", "A 19955-2019")</f>
        <v/>
      </c>
      <c r="W6">
        <f>HYPERLINK("https://klasma.github.io/Logging_1983/klagomålsmail/A 19955-2019 FSC-klagomål mail.docx", "A 19955-2019")</f>
        <v/>
      </c>
      <c r="X6">
        <f>HYPERLINK("https://klasma.github.io/Logging_1983/tillsyn/A 19955-2019 tillsynsbegäran.docx", "A 19955-2019")</f>
        <v/>
      </c>
      <c r="Y6">
        <f>HYPERLINK("https://klasma.github.io/Logging_1983/tillsynsmail/A 19955-2019 tillsynsbegäran mail.docx", "A 19955-2019")</f>
        <v/>
      </c>
    </row>
    <row r="7" ht="15" customHeight="1">
      <c r="A7" t="inlineStr">
        <is>
          <t>A 54277-2020</t>
        </is>
      </c>
      <c r="B7" s="1" t="n">
        <v>44126</v>
      </c>
      <c r="C7" s="1" t="n">
        <v>45270</v>
      </c>
      <c r="D7" t="inlineStr">
        <is>
          <t>VÄSTMANLANDS LÄN</t>
        </is>
      </c>
      <c r="E7" t="inlineStr">
        <is>
          <t>KÖPING</t>
        </is>
      </c>
      <c r="G7" t="n">
        <v>1.1</v>
      </c>
      <c r="H7" t="n">
        <v>0</v>
      </c>
      <c r="I7" t="n">
        <v>1</v>
      </c>
      <c r="J7" t="n">
        <v>1</v>
      </c>
      <c r="K7" t="n">
        <v>0</v>
      </c>
      <c r="L7" t="n">
        <v>0</v>
      </c>
      <c r="M7" t="n">
        <v>0</v>
      </c>
      <c r="N7" t="n">
        <v>0</v>
      </c>
      <c r="O7" t="n">
        <v>1</v>
      </c>
      <c r="P7" t="n">
        <v>0</v>
      </c>
      <c r="Q7" t="n">
        <v>2</v>
      </c>
      <c r="R7" s="2" t="inlineStr">
        <is>
          <t>Tallticka
Granbarkgnagare</t>
        </is>
      </c>
      <c r="S7">
        <f>HYPERLINK("https://klasma.github.io/Logging_1983/artfynd/A 54277-2020 artfynd.xlsx", "A 54277-2020")</f>
        <v/>
      </c>
      <c r="T7">
        <f>HYPERLINK("https://klasma.github.io/Logging_1983/kartor/A 54277-2020 karta.png", "A 54277-2020")</f>
        <v/>
      </c>
      <c r="V7">
        <f>HYPERLINK("https://klasma.github.io/Logging_1983/klagomål/A 54277-2020 FSC-klagomål.docx", "A 54277-2020")</f>
        <v/>
      </c>
      <c r="W7">
        <f>HYPERLINK("https://klasma.github.io/Logging_1983/klagomålsmail/A 54277-2020 FSC-klagomål mail.docx", "A 54277-2020")</f>
        <v/>
      </c>
      <c r="X7">
        <f>HYPERLINK("https://klasma.github.io/Logging_1983/tillsyn/A 54277-2020 tillsynsbegäran.docx", "A 54277-2020")</f>
        <v/>
      </c>
      <c r="Y7">
        <f>HYPERLINK("https://klasma.github.io/Logging_1983/tillsynsmail/A 54277-2020 tillsynsbegäran mail.docx", "A 54277-2020")</f>
        <v/>
      </c>
    </row>
    <row r="8" ht="15" customHeight="1">
      <c r="A8" t="inlineStr">
        <is>
          <t>A 26898-2021</t>
        </is>
      </c>
      <c r="B8" s="1" t="n">
        <v>44349</v>
      </c>
      <c r="C8" s="1" t="n">
        <v>45270</v>
      </c>
      <c r="D8" t="inlineStr">
        <is>
          <t>VÄSTMANLANDS LÄN</t>
        </is>
      </c>
      <c r="E8" t="inlineStr">
        <is>
          <t>KÖPING</t>
        </is>
      </c>
      <c r="G8" t="n">
        <v>11.9</v>
      </c>
      <c r="H8" t="n">
        <v>0</v>
      </c>
      <c r="I8" t="n">
        <v>0</v>
      </c>
      <c r="J8" t="n">
        <v>1</v>
      </c>
      <c r="K8" t="n">
        <v>1</v>
      </c>
      <c r="L8" t="n">
        <v>0</v>
      </c>
      <c r="M8" t="n">
        <v>0</v>
      </c>
      <c r="N8" t="n">
        <v>0</v>
      </c>
      <c r="O8" t="n">
        <v>2</v>
      </c>
      <c r="P8" t="n">
        <v>1</v>
      </c>
      <c r="Q8" t="n">
        <v>2</v>
      </c>
      <c r="R8" s="2" t="inlineStr">
        <is>
          <t>Rynkskinn
Ullticka</t>
        </is>
      </c>
      <c r="S8">
        <f>HYPERLINK("https://klasma.github.io/Logging_1983/artfynd/A 26898-2021 artfynd.xlsx", "A 26898-2021")</f>
        <v/>
      </c>
      <c r="T8">
        <f>HYPERLINK("https://klasma.github.io/Logging_1983/kartor/A 26898-2021 karta.png", "A 26898-2021")</f>
        <v/>
      </c>
      <c r="V8">
        <f>HYPERLINK("https://klasma.github.io/Logging_1983/klagomål/A 26898-2021 FSC-klagomål.docx", "A 26898-2021")</f>
        <v/>
      </c>
      <c r="W8">
        <f>HYPERLINK("https://klasma.github.io/Logging_1983/klagomålsmail/A 26898-2021 FSC-klagomål mail.docx", "A 26898-2021")</f>
        <v/>
      </c>
      <c r="X8">
        <f>HYPERLINK("https://klasma.github.io/Logging_1983/tillsyn/A 26898-2021 tillsynsbegäran.docx", "A 26898-2021")</f>
        <v/>
      </c>
      <c r="Y8">
        <f>HYPERLINK("https://klasma.github.io/Logging_1983/tillsynsmail/A 26898-2021 tillsynsbegäran mail.docx", "A 26898-2021")</f>
        <v/>
      </c>
    </row>
    <row r="9" ht="15" customHeight="1">
      <c r="A9" t="inlineStr">
        <is>
          <t>A 16012-2023</t>
        </is>
      </c>
      <c r="B9" s="1" t="n">
        <v>45026</v>
      </c>
      <c r="C9" s="1" t="n">
        <v>45270</v>
      </c>
      <c r="D9" t="inlineStr">
        <is>
          <t>VÄSTMANLANDS LÄN</t>
        </is>
      </c>
      <c r="E9" t="inlineStr">
        <is>
          <t>KÖPING</t>
        </is>
      </c>
      <c r="G9" t="n">
        <v>19.4</v>
      </c>
      <c r="H9" t="n">
        <v>0</v>
      </c>
      <c r="I9" t="n">
        <v>1</v>
      </c>
      <c r="J9" t="n">
        <v>1</v>
      </c>
      <c r="K9" t="n">
        <v>0</v>
      </c>
      <c r="L9" t="n">
        <v>0</v>
      </c>
      <c r="M9" t="n">
        <v>0</v>
      </c>
      <c r="N9" t="n">
        <v>0</v>
      </c>
      <c r="O9" t="n">
        <v>1</v>
      </c>
      <c r="P9" t="n">
        <v>0</v>
      </c>
      <c r="Q9" t="n">
        <v>2</v>
      </c>
      <c r="R9" s="2" t="inlineStr">
        <is>
          <t>Krusfrö
Kamjordstjärna</t>
        </is>
      </c>
      <c r="S9">
        <f>HYPERLINK("https://klasma.github.io/Logging_1983/artfynd/A 16012-2023 artfynd.xlsx", "A 16012-2023")</f>
        <v/>
      </c>
      <c r="T9">
        <f>HYPERLINK("https://klasma.github.io/Logging_1983/kartor/A 16012-2023 karta.png", "A 16012-2023")</f>
        <v/>
      </c>
      <c r="V9">
        <f>HYPERLINK("https://klasma.github.io/Logging_1983/klagomål/A 16012-2023 FSC-klagomål.docx", "A 16012-2023")</f>
        <v/>
      </c>
      <c r="W9">
        <f>HYPERLINK("https://klasma.github.io/Logging_1983/klagomålsmail/A 16012-2023 FSC-klagomål mail.docx", "A 16012-2023")</f>
        <v/>
      </c>
      <c r="X9">
        <f>HYPERLINK("https://klasma.github.io/Logging_1983/tillsyn/A 16012-2023 tillsynsbegäran.docx", "A 16012-2023")</f>
        <v/>
      </c>
      <c r="Y9">
        <f>HYPERLINK("https://klasma.github.io/Logging_1983/tillsynsmail/A 16012-2023 tillsynsbegäran mail.docx", "A 16012-2023")</f>
        <v/>
      </c>
    </row>
    <row r="10" ht="15" customHeight="1">
      <c r="A10" t="inlineStr">
        <is>
          <t>A 28360-2019</t>
        </is>
      </c>
      <c r="B10" s="1" t="n">
        <v>43625</v>
      </c>
      <c r="C10" s="1" t="n">
        <v>45270</v>
      </c>
      <c r="D10" t="inlineStr">
        <is>
          <t>VÄSTMANLANDS LÄN</t>
        </is>
      </c>
      <c r="E10" t="inlineStr">
        <is>
          <t>KÖPING</t>
        </is>
      </c>
      <c r="F10" t="inlineStr">
        <is>
          <t>Sveaskog</t>
        </is>
      </c>
      <c r="G10" t="n">
        <v>2.6</v>
      </c>
      <c r="H10" t="n">
        <v>0</v>
      </c>
      <c r="I10" t="n">
        <v>1</v>
      </c>
      <c r="J10" t="n">
        <v>0</v>
      </c>
      <c r="K10" t="n">
        <v>0</v>
      </c>
      <c r="L10" t="n">
        <v>0</v>
      </c>
      <c r="M10" t="n">
        <v>0</v>
      </c>
      <c r="N10" t="n">
        <v>0</v>
      </c>
      <c r="O10" t="n">
        <v>0</v>
      </c>
      <c r="P10" t="n">
        <v>0</v>
      </c>
      <c r="Q10" t="n">
        <v>1</v>
      </c>
      <c r="R10" s="2" t="inlineStr">
        <is>
          <t>Trådticka</t>
        </is>
      </c>
      <c r="S10">
        <f>HYPERLINK("https://klasma.github.io/Logging_1983/artfynd/A 28360-2019 artfynd.xlsx", "A 28360-2019")</f>
        <v/>
      </c>
      <c r="T10">
        <f>HYPERLINK("https://klasma.github.io/Logging_1983/kartor/A 28360-2019 karta.png", "A 28360-2019")</f>
        <v/>
      </c>
      <c r="V10">
        <f>HYPERLINK("https://klasma.github.io/Logging_1983/klagomål/A 28360-2019 FSC-klagomål.docx", "A 28360-2019")</f>
        <v/>
      </c>
      <c r="W10">
        <f>HYPERLINK("https://klasma.github.io/Logging_1983/klagomålsmail/A 28360-2019 FSC-klagomål mail.docx", "A 28360-2019")</f>
        <v/>
      </c>
      <c r="X10">
        <f>HYPERLINK("https://klasma.github.io/Logging_1983/tillsyn/A 28360-2019 tillsynsbegäran.docx", "A 28360-2019")</f>
        <v/>
      </c>
      <c r="Y10">
        <f>HYPERLINK("https://klasma.github.io/Logging_1983/tillsynsmail/A 28360-2019 tillsynsbegäran mail.docx", "A 28360-2019")</f>
        <v/>
      </c>
    </row>
    <row r="11" ht="15" customHeight="1">
      <c r="A11" t="inlineStr">
        <is>
          <t>A 32604-2020</t>
        </is>
      </c>
      <c r="B11" s="1" t="n">
        <v>44019</v>
      </c>
      <c r="C11" s="1" t="n">
        <v>45270</v>
      </c>
      <c r="D11" t="inlineStr">
        <is>
          <t>VÄSTMANLANDS LÄN</t>
        </is>
      </c>
      <c r="E11" t="inlineStr">
        <is>
          <t>KÖPING</t>
        </is>
      </c>
      <c r="F11" t="inlineStr">
        <is>
          <t>Sveaskog</t>
        </is>
      </c>
      <c r="G11" t="n">
        <v>5.5</v>
      </c>
      <c r="H11" t="n">
        <v>0</v>
      </c>
      <c r="I11" t="n">
        <v>0</v>
      </c>
      <c r="J11" t="n">
        <v>1</v>
      </c>
      <c r="K11" t="n">
        <v>0</v>
      </c>
      <c r="L11" t="n">
        <v>0</v>
      </c>
      <c r="M11" t="n">
        <v>0</v>
      </c>
      <c r="N11" t="n">
        <v>0</v>
      </c>
      <c r="O11" t="n">
        <v>1</v>
      </c>
      <c r="P11" t="n">
        <v>0</v>
      </c>
      <c r="Q11" t="n">
        <v>1</v>
      </c>
      <c r="R11" s="2" t="inlineStr">
        <is>
          <t>Motaggsvamp</t>
        </is>
      </c>
      <c r="S11">
        <f>HYPERLINK("https://klasma.github.io/Logging_1983/artfynd/A 32604-2020 artfynd.xlsx", "A 32604-2020")</f>
        <v/>
      </c>
      <c r="T11">
        <f>HYPERLINK("https://klasma.github.io/Logging_1983/kartor/A 32604-2020 karta.png", "A 32604-2020")</f>
        <v/>
      </c>
      <c r="V11">
        <f>HYPERLINK("https://klasma.github.io/Logging_1983/klagomål/A 32604-2020 FSC-klagomål.docx", "A 32604-2020")</f>
        <v/>
      </c>
      <c r="W11">
        <f>HYPERLINK("https://klasma.github.io/Logging_1983/klagomålsmail/A 32604-2020 FSC-klagomål mail.docx", "A 32604-2020")</f>
        <v/>
      </c>
      <c r="X11">
        <f>HYPERLINK("https://klasma.github.io/Logging_1983/tillsyn/A 32604-2020 tillsynsbegäran.docx", "A 32604-2020")</f>
        <v/>
      </c>
      <c r="Y11">
        <f>HYPERLINK("https://klasma.github.io/Logging_1983/tillsynsmail/A 32604-2020 tillsynsbegäran mail.docx", "A 32604-2020")</f>
        <v/>
      </c>
    </row>
    <row r="12" ht="15" customHeight="1">
      <c r="A12" t="inlineStr">
        <is>
          <t>A 34062-2020</t>
        </is>
      </c>
      <c r="B12" s="1" t="n">
        <v>44028</v>
      </c>
      <c r="C12" s="1" t="n">
        <v>45270</v>
      </c>
      <c r="D12" t="inlineStr">
        <is>
          <t>VÄSTMANLANDS LÄN</t>
        </is>
      </c>
      <c r="E12" t="inlineStr">
        <is>
          <t>KÖPING</t>
        </is>
      </c>
      <c r="F12" t="inlineStr">
        <is>
          <t>Sveaskog</t>
        </is>
      </c>
      <c r="G12" t="n">
        <v>2.8</v>
      </c>
      <c r="H12" t="n">
        <v>0</v>
      </c>
      <c r="I12" t="n">
        <v>0</v>
      </c>
      <c r="J12" t="n">
        <v>1</v>
      </c>
      <c r="K12" t="n">
        <v>0</v>
      </c>
      <c r="L12" t="n">
        <v>0</v>
      </c>
      <c r="M12" t="n">
        <v>0</v>
      </c>
      <c r="N12" t="n">
        <v>0</v>
      </c>
      <c r="O12" t="n">
        <v>1</v>
      </c>
      <c r="P12" t="n">
        <v>0</v>
      </c>
      <c r="Q12" t="n">
        <v>1</v>
      </c>
      <c r="R12" s="2" t="inlineStr">
        <is>
          <t>Ullticka</t>
        </is>
      </c>
      <c r="S12">
        <f>HYPERLINK("https://klasma.github.io/Logging_1983/artfynd/A 34062-2020 artfynd.xlsx", "A 34062-2020")</f>
        <v/>
      </c>
      <c r="T12">
        <f>HYPERLINK("https://klasma.github.io/Logging_1983/kartor/A 34062-2020 karta.png", "A 34062-2020")</f>
        <v/>
      </c>
      <c r="V12">
        <f>HYPERLINK("https://klasma.github.io/Logging_1983/klagomål/A 34062-2020 FSC-klagomål.docx", "A 34062-2020")</f>
        <v/>
      </c>
      <c r="W12">
        <f>HYPERLINK("https://klasma.github.io/Logging_1983/klagomålsmail/A 34062-2020 FSC-klagomål mail.docx", "A 34062-2020")</f>
        <v/>
      </c>
      <c r="X12">
        <f>HYPERLINK("https://klasma.github.io/Logging_1983/tillsyn/A 34062-2020 tillsynsbegäran.docx", "A 34062-2020")</f>
        <v/>
      </c>
      <c r="Y12">
        <f>HYPERLINK("https://klasma.github.io/Logging_1983/tillsynsmail/A 34062-2020 tillsynsbegäran mail.docx", "A 34062-2020")</f>
        <v/>
      </c>
    </row>
    <row r="13" ht="15" customHeight="1">
      <c r="A13" t="inlineStr">
        <is>
          <t>A 34064-2020</t>
        </is>
      </c>
      <c r="B13" s="1" t="n">
        <v>44028</v>
      </c>
      <c r="C13" s="1" t="n">
        <v>45270</v>
      </c>
      <c r="D13" t="inlineStr">
        <is>
          <t>VÄSTMANLANDS LÄN</t>
        </is>
      </c>
      <c r="E13" t="inlineStr">
        <is>
          <t>KÖPING</t>
        </is>
      </c>
      <c r="F13" t="inlineStr">
        <is>
          <t>Sveaskog</t>
        </is>
      </c>
      <c r="G13" t="n">
        <v>3</v>
      </c>
      <c r="H13" t="n">
        <v>0</v>
      </c>
      <c r="I13" t="n">
        <v>1</v>
      </c>
      <c r="J13" t="n">
        <v>0</v>
      </c>
      <c r="K13" t="n">
        <v>0</v>
      </c>
      <c r="L13" t="n">
        <v>0</v>
      </c>
      <c r="M13" t="n">
        <v>0</v>
      </c>
      <c r="N13" t="n">
        <v>0</v>
      </c>
      <c r="O13" t="n">
        <v>0</v>
      </c>
      <c r="P13" t="n">
        <v>0</v>
      </c>
      <c r="Q13" t="n">
        <v>1</v>
      </c>
      <c r="R13" s="2" t="inlineStr">
        <is>
          <t>Bollvitmossa</t>
        </is>
      </c>
      <c r="S13">
        <f>HYPERLINK("https://klasma.github.io/Logging_1983/artfynd/A 34064-2020 artfynd.xlsx", "A 34064-2020")</f>
        <v/>
      </c>
      <c r="T13">
        <f>HYPERLINK("https://klasma.github.io/Logging_1983/kartor/A 34064-2020 karta.png", "A 34064-2020")</f>
        <v/>
      </c>
      <c r="V13">
        <f>HYPERLINK("https://klasma.github.io/Logging_1983/klagomål/A 34064-2020 FSC-klagomål.docx", "A 34064-2020")</f>
        <v/>
      </c>
      <c r="W13">
        <f>HYPERLINK("https://klasma.github.io/Logging_1983/klagomålsmail/A 34064-2020 FSC-klagomål mail.docx", "A 34064-2020")</f>
        <v/>
      </c>
      <c r="X13">
        <f>HYPERLINK("https://klasma.github.io/Logging_1983/tillsyn/A 34064-2020 tillsynsbegäran.docx", "A 34064-2020")</f>
        <v/>
      </c>
      <c r="Y13">
        <f>HYPERLINK("https://klasma.github.io/Logging_1983/tillsynsmail/A 34064-2020 tillsynsbegäran mail.docx", "A 34064-2020")</f>
        <v/>
      </c>
    </row>
    <row r="14" ht="15" customHeight="1">
      <c r="A14" t="inlineStr">
        <is>
          <t>A 36828-2020</t>
        </is>
      </c>
      <c r="B14" s="1" t="n">
        <v>44053</v>
      </c>
      <c r="C14" s="1" t="n">
        <v>45270</v>
      </c>
      <c r="D14" t="inlineStr">
        <is>
          <t>VÄSTMANLANDS LÄN</t>
        </is>
      </c>
      <c r="E14" t="inlineStr">
        <is>
          <t>KÖPING</t>
        </is>
      </c>
      <c r="G14" t="n">
        <v>2</v>
      </c>
      <c r="H14" t="n">
        <v>0</v>
      </c>
      <c r="I14" t="n">
        <v>0</v>
      </c>
      <c r="J14" t="n">
        <v>1</v>
      </c>
      <c r="K14" t="n">
        <v>0</v>
      </c>
      <c r="L14" t="n">
        <v>0</v>
      </c>
      <c r="M14" t="n">
        <v>0</v>
      </c>
      <c r="N14" t="n">
        <v>0</v>
      </c>
      <c r="O14" t="n">
        <v>1</v>
      </c>
      <c r="P14" t="n">
        <v>0</v>
      </c>
      <c r="Q14" t="n">
        <v>1</v>
      </c>
      <c r="R14" s="2" t="inlineStr">
        <is>
          <t>Skumticka</t>
        </is>
      </c>
      <c r="S14">
        <f>HYPERLINK("https://klasma.github.io/Logging_1983/artfynd/A 36828-2020 artfynd.xlsx", "A 36828-2020")</f>
        <v/>
      </c>
      <c r="T14">
        <f>HYPERLINK("https://klasma.github.io/Logging_1983/kartor/A 36828-2020 karta.png", "A 36828-2020")</f>
        <v/>
      </c>
      <c r="V14">
        <f>HYPERLINK("https://klasma.github.io/Logging_1983/klagomål/A 36828-2020 FSC-klagomål.docx", "A 36828-2020")</f>
        <v/>
      </c>
      <c r="W14">
        <f>HYPERLINK("https://klasma.github.io/Logging_1983/klagomålsmail/A 36828-2020 FSC-klagomål mail.docx", "A 36828-2020")</f>
        <v/>
      </c>
      <c r="X14">
        <f>HYPERLINK("https://klasma.github.io/Logging_1983/tillsyn/A 36828-2020 tillsynsbegäran.docx", "A 36828-2020")</f>
        <v/>
      </c>
      <c r="Y14">
        <f>HYPERLINK("https://klasma.github.io/Logging_1983/tillsynsmail/A 36828-2020 tillsynsbegäran mail.docx", "A 36828-2020")</f>
        <v/>
      </c>
    </row>
    <row r="15" ht="15" customHeight="1">
      <c r="A15" t="inlineStr">
        <is>
          <t>A 37469-2020</t>
        </is>
      </c>
      <c r="B15" s="1" t="n">
        <v>44055</v>
      </c>
      <c r="C15" s="1" t="n">
        <v>45270</v>
      </c>
      <c r="D15" t="inlineStr">
        <is>
          <t>VÄSTMANLANDS LÄN</t>
        </is>
      </c>
      <c r="E15" t="inlineStr">
        <is>
          <t>KÖPING</t>
        </is>
      </c>
      <c r="F15" t="inlineStr">
        <is>
          <t>Kyrkan</t>
        </is>
      </c>
      <c r="G15" t="n">
        <v>1.7</v>
      </c>
      <c r="H15" t="n">
        <v>0</v>
      </c>
      <c r="I15" t="n">
        <v>1</v>
      </c>
      <c r="J15" t="n">
        <v>0</v>
      </c>
      <c r="K15" t="n">
        <v>0</v>
      </c>
      <c r="L15" t="n">
        <v>0</v>
      </c>
      <c r="M15" t="n">
        <v>0</v>
      </c>
      <c r="N15" t="n">
        <v>0</v>
      </c>
      <c r="O15" t="n">
        <v>0</v>
      </c>
      <c r="P15" t="n">
        <v>0</v>
      </c>
      <c r="Q15" t="n">
        <v>1</v>
      </c>
      <c r="R15" s="2" t="inlineStr">
        <is>
          <t>Blåmossa</t>
        </is>
      </c>
      <c r="S15">
        <f>HYPERLINK("https://klasma.github.io/Logging_1983/artfynd/A 37469-2020 artfynd.xlsx", "A 37469-2020")</f>
        <v/>
      </c>
      <c r="T15">
        <f>HYPERLINK("https://klasma.github.io/Logging_1983/kartor/A 37469-2020 karta.png", "A 37469-2020")</f>
        <v/>
      </c>
      <c r="V15">
        <f>HYPERLINK("https://klasma.github.io/Logging_1983/klagomål/A 37469-2020 FSC-klagomål.docx", "A 37469-2020")</f>
        <v/>
      </c>
      <c r="W15">
        <f>HYPERLINK("https://klasma.github.io/Logging_1983/klagomålsmail/A 37469-2020 FSC-klagomål mail.docx", "A 37469-2020")</f>
        <v/>
      </c>
      <c r="X15">
        <f>HYPERLINK("https://klasma.github.io/Logging_1983/tillsyn/A 37469-2020 tillsynsbegäran.docx", "A 37469-2020")</f>
        <v/>
      </c>
      <c r="Y15">
        <f>HYPERLINK("https://klasma.github.io/Logging_1983/tillsynsmail/A 37469-2020 tillsynsbegäran mail.docx", "A 37469-2020")</f>
        <v/>
      </c>
    </row>
    <row r="16" ht="15" customHeight="1">
      <c r="A16" t="inlineStr">
        <is>
          <t>A 36209-2021</t>
        </is>
      </c>
      <c r="B16" s="1" t="n">
        <v>44389</v>
      </c>
      <c r="C16" s="1" t="n">
        <v>45270</v>
      </c>
      <c r="D16" t="inlineStr">
        <is>
          <t>VÄSTMANLANDS LÄN</t>
        </is>
      </c>
      <c r="E16" t="inlineStr">
        <is>
          <t>KÖPING</t>
        </is>
      </c>
      <c r="G16" t="n">
        <v>6.9</v>
      </c>
      <c r="H16" t="n">
        <v>0</v>
      </c>
      <c r="I16" t="n">
        <v>1</v>
      </c>
      <c r="J16" t="n">
        <v>0</v>
      </c>
      <c r="K16" t="n">
        <v>0</v>
      </c>
      <c r="L16" t="n">
        <v>0</v>
      </c>
      <c r="M16" t="n">
        <v>0</v>
      </c>
      <c r="N16" t="n">
        <v>0</v>
      </c>
      <c r="O16" t="n">
        <v>0</v>
      </c>
      <c r="P16" t="n">
        <v>0</v>
      </c>
      <c r="Q16" t="n">
        <v>1</v>
      </c>
      <c r="R16" s="2" t="inlineStr">
        <is>
          <t>Svart trolldruva</t>
        </is>
      </c>
      <c r="S16">
        <f>HYPERLINK("https://klasma.github.io/Logging_1983/artfynd/A 36209-2021 artfynd.xlsx", "A 36209-2021")</f>
        <v/>
      </c>
      <c r="T16">
        <f>HYPERLINK("https://klasma.github.io/Logging_1983/kartor/A 36209-2021 karta.png", "A 36209-2021")</f>
        <v/>
      </c>
      <c r="V16">
        <f>HYPERLINK("https://klasma.github.io/Logging_1983/klagomål/A 36209-2021 FSC-klagomål.docx", "A 36209-2021")</f>
        <v/>
      </c>
      <c r="W16">
        <f>HYPERLINK("https://klasma.github.io/Logging_1983/klagomålsmail/A 36209-2021 FSC-klagomål mail.docx", "A 36209-2021")</f>
        <v/>
      </c>
      <c r="X16">
        <f>HYPERLINK("https://klasma.github.io/Logging_1983/tillsyn/A 36209-2021 tillsynsbegäran.docx", "A 36209-2021")</f>
        <v/>
      </c>
      <c r="Y16">
        <f>HYPERLINK("https://klasma.github.io/Logging_1983/tillsynsmail/A 36209-2021 tillsynsbegäran mail.docx", "A 36209-2021")</f>
        <v/>
      </c>
    </row>
    <row r="17" ht="15" customHeight="1">
      <c r="A17" t="inlineStr">
        <is>
          <t>A 45826-2021</t>
        </is>
      </c>
      <c r="B17" s="1" t="n">
        <v>44441</v>
      </c>
      <c r="C17" s="1" t="n">
        <v>45270</v>
      </c>
      <c r="D17" t="inlineStr">
        <is>
          <t>VÄSTMANLANDS LÄN</t>
        </is>
      </c>
      <c r="E17" t="inlineStr">
        <is>
          <t>KÖPING</t>
        </is>
      </c>
      <c r="G17" t="n">
        <v>9</v>
      </c>
      <c r="H17" t="n">
        <v>1</v>
      </c>
      <c r="I17" t="n">
        <v>0</v>
      </c>
      <c r="J17" t="n">
        <v>0</v>
      </c>
      <c r="K17" t="n">
        <v>0</v>
      </c>
      <c r="L17" t="n">
        <v>0</v>
      </c>
      <c r="M17" t="n">
        <v>0</v>
      </c>
      <c r="N17" t="n">
        <v>0</v>
      </c>
      <c r="O17" t="n">
        <v>0</v>
      </c>
      <c r="P17" t="n">
        <v>0</v>
      </c>
      <c r="Q17" t="n">
        <v>1</v>
      </c>
      <c r="R17" s="2" t="inlineStr">
        <is>
          <t>Fläcknycklar</t>
        </is>
      </c>
      <c r="S17">
        <f>HYPERLINK("https://klasma.github.io/Logging_1983/artfynd/A 45826-2021 artfynd.xlsx", "A 45826-2021")</f>
        <v/>
      </c>
      <c r="T17">
        <f>HYPERLINK("https://klasma.github.io/Logging_1983/kartor/A 45826-2021 karta.png", "A 45826-2021")</f>
        <v/>
      </c>
      <c r="V17">
        <f>HYPERLINK("https://klasma.github.io/Logging_1983/klagomål/A 45826-2021 FSC-klagomål.docx", "A 45826-2021")</f>
        <v/>
      </c>
      <c r="W17">
        <f>HYPERLINK("https://klasma.github.io/Logging_1983/klagomålsmail/A 45826-2021 FSC-klagomål mail.docx", "A 45826-2021")</f>
        <v/>
      </c>
      <c r="X17">
        <f>HYPERLINK("https://klasma.github.io/Logging_1983/tillsyn/A 45826-2021 tillsynsbegäran.docx", "A 45826-2021")</f>
        <v/>
      </c>
      <c r="Y17">
        <f>HYPERLINK("https://klasma.github.io/Logging_1983/tillsynsmail/A 45826-2021 tillsynsbegäran mail.docx", "A 45826-2021")</f>
        <v/>
      </c>
    </row>
    <row r="18" ht="15" customHeight="1">
      <c r="A18" t="inlineStr">
        <is>
          <t>A 53151-2021</t>
        </is>
      </c>
      <c r="B18" s="1" t="n">
        <v>44468</v>
      </c>
      <c r="C18" s="1" t="n">
        <v>45270</v>
      </c>
      <c r="D18" t="inlineStr">
        <is>
          <t>VÄSTMANLANDS LÄN</t>
        </is>
      </c>
      <c r="E18" t="inlineStr">
        <is>
          <t>KÖPING</t>
        </is>
      </c>
      <c r="F18" t="inlineStr">
        <is>
          <t>Sveaskog</t>
        </is>
      </c>
      <c r="G18" t="n">
        <v>1.1</v>
      </c>
      <c r="H18" t="n">
        <v>0</v>
      </c>
      <c r="I18" t="n">
        <v>1</v>
      </c>
      <c r="J18" t="n">
        <v>0</v>
      </c>
      <c r="K18" t="n">
        <v>0</v>
      </c>
      <c r="L18" t="n">
        <v>0</v>
      </c>
      <c r="M18" t="n">
        <v>0</v>
      </c>
      <c r="N18" t="n">
        <v>0</v>
      </c>
      <c r="O18" t="n">
        <v>0</v>
      </c>
      <c r="P18" t="n">
        <v>0</v>
      </c>
      <c r="Q18" t="n">
        <v>1</v>
      </c>
      <c r="R18" s="2" t="inlineStr">
        <is>
          <t>Skinnlav</t>
        </is>
      </c>
      <c r="S18">
        <f>HYPERLINK("https://klasma.github.io/Logging_1983/artfynd/A 53151-2021 artfynd.xlsx", "A 53151-2021")</f>
        <v/>
      </c>
      <c r="T18">
        <f>HYPERLINK("https://klasma.github.io/Logging_1983/kartor/A 53151-2021 karta.png", "A 53151-2021")</f>
        <v/>
      </c>
      <c r="V18">
        <f>HYPERLINK("https://klasma.github.io/Logging_1983/klagomål/A 53151-2021 FSC-klagomål.docx", "A 53151-2021")</f>
        <v/>
      </c>
      <c r="W18">
        <f>HYPERLINK("https://klasma.github.io/Logging_1983/klagomålsmail/A 53151-2021 FSC-klagomål mail.docx", "A 53151-2021")</f>
        <v/>
      </c>
      <c r="X18">
        <f>HYPERLINK("https://klasma.github.io/Logging_1983/tillsyn/A 53151-2021 tillsynsbegäran.docx", "A 53151-2021")</f>
        <v/>
      </c>
      <c r="Y18">
        <f>HYPERLINK("https://klasma.github.io/Logging_1983/tillsynsmail/A 53151-2021 tillsynsbegäran mail.docx", "A 53151-2021")</f>
        <v/>
      </c>
    </row>
    <row r="19" ht="15" customHeight="1">
      <c r="A19" t="inlineStr">
        <is>
          <t>A 69022-2021</t>
        </is>
      </c>
      <c r="B19" s="1" t="n">
        <v>44530</v>
      </c>
      <c r="C19" s="1" t="n">
        <v>45270</v>
      </c>
      <c r="D19" t="inlineStr">
        <is>
          <t>VÄSTMANLANDS LÄN</t>
        </is>
      </c>
      <c r="E19" t="inlineStr">
        <is>
          <t>KÖPING</t>
        </is>
      </c>
      <c r="G19" t="n">
        <v>3.1</v>
      </c>
      <c r="H19" t="n">
        <v>0</v>
      </c>
      <c r="I19" t="n">
        <v>1</v>
      </c>
      <c r="J19" t="n">
        <v>0</v>
      </c>
      <c r="K19" t="n">
        <v>0</v>
      </c>
      <c r="L19" t="n">
        <v>0</v>
      </c>
      <c r="M19" t="n">
        <v>0</v>
      </c>
      <c r="N19" t="n">
        <v>0</v>
      </c>
      <c r="O19" t="n">
        <v>0</v>
      </c>
      <c r="P19" t="n">
        <v>0</v>
      </c>
      <c r="Q19" t="n">
        <v>1</v>
      </c>
      <c r="R19" s="2" t="inlineStr">
        <is>
          <t>Skinnlav</t>
        </is>
      </c>
      <c r="S19">
        <f>HYPERLINK("https://klasma.github.io/Logging_1983/artfynd/A 69022-2021 artfynd.xlsx", "A 69022-2021")</f>
        <v/>
      </c>
      <c r="T19">
        <f>HYPERLINK("https://klasma.github.io/Logging_1983/kartor/A 69022-2021 karta.png", "A 69022-2021")</f>
        <v/>
      </c>
      <c r="V19">
        <f>HYPERLINK("https://klasma.github.io/Logging_1983/klagomål/A 69022-2021 FSC-klagomål.docx", "A 69022-2021")</f>
        <v/>
      </c>
      <c r="W19">
        <f>HYPERLINK("https://klasma.github.io/Logging_1983/klagomålsmail/A 69022-2021 FSC-klagomål mail.docx", "A 69022-2021")</f>
        <v/>
      </c>
      <c r="X19">
        <f>HYPERLINK("https://klasma.github.io/Logging_1983/tillsyn/A 69022-2021 tillsynsbegäran.docx", "A 69022-2021")</f>
        <v/>
      </c>
      <c r="Y19">
        <f>HYPERLINK("https://klasma.github.io/Logging_1983/tillsynsmail/A 69022-2021 tillsynsbegäran mail.docx", "A 69022-2021")</f>
        <v/>
      </c>
    </row>
    <row r="20" ht="15" customHeight="1">
      <c r="A20" t="inlineStr">
        <is>
          <t>A 10900-2022</t>
        </is>
      </c>
      <c r="B20" s="1" t="n">
        <v>44627</v>
      </c>
      <c r="C20" s="1" t="n">
        <v>45270</v>
      </c>
      <c r="D20" t="inlineStr">
        <is>
          <t>VÄSTMANLANDS LÄN</t>
        </is>
      </c>
      <c r="E20" t="inlineStr">
        <is>
          <t>KÖPING</t>
        </is>
      </c>
      <c r="G20" t="n">
        <v>1.5</v>
      </c>
      <c r="H20" t="n">
        <v>0</v>
      </c>
      <c r="I20" t="n">
        <v>0</v>
      </c>
      <c r="J20" t="n">
        <v>1</v>
      </c>
      <c r="K20" t="n">
        <v>0</v>
      </c>
      <c r="L20" t="n">
        <v>0</v>
      </c>
      <c r="M20" t="n">
        <v>0</v>
      </c>
      <c r="N20" t="n">
        <v>0</v>
      </c>
      <c r="O20" t="n">
        <v>1</v>
      </c>
      <c r="P20" t="n">
        <v>0</v>
      </c>
      <c r="Q20" t="n">
        <v>1</v>
      </c>
      <c r="R20" s="2" t="inlineStr">
        <is>
          <t>Klofibbla</t>
        </is>
      </c>
      <c r="S20">
        <f>HYPERLINK("https://klasma.github.io/Logging_1983/artfynd/A 10900-2022 artfynd.xlsx", "A 10900-2022")</f>
        <v/>
      </c>
      <c r="T20">
        <f>HYPERLINK("https://klasma.github.io/Logging_1983/kartor/A 10900-2022 karta.png", "A 10900-2022")</f>
        <v/>
      </c>
      <c r="V20">
        <f>HYPERLINK("https://klasma.github.io/Logging_1983/klagomål/A 10900-2022 FSC-klagomål.docx", "A 10900-2022")</f>
        <v/>
      </c>
      <c r="W20">
        <f>HYPERLINK("https://klasma.github.io/Logging_1983/klagomålsmail/A 10900-2022 FSC-klagomål mail.docx", "A 10900-2022")</f>
        <v/>
      </c>
      <c r="X20">
        <f>HYPERLINK("https://klasma.github.io/Logging_1983/tillsyn/A 10900-2022 tillsynsbegäran.docx", "A 10900-2022")</f>
        <v/>
      </c>
      <c r="Y20">
        <f>HYPERLINK("https://klasma.github.io/Logging_1983/tillsynsmail/A 10900-2022 tillsynsbegäran mail.docx", "A 10900-2022")</f>
        <v/>
      </c>
    </row>
    <row r="21" ht="15" customHeight="1">
      <c r="A21" t="inlineStr">
        <is>
          <t>A 48269-2022</t>
        </is>
      </c>
      <c r="B21" s="1" t="n">
        <v>44858</v>
      </c>
      <c r="C21" s="1" t="n">
        <v>45270</v>
      </c>
      <c r="D21" t="inlineStr">
        <is>
          <t>VÄSTMANLANDS LÄN</t>
        </is>
      </c>
      <c r="E21" t="inlineStr">
        <is>
          <t>KÖPING</t>
        </is>
      </c>
      <c r="G21" t="n">
        <v>8.699999999999999</v>
      </c>
      <c r="H21" t="n">
        <v>0</v>
      </c>
      <c r="I21" t="n">
        <v>0</v>
      </c>
      <c r="J21" t="n">
        <v>1</v>
      </c>
      <c r="K21" t="n">
        <v>0</v>
      </c>
      <c r="L21" t="n">
        <v>0</v>
      </c>
      <c r="M21" t="n">
        <v>0</v>
      </c>
      <c r="N21" t="n">
        <v>0</v>
      </c>
      <c r="O21" t="n">
        <v>1</v>
      </c>
      <c r="P21" t="n">
        <v>0</v>
      </c>
      <c r="Q21" t="n">
        <v>1</v>
      </c>
      <c r="R21" s="2" t="inlineStr">
        <is>
          <t>Motaggsvamp</t>
        </is>
      </c>
      <c r="S21">
        <f>HYPERLINK("https://klasma.github.io/Logging_1983/artfynd/A 48269-2022 artfynd.xlsx", "A 48269-2022")</f>
        <v/>
      </c>
      <c r="T21">
        <f>HYPERLINK("https://klasma.github.io/Logging_1983/kartor/A 48269-2022 karta.png", "A 48269-2022")</f>
        <v/>
      </c>
      <c r="V21">
        <f>HYPERLINK("https://klasma.github.io/Logging_1983/klagomål/A 48269-2022 FSC-klagomål.docx", "A 48269-2022")</f>
        <v/>
      </c>
      <c r="W21">
        <f>HYPERLINK("https://klasma.github.io/Logging_1983/klagomålsmail/A 48269-2022 FSC-klagomål mail.docx", "A 48269-2022")</f>
        <v/>
      </c>
      <c r="X21">
        <f>HYPERLINK("https://klasma.github.io/Logging_1983/tillsyn/A 48269-2022 tillsynsbegäran.docx", "A 48269-2022")</f>
        <v/>
      </c>
      <c r="Y21">
        <f>HYPERLINK("https://klasma.github.io/Logging_1983/tillsynsmail/A 48269-2022 tillsynsbegäran mail.docx", "A 48269-2022")</f>
        <v/>
      </c>
    </row>
    <row r="22" ht="15" customHeight="1">
      <c r="A22" t="inlineStr">
        <is>
          <t>A 52476-2023</t>
        </is>
      </c>
      <c r="B22" s="1" t="n">
        <v>45225</v>
      </c>
      <c r="C22" s="1" t="n">
        <v>45270</v>
      </c>
      <c r="D22" t="inlineStr">
        <is>
          <t>VÄSTMANLANDS LÄN</t>
        </is>
      </c>
      <c r="E22" t="inlineStr">
        <is>
          <t>KÖPING</t>
        </is>
      </c>
      <c r="F22" t="inlineStr">
        <is>
          <t>Sveaskog</t>
        </is>
      </c>
      <c r="G22" t="n">
        <v>1.9</v>
      </c>
      <c r="H22" t="n">
        <v>0</v>
      </c>
      <c r="I22" t="n">
        <v>1</v>
      </c>
      <c r="J22" t="n">
        <v>0</v>
      </c>
      <c r="K22" t="n">
        <v>0</v>
      </c>
      <c r="L22" t="n">
        <v>0</v>
      </c>
      <c r="M22" t="n">
        <v>0</v>
      </c>
      <c r="N22" t="n">
        <v>0</v>
      </c>
      <c r="O22" t="n">
        <v>0</v>
      </c>
      <c r="P22" t="n">
        <v>0</v>
      </c>
      <c r="Q22" t="n">
        <v>1</v>
      </c>
      <c r="R22" s="2" t="inlineStr">
        <is>
          <t>Bårdlav</t>
        </is>
      </c>
      <c r="S22">
        <f>HYPERLINK("https://klasma.github.io/Logging_1983/artfynd/A 52476-2023 artfynd.xlsx", "A 52476-2023")</f>
        <v/>
      </c>
      <c r="T22">
        <f>HYPERLINK("https://klasma.github.io/Logging_1983/kartor/A 52476-2023 karta.png", "A 52476-2023")</f>
        <v/>
      </c>
      <c r="V22">
        <f>HYPERLINK("https://klasma.github.io/Logging_1983/klagomål/A 52476-2023 FSC-klagomål.docx", "A 52476-2023")</f>
        <v/>
      </c>
      <c r="W22">
        <f>HYPERLINK("https://klasma.github.io/Logging_1983/klagomålsmail/A 52476-2023 FSC-klagomål mail.docx", "A 52476-2023")</f>
        <v/>
      </c>
      <c r="X22">
        <f>HYPERLINK("https://klasma.github.io/Logging_1983/tillsyn/A 52476-2023 tillsynsbegäran.docx", "A 52476-2023")</f>
        <v/>
      </c>
      <c r="Y22">
        <f>HYPERLINK("https://klasma.github.io/Logging_1983/tillsynsmail/A 52476-2023 tillsynsbegäran mail.docx", "A 52476-2023")</f>
        <v/>
      </c>
    </row>
    <row r="23" ht="15" customHeight="1">
      <c r="A23" t="inlineStr">
        <is>
          <t>A 55157-2023</t>
        </is>
      </c>
      <c r="B23" s="1" t="n">
        <v>45237</v>
      </c>
      <c r="C23" s="1" t="n">
        <v>45270</v>
      </c>
      <c r="D23" t="inlineStr">
        <is>
          <t>VÄSTMANLANDS LÄN</t>
        </is>
      </c>
      <c r="E23" t="inlineStr">
        <is>
          <t>KÖPING</t>
        </is>
      </c>
      <c r="G23" t="n">
        <v>6.7</v>
      </c>
      <c r="H23" t="n">
        <v>1</v>
      </c>
      <c r="I23" t="n">
        <v>0</v>
      </c>
      <c r="J23" t="n">
        <v>0</v>
      </c>
      <c r="K23" t="n">
        <v>0</v>
      </c>
      <c r="L23" t="n">
        <v>0</v>
      </c>
      <c r="M23" t="n">
        <v>0</v>
      </c>
      <c r="N23" t="n">
        <v>0</v>
      </c>
      <c r="O23" t="n">
        <v>0</v>
      </c>
      <c r="P23" t="n">
        <v>0</v>
      </c>
      <c r="Q23" t="n">
        <v>1</v>
      </c>
      <c r="R23" s="2" t="inlineStr">
        <is>
          <t>Nattviol</t>
        </is>
      </c>
      <c r="S23">
        <f>HYPERLINK("https://klasma.github.io/Logging_1983/artfynd/A 55157-2023 artfynd.xlsx", "A 55157-2023")</f>
        <v/>
      </c>
      <c r="T23">
        <f>HYPERLINK("https://klasma.github.io/Logging_1983/kartor/A 55157-2023 karta.png", "A 55157-2023")</f>
        <v/>
      </c>
      <c r="V23">
        <f>HYPERLINK("https://klasma.github.io/Logging_1983/klagomål/A 55157-2023 FSC-klagomål.docx", "A 55157-2023")</f>
        <v/>
      </c>
      <c r="W23">
        <f>HYPERLINK("https://klasma.github.io/Logging_1983/klagomålsmail/A 55157-2023 FSC-klagomål mail.docx", "A 55157-2023")</f>
        <v/>
      </c>
      <c r="X23">
        <f>HYPERLINK("https://klasma.github.io/Logging_1983/tillsyn/A 55157-2023 tillsynsbegäran.docx", "A 55157-2023")</f>
        <v/>
      </c>
      <c r="Y23">
        <f>HYPERLINK("https://klasma.github.io/Logging_1983/tillsynsmail/A 55157-2023 tillsynsbegäran mail.docx", "A 55157-2023")</f>
        <v/>
      </c>
    </row>
    <row r="24" ht="15" customHeight="1">
      <c r="A24" t="inlineStr">
        <is>
          <t>A 35480-2018</t>
        </is>
      </c>
      <c r="B24" s="1" t="n">
        <v>43325</v>
      </c>
      <c r="C24" s="1" t="n">
        <v>45270</v>
      </c>
      <c r="D24" t="inlineStr">
        <is>
          <t>VÄSTMANLANDS LÄN</t>
        </is>
      </c>
      <c r="E24" t="inlineStr">
        <is>
          <t>KÖPING</t>
        </is>
      </c>
      <c r="G24" t="n">
        <v>3.6</v>
      </c>
      <c r="H24" t="n">
        <v>0</v>
      </c>
      <c r="I24" t="n">
        <v>0</v>
      </c>
      <c r="J24" t="n">
        <v>0</v>
      </c>
      <c r="K24" t="n">
        <v>0</v>
      </c>
      <c r="L24" t="n">
        <v>0</v>
      </c>
      <c r="M24" t="n">
        <v>0</v>
      </c>
      <c r="N24" t="n">
        <v>0</v>
      </c>
      <c r="O24" t="n">
        <v>0</v>
      </c>
      <c r="P24" t="n">
        <v>0</v>
      </c>
      <c r="Q24" t="n">
        <v>0</v>
      </c>
      <c r="R24" s="2" t="inlineStr"/>
    </row>
    <row r="25" ht="15" customHeight="1">
      <c r="A25" t="inlineStr">
        <is>
          <t>A 36128-2018</t>
        </is>
      </c>
      <c r="B25" s="1" t="n">
        <v>43328</v>
      </c>
      <c r="C25" s="1" t="n">
        <v>45270</v>
      </c>
      <c r="D25" t="inlineStr">
        <is>
          <t>VÄSTMANLANDS LÄN</t>
        </is>
      </c>
      <c r="E25" t="inlineStr">
        <is>
          <t>KÖPING</t>
        </is>
      </c>
      <c r="F25" t="inlineStr">
        <is>
          <t>Sveaskog</t>
        </is>
      </c>
      <c r="G25" t="n">
        <v>2.7</v>
      </c>
      <c r="H25" t="n">
        <v>0</v>
      </c>
      <c r="I25" t="n">
        <v>0</v>
      </c>
      <c r="J25" t="n">
        <v>0</v>
      </c>
      <c r="K25" t="n">
        <v>0</v>
      </c>
      <c r="L25" t="n">
        <v>0</v>
      </c>
      <c r="M25" t="n">
        <v>0</v>
      </c>
      <c r="N25" t="n">
        <v>0</v>
      </c>
      <c r="O25" t="n">
        <v>0</v>
      </c>
      <c r="P25" t="n">
        <v>0</v>
      </c>
      <c r="Q25" t="n">
        <v>0</v>
      </c>
      <c r="R25" s="2" t="inlineStr"/>
    </row>
    <row r="26" ht="15" customHeight="1">
      <c r="A26" t="inlineStr">
        <is>
          <t>A 41404-2018</t>
        </is>
      </c>
      <c r="B26" s="1" t="n">
        <v>43346</v>
      </c>
      <c r="C26" s="1" t="n">
        <v>45270</v>
      </c>
      <c r="D26" t="inlineStr">
        <is>
          <t>VÄSTMANLANDS LÄN</t>
        </is>
      </c>
      <c r="E26" t="inlineStr">
        <is>
          <t>KÖPING</t>
        </is>
      </c>
      <c r="G26" t="n">
        <v>4.7</v>
      </c>
      <c r="H26" t="n">
        <v>0</v>
      </c>
      <c r="I26" t="n">
        <v>0</v>
      </c>
      <c r="J26" t="n">
        <v>0</v>
      </c>
      <c r="K26" t="n">
        <v>0</v>
      </c>
      <c r="L26" t="n">
        <v>0</v>
      </c>
      <c r="M26" t="n">
        <v>0</v>
      </c>
      <c r="N26" t="n">
        <v>0</v>
      </c>
      <c r="O26" t="n">
        <v>0</v>
      </c>
      <c r="P26" t="n">
        <v>0</v>
      </c>
      <c r="Q26" t="n">
        <v>0</v>
      </c>
      <c r="R26" s="2" t="inlineStr"/>
    </row>
    <row r="27" ht="15" customHeight="1">
      <c r="A27" t="inlineStr">
        <is>
          <t>A 40730-2018</t>
        </is>
      </c>
      <c r="B27" s="1" t="n">
        <v>43347</v>
      </c>
      <c r="C27" s="1" t="n">
        <v>45270</v>
      </c>
      <c r="D27" t="inlineStr">
        <is>
          <t>VÄSTMANLANDS LÄN</t>
        </is>
      </c>
      <c r="E27" t="inlineStr">
        <is>
          <t>KÖPING</t>
        </is>
      </c>
      <c r="F27" t="inlineStr">
        <is>
          <t>Sveaskog</t>
        </is>
      </c>
      <c r="G27" t="n">
        <v>0.7</v>
      </c>
      <c r="H27" t="n">
        <v>0</v>
      </c>
      <c r="I27" t="n">
        <v>0</v>
      </c>
      <c r="J27" t="n">
        <v>0</v>
      </c>
      <c r="K27" t="n">
        <v>0</v>
      </c>
      <c r="L27" t="n">
        <v>0</v>
      </c>
      <c r="M27" t="n">
        <v>0</v>
      </c>
      <c r="N27" t="n">
        <v>0</v>
      </c>
      <c r="O27" t="n">
        <v>0</v>
      </c>
      <c r="P27" t="n">
        <v>0</v>
      </c>
      <c r="Q27" t="n">
        <v>0</v>
      </c>
      <c r="R27" s="2" t="inlineStr"/>
    </row>
    <row r="28" ht="15" customHeight="1">
      <c r="A28" t="inlineStr">
        <is>
          <t>A 49125-2018</t>
        </is>
      </c>
      <c r="B28" s="1" t="n">
        <v>43375</v>
      </c>
      <c r="C28" s="1" t="n">
        <v>45270</v>
      </c>
      <c r="D28" t="inlineStr">
        <is>
          <t>VÄSTMANLANDS LÄN</t>
        </is>
      </c>
      <c r="E28" t="inlineStr">
        <is>
          <t>KÖPING</t>
        </is>
      </c>
      <c r="F28" t="inlineStr">
        <is>
          <t>Kyrkan</t>
        </is>
      </c>
      <c r="G28" t="n">
        <v>0.7</v>
      </c>
      <c r="H28" t="n">
        <v>0</v>
      </c>
      <c r="I28" t="n">
        <v>0</v>
      </c>
      <c r="J28" t="n">
        <v>0</v>
      </c>
      <c r="K28" t="n">
        <v>0</v>
      </c>
      <c r="L28" t="n">
        <v>0</v>
      </c>
      <c r="M28" t="n">
        <v>0</v>
      </c>
      <c r="N28" t="n">
        <v>0</v>
      </c>
      <c r="O28" t="n">
        <v>0</v>
      </c>
      <c r="P28" t="n">
        <v>0</v>
      </c>
      <c r="Q28" t="n">
        <v>0</v>
      </c>
      <c r="R28" s="2" t="inlineStr"/>
    </row>
    <row r="29" ht="15" customHeight="1">
      <c r="A29" t="inlineStr">
        <is>
          <t>A 58053-2018</t>
        </is>
      </c>
      <c r="B29" s="1" t="n">
        <v>43406</v>
      </c>
      <c r="C29" s="1" t="n">
        <v>45270</v>
      </c>
      <c r="D29" t="inlineStr">
        <is>
          <t>VÄSTMANLANDS LÄN</t>
        </is>
      </c>
      <c r="E29" t="inlineStr">
        <is>
          <t>KÖPING</t>
        </is>
      </c>
      <c r="G29" t="n">
        <v>3.2</v>
      </c>
      <c r="H29" t="n">
        <v>0</v>
      </c>
      <c r="I29" t="n">
        <v>0</v>
      </c>
      <c r="J29" t="n">
        <v>0</v>
      </c>
      <c r="K29" t="n">
        <v>0</v>
      </c>
      <c r="L29" t="n">
        <v>0</v>
      </c>
      <c r="M29" t="n">
        <v>0</v>
      </c>
      <c r="N29" t="n">
        <v>0</v>
      </c>
      <c r="O29" t="n">
        <v>0</v>
      </c>
      <c r="P29" t="n">
        <v>0</v>
      </c>
      <c r="Q29" t="n">
        <v>0</v>
      </c>
      <c r="R29" s="2" t="inlineStr"/>
    </row>
    <row r="30" ht="15" customHeight="1">
      <c r="A30" t="inlineStr">
        <is>
          <t>A 59617-2018</t>
        </is>
      </c>
      <c r="B30" s="1" t="n">
        <v>43419</v>
      </c>
      <c r="C30" s="1" t="n">
        <v>45270</v>
      </c>
      <c r="D30" t="inlineStr">
        <is>
          <t>VÄSTMANLANDS LÄN</t>
        </is>
      </c>
      <c r="E30" t="inlineStr">
        <is>
          <t>KÖPING</t>
        </is>
      </c>
      <c r="G30" t="n">
        <v>3.4</v>
      </c>
      <c r="H30" t="n">
        <v>0</v>
      </c>
      <c r="I30" t="n">
        <v>0</v>
      </c>
      <c r="J30" t="n">
        <v>0</v>
      </c>
      <c r="K30" t="n">
        <v>0</v>
      </c>
      <c r="L30" t="n">
        <v>0</v>
      </c>
      <c r="M30" t="n">
        <v>0</v>
      </c>
      <c r="N30" t="n">
        <v>0</v>
      </c>
      <c r="O30" t="n">
        <v>0</v>
      </c>
      <c r="P30" t="n">
        <v>0</v>
      </c>
      <c r="Q30" t="n">
        <v>0</v>
      </c>
      <c r="R30" s="2" t="inlineStr"/>
    </row>
    <row r="31" ht="15" customHeight="1">
      <c r="A31" t="inlineStr">
        <is>
          <t>A 59838-2018</t>
        </is>
      </c>
      <c r="B31" s="1" t="n">
        <v>43419</v>
      </c>
      <c r="C31" s="1" t="n">
        <v>45270</v>
      </c>
      <c r="D31" t="inlineStr">
        <is>
          <t>VÄSTMANLANDS LÄN</t>
        </is>
      </c>
      <c r="E31" t="inlineStr">
        <is>
          <t>KÖPING</t>
        </is>
      </c>
      <c r="G31" t="n">
        <v>1.7</v>
      </c>
      <c r="H31" t="n">
        <v>0</v>
      </c>
      <c r="I31" t="n">
        <v>0</v>
      </c>
      <c r="J31" t="n">
        <v>0</v>
      </c>
      <c r="K31" t="n">
        <v>0</v>
      </c>
      <c r="L31" t="n">
        <v>0</v>
      </c>
      <c r="M31" t="n">
        <v>0</v>
      </c>
      <c r="N31" t="n">
        <v>0</v>
      </c>
      <c r="O31" t="n">
        <v>0</v>
      </c>
      <c r="P31" t="n">
        <v>0</v>
      </c>
      <c r="Q31" t="n">
        <v>0</v>
      </c>
      <c r="R31" s="2" t="inlineStr"/>
    </row>
    <row r="32" ht="15" customHeight="1">
      <c r="A32" t="inlineStr">
        <is>
          <t>A 66283-2018</t>
        </is>
      </c>
      <c r="B32" s="1" t="n">
        <v>43427</v>
      </c>
      <c r="C32" s="1" t="n">
        <v>45270</v>
      </c>
      <c r="D32" t="inlineStr">
        <is>
          <t>VÄSTMANLANDS LÄN</t>
        </is>
      </c>
      <c r="E32" t="inlineStr">
        <is>
          <t>KÖPING</t>
        </is>
      </c>
      <c r="G32" t="n">
        <v>12</v>
      </c>
      <c r="H32" t="n">
        <v>0</v>
      </c>
      <c r="I32" t="n">
        <v>0</v>
      </c>
      <c r="J32" t="n">
        <v>0</v>
      </c>
      <c r="K32" t="n">
        <v>0</v>
      </c>
      <c r="L32" t="n">
        <v>0</v>
      </c>
      <c r="M32" t="n">
        <v>0</v>
      </c>
      <c r="N32" t="n">
        <v>0</v>
      </c>
      <c r="O32" t="n">
        <v>0</v>
      </c>
      <c r="P32" t="n">
        <v>0</v>
      </c>
      <c r="Q32" t="n">
        <v>0</v>
      </c>
      <c r="R32" s="2" t="inlineStr"/>
    </row>
    <row r="33" ht="15" customHeight="1">
      <c r="A33" t="inlineStr">
        <is>
          <t>A 64764-2018</t>
        </is>
      </c>
      <c r="B33" s="1" t="n">
        <v>43431</v>
      </c>
      <c r="C33" s="1" t="n">
        <v>45270</v>
      </c>
      <c r="D33" t="inlineStr">
        <is>
          <t>VÄSTMANLANDS LÄN</t>
        </is>
      </c>
      <c r="E33" t="inlineStr">
        <is>
          <t>KÖPING</t>
        </is>
      </c>
      <c r="G33" t="n">
        <v>4.5</v>
      </c>
      <c r="H33" t="n">
        <v>0</v>
      </c>
      <c r="I33" t="n">
        <v>0</v>
      </c>
      <c r="J33" t="n">
        <v>0</v>
      </c>
      <c r="K33" t="n">
        <v>0</v>
      </c>
      <c r="L33" t="n">
        <v>0</v>
      </c>
      <c r="M33" t="n">
        <v>0</v>
      </c>
      <c r="N33" t="n">
        <v>0</v>
      </c>
      <c r="O33" t="n">
        <v>0</v>
      </c>
      <c r="P33" t="n">
        <v>0</v>
      </c>
      <c r="Q33" t="n">
        <v>0</v>
      </c>
      <c r="R33" s="2" t="inlineStr"/>
    </row>
    <row r="34" ht="15" customHeight="1">
      <c r="A34" t="inlineStr">
        <is>
          <t>A 66001-2018</t>
        </is>
      </c>
      <c r="B34" s="1" t="n">
        <v>43434</v>
      </c>
      <c r="C34" s="1" t="n">
        <v>45270</v>
      </c>
      <c r="D34" t="inlineStr">
        <is>
          <t>VÄSTMANLANDS LÄN</t>
        </is>
      </c>
      <c r="E34" t="inlineStr">
        <is>
          <t>KÖPING</t>
        </is>
      </c>
      <c r="G34" t="n">
        <v>0.7</v>
      </c>
      <c r="H34" t="n">
        <v>0</v>
      </c>
      <c r="I34" t="n">
        <v>0</v>
      </c>
      <c r="J34" t="n">
        <v>0</v>
      </c>
      <c r="K34" t="n">
        <v>0</v>
      </c>
      <c r="L34" t="n">
        <v>0</v>
      </c>
      <c r="M34" t="n">
        <v>0</v>
      </c>
      <c r="N34" t="n">
        <v>0</v>
      </c>
      <c r="O34" t="n">
        <v>0</v>
      </c>
      <c r="P34" t="n">
        <v>0</v>
      </c>
      <c r="Q34" t="n">
        <v>0</v>
      </c>
      <c r="R34" s="2" t="inlineStr"/>
    </row>
    <row r="35" ht="15" customHeight="1">
      <c r="A35" t="inlineStr">
        <is>
          <t>A 65923-2018</t>
        </is>
      </c>
      <c r="B35" s="1" t="n">
        <v>43434</v>
      </c>
      <c r="C35" s="1" t="n">
        <v>45270</v>
      </c>
      <c r="D35" t="inlineStr">
        <is>
          <t>VÄSTMANLANDS LÄN</t>
        </is>
      </c>
      <c r="E35" t="inlineStr">
        <is>
          <t>KÖPING</t>
        </is>
      </c>
      <c r="G35" t="n">
        <v>1</v>
      </c>
      <c r="H35" t="n">
        <v>0</v>
      </c>
      <c r="I35" t="n">
        <v>0</v>
      </c>
      <c r="J35" t="n">
        <v>0</v>
      </c>
      <c r="K35" t="n">
        <v>0</v>
      </c>
      <c r="L35" t="n">
        <v>0</v>
      </c>
      <c r="M35" t="n">
        <v>0</v>
      </c>
      <c r="N35" t="n">
        <v>0</v>
      </c>
      <c r="O35" t="n">
        <v>0</v>
      </c>
      <c r="P35" t="n">
        <v>0</v>
      </c>
      <c r="Q35" t="n">
        <v>0</v>
      </c>
      <c r="R35" s="2" t="inlineStr"/>
    </row>
    <row r="36" ht="15" customHeight="1">
      <c r="A36" t="inlineStr">
        <is>
          <t>A 70004-2018</t>
        </is>
      </c>
      <c r="B36" s="1" t="n">
        <v>43447</v>
      </c>
      <c r="C36" s="1" t="n">
        <v>45270</v>
      </c>
      <c r="D36" t="inlineStr">
        <is>
          <t>VÄSTMANLANDS LÄN</t>
        </is>
      </c>
      <c r="E36" t="inlineStr">
        <is>
          <t>KÖPING</t>
        </is>
      </c>
      <c r="G36" t="n">
        <v>2</v>
      </c>
      <c r="H36" t="n">
        <v>0</v>
      </c>
      <c r="I36" t="n">
        <v>0</v>
      </c>
      <c r="J36" t="n">
        <v>0</v>
      </c>
      <c r="K36" t="n">
        <v>0</v>
      </c>
      <c r="L36" t="n">
        <v>0</v>
      </c>
      <c r="M36" t="n">
        <v>0</v>
      </c>
      <c r="N36" t="n">
        <v>0</v>
      </c>
      <c r="O36" t="n">
        <v>0</v>
      </c>
      <c r="P36" t="n">
        <v>0</v>
      </c>
      <c r="Q36" t="n">
        <v>0</v>
      </c>
      <c r="R36" s="2" t="inlineStr"/>
    </row>
    <row r="37" ht="15" customHeight="1">
      <c r="A37" t="inlineStr">
        <is>
          <t>A 72276-2018</t>
        </is>
      </c>
      <c r="B37" s="1" t="n">
        <v>43455</v>
      </c>
      <c r="C37" s="1" t="n">
        <v>45270</v>
      </c>
      <c r="D37" t="inlineStr">
        <is>
          <t>VÄSTMANLANDS LÄN</t>
        </is>
      </c>
      <c r="E37" t="inlineStr">
        <is>
          <t>KÖPING</t>
        </is>
      </c>
      <c r="G37" t="n">
        <v>2.3</v>
      </c>
      <c r="H37" t="n">
        <v>0</v>
      </c>
      <c r="I37" t="n">
        <v>0</v>
      </c>
      <c r="J37" t="n">
        <v>0</v>
      </c>
      <c r="K37" t="n">
        <v>0</v>
      </c>
      <c r="L37" t="n">
        <v>0</v>
      </c>
      <c r="M37" t="n">
        <v>0</v>
      </c>
      <c r="N37" t="n">
        <v>0</v>
      </c>
      <c r="O37" t="n">
        <v>0</v>
      </c>
      <c r="P37" t="n">
        <v>0</v>
      </c>
      <c r="Q37" t="n">
        <v>0</v>
      </c>
      <c r="R37" s="2" t="inlineStr"/>
    </row>
    <row r="38" ht="15" customHeight="1">
      <c r="A38" t="inlineStr">
        <is>
          <t>A 72313-2018</t>
        </is>
      </c>
      <c r="B38" s="1" t="n">
        <v>43456</v>
      </c>
      <c r="C38" s="1" t="n">
        <v>45270</v>
      </c>
      <c r="D38" t="inlineStr">
        <is>
          <t>VÄSTMANLANDS LÄN</t>
        </is>
      </c>
      <c r="E38" t="inlineStr">
        <is>
          <t>KÖPING</t>
        </is>
      </c>
      <c r="G38" t="n">
        <v>0.6</v>
      </c>
      <c r="H38" t="n">
        <v>0</v>
      </c>
      <c r="I38" t="n">
        <v>0</v>
      </c>
      <c r="J38" t="n">
        <v>0</v>
      </c>
      <c r="K38" t="n">
        <v>0</v>
      </c>
      <c r="L38" t="n">
        <v>0</v>
      </c>
      <c r="M38" t="n">
        <v>0</v>
      </c>
      <c r="N38" t="n">
        <v>0</v>
      </c>
      <c r="O38" t="n">
        <v>0</v>
      </c>
      <c r="P38" t="n">
        <v>0</v>
      </c>
      <c r="Q38" t="n">
        <v>0</v>
      </c>
      <c r="R38" s="2" t="inlineStr"/>
    </row>
    <row r="39" ht="15" customHeight="1">
      <c r="A39" t="inlineStr">
        <is>
          <t>A 72314-2018</t>
        </is>
      </c>
      <c r="B39" s="1" t="n">
        <v>43456</v>
      </c>
      <c r="C39" s="1" t="n">
        <v>45270</v>
      </c>
      <c r="D39" t="inlineStr">
        <is>
          <t>VÄSTMANLANDS LÄN</t>
        </is>
      </c>
      <c r="E39" t="inlineStr">
        <is>
          <t>KÖPING</t>
        </is>
      </c>
      <c r="G39" t="n">
        <v>0.7</v>
      </c>
      <c r="H39" t="n">
        <v>0</v>
      </c>
      <c r="I39" t="n">
        <v>0</v>
      </c>
      <c r="J39" t="n">
        <v>0</v>
      </c>
      <c r="K39" t="n">
        <v>0</v>
      </c>
      <c r="L39" t="n">
        <v>0</v>
      </c>
      <c r="M39" t="n">
        <v>0</v>
      </c>
      <c r="N39" t="n">
        <v>0</v>
      </c>
      <c r="O39" t="n">
        <v>0</v>
      </c>
      <c r="P39" t="n">
        <v>0</v>
      </c>
      <c r="Q39" t="n">
        <v>0</v>
      </c>
      <c r="R39" s="2" t="inlineStr"/>
    </row>
    <row r="40" ht="15" customHeight="1">
      <c r="A40" t="inlineStr">
        <is>
          <t>A 72312-2018</t>
        </is>
      </c>
      <c r="B40" s="1" t="n">
        <v>43456</v>
      </c>
      <c r="C40" s="1" t="n">
        <v>45270</v>
      </c>
      <c r="D40" t="inlineStr">
        <is>
          <t>VÄSTMANLANDS LÄN</t>
        </is>
      </c>
      <c r="E40" t="inlineStr">
        <is>
          <t>KÖPING</t>
        </is>
      </c>
      <c r="G40" t="n">
        <v>0.9</v>
      </c>
      <c r="H40" t="n">
        <v>0</v>
      </c>
      <c r="I40" t="n">
        <v>0</v>
      </c>
      <c r="J40" t="n">
        <v>0</v>
      </c>
      <c r="K40" t="n">
        <v>0</v>
      </c>
      <c r="L40" t="n">
        <v>0</v>
      </c>
      <c r="M40" t="n">
        <v>0</v>
      </c>
      <c r="N40" t="n">
        <v>0</v>
      </c>
      <c r="O40" t="n">
        <v>0</v>
      </c>
      <c r="P40" t="n">
        <v>0</v>
      </c>
      <c r="Q40" t="n">
        <v>0</v>
      </c>
      <c r="R40" s="2" t="inlineStr"/>
    </row>
    <row r="41" ht="15" customHeight="1">
      <c r="A41" t="inlineStr">
        <is>
          <t>A 8071-2019</t>
        </is>
      </c>
      <c r="B41" s="1" t="n">
        <v>43501</v>
      </c>
      <c r="C41" s="1" t="n">
        <v>45270</v>
      </c>
      <c r="D41" t="inlineStr">
        <is>
          <t>VÄSTMANLANDS LÄN</t>
        </is>
      </c>
      <c r="E41" t="inlineStr">
        <is>
          <t>KÖPING</t>
        </is>
      </c>
      <c r="G41" t="n">
        <v>0.9</v>
      </c>
      <c r="H41" t="n">
        <v>0</v>
      </c>
      <c r="I41" t="n">
        <v>0</v>
      </c>
      <c r="J41" t="n">
        <v>0</v>
      </c>
      <c r="K41" t="n">
        <v>0</v>
      </c>
      <c r="L41" t="n">
        <v>0</v>
      </c>
      <c r="M41" t="n">
        <v>0</v>
      </c>
      <c r="N41" t="n">
        <v>0</v>
      </c>
      <c r="O41" t="n">
        <v>0</v>
      </c>
      <c r="P41" t="n">
        <v>0</v>
      </c>
      <c r="Q41" t="n">
        <v>0</v>
      </c>
      <c r="R41" s="2" t="inlineStr"/>
    </row>
    <row r="42" ht="15" customHeight="1">
      <c r="A42" t="inlineStr">
        <is>
          <t>A 8914-2019</t>
        </is>
      </c>
      <c r="B42" s="1" t="n">
        <v>43503</v>
      </c>
      <c r="C42" s="1" t="n">
        <v>45270</v>
      </c>
      <c r="D42" t="inlineStr">
        <is>
          <t>VÄSTMANLANDS LÄN</t>
        </is>
      </c>
      <c r="E42" t="inlineStr">
        <is>
          <t>KÖPING</t>
        </is>
      </c>
      <c r="G42" t="n">
        <v>0.8</v>
      </c>
      <c r="H42" t="n">
        <v>0</v>
      </c>
      <c r="I42" t="n">
        <v>0</v>
      </c>
      <c r="J42" t="n">
        <v>0</v>
      </c>
      <c r="K42" t="n">
        <v>0</v>
      </c>
      <c r="L42" t="n">
        <v>0</v>
      </c>
      <c r="M42" t="n">
        <v>0</v>
      </c>
      <c r="N42" t="n">
        <v>0</v>
      </c>
      <c r="O42" t="n">
        <v>0</v>
      </c>
      <c r="P42" t="n">
        <v>0</v>
      </c>
      <c r="Q42" t="n">
        <v>0</v>
      </c>
      <c r="R42" s="2" t="inlineStr"/>
    </row>
    <row r="43" ht="15" customHeight="1">
      <c r="A43" t="inlineStr">
        <is>
          <t>A 8830-2019</t>
        </is>
      </c>
      <c r="B43" s="1" t="n">
        <v>43503</v>
      </c>
      <c r="C43" s="1" t="n">
        <v>45270</v>
      </c>
      <c r="D43" t="inlineStr">
        <is>
          <t>VÄSTMANLANDS LÄN</t>
        </is>
      </c>
      <c r="E43" t="inlineStr">
        <is>
          <t>KÖPING</t>
        </is>
      </c>
      <c r="G43" t="n">
        <v>0.5</v>
      </c>
      <c r="H43" t="n">
        <v>0</v>
      </c>
      <c r="I43" t="n">
        <v>0</v>
      </c>
      <c r="J43" t="n">
        <v>0</v>
      </c>
      <c r="K43" t="n">
        <v>0</v>
      </c>
      <c r="L43" t="n">
        <v>0</v>
      </c>
      <c r="M43" t="n">
        <v>0</v>
      </c>
      <c r="N43" t="n">
        <v>0</v>
      </c>
      <c r="O43" t="n">
        <v>0</v>
      </c>
      <c r="P43" t="n">
        <v>0</v>
      </c>
      <c r="Q43" t="n">
        <v>0</v>
      </c>
      <c r="R43" s="2" t="inlineStr"/>
    </row>
    <row r="44" ht="15" customHeight="1">
      <c r="A44" t="inlineStr">
        <is>
          <t>A 9390-2019</t>
        </is>
      </c>
      <c r="B44" s="1" t="n">
        <v>43507</v>
      </c>
      <c r="C44" s="1" t="n">
        <v>45270</v>
      </c>
      <c r="D44" t="inlineStr">
        <is>
          <t>VÄSTMANLANDS LÄN</t>
        </is>
      </c>
      <c r="E44" t="inlineStr">
        <is>
          <t>KÖPING</t>
        </is>
      </c>
      <c r="G44" t="n">
        <v>11.1</v>
      </c>
      <c r="H44" t="n">
        <v>0</v>
      </c>
      <c r="I44" t="n">
        <v>0</v>
      </c>
      <c r="J44" t="n">
        <v>0</v>
      </c>
      <c r="K44" t="n">
        <v>0</v>
      </c>
      <c r="L44" t="n">
        <v>0</v>
      </c>
      <c r="M44" t="n">
        <v>0</v>
      </c>
      <c r="N44" t="n">
        <v>0</v>
      </c>
      <c r="O44" t="n">
        <v>0</v>
      </c>
      <c r="P44" t="n">
        <v>0</v>
      </c>
      <c r="Q44" t="n">
        <v>0</v>
      </c>
      <c r="R44" s="2" t="inlineStr"/>
    </row>
    <row r="45" ht="15" customHeight="1">
      <c r="A45" t="inlineStr">
        <is>
          <t>A 10876-2019</t>
        </is>
      </c>
      <c r="B45" s="1" t="n">
        <v>43514</v>
      </c>
      <c r="C45" s="1" t="n">
        <v>45270</v>
      </c>
      <c r="D45" t="inlineStr">
        <is>
          <t>VÄSTMANLANDS LÄN</t>
        </is>
      </c>
      <c r="E45" t="inlineStr">
        <is>
          <t>KÖPING</t>
        </is>
      </c>
      <c r="G45" t="n">
        <v>11.5</v>
      </c>
      <c r="H45" t="n">
        <v>0</v>
      </c>
      <c r="I45" t="n">
        <v>0</v>
      </c>
      <c r="J45" t="n">
        <v>0</v>
      </c>
      <c r="K45" t="n">
        <v>0</v>
      </c>
      <c r="L45" t="n">
        <v>0</v>
      </c>
      <c r="M45" t="n">
        <v>0</v>
      </c>
      <c r="N45" t="n">
        <v>0</v>
      </c>
      <c r="O45" t="n">
        <v>0</v>
      </c>
      <c r="P45" t="n">
        <v>0</v>
      </c>
      <c r="Q45" t="n">
        <v>0</v>
      </c>
      <c r="R45" s="2" t="inlineStr"/>
    </row>
    <row r="46" ht="15" customHeight="1">
      <c r="A46" t="inlineStr">
        <is>
          <t>A 10885-2019</t>
        </is>
      </c>
      <c r="B46" s="1" t="n">
        <v>43515</v>
      </c>
      <c r="C46" s="1" t="n">
        <v>45270</v>
      </c>
      <c r="D46" t="inlineStr">
        <is>
          <t>VÄSTMANLANDS LÄN</t>
        </is>
      </c>
      <c r="E46" t="inlineStr">
        <is>
          <t>KÖPING</t>
        </is>
      </c>
      <c r="G46" t="n">
        <v>2.2</v>
      </c>
      <c r="H46" t="n">
        <v>0</v>
      </c>
      <c r="I46" t="n">
        <v>0</v>
      </c>
      <c r="J46" t="n">
        <v>0</v>
      </c>
      <c r="K46" t="n">
        <v>0</v>
      </c>
      <c r="L46" t="n">
        <v>0</v>
      </c>
      <c r="M46" t="n">
        <v>0</v>
      </c>
      <c r="N46" t="n">
        <v>0</v>
      </c>
      <c r="O46" t="n">
        <v>0</v>
      </c>
      <c r="P46" t="n">
        <v>0</v>
      </c>
      <c r="Q46" t="n">
        <v>0</v>
      </c>
      <c r="R46" s="2" t="inlineStr"/>
    </row>
    <row r="47" ht="15" customHeight="1">
      <c r="A47" t="inlineStr">
        <is>
          <t>A 13564-2019</t>
        </is>
      </c>
      <c r="B47" s="1" t="n">
        <v>43530</v>
      </c>
      <c r="C47" s="1" t="n">
        <v>45270</v>
      </c>
      <c r="D47" t="inlineStr">
        <is>
          <t>VÄSTMANLANDS LÄN</t>
        </is>
      </c>
      <c r="E47" t="inlineStr">
        <is>
          <t>KÖPING</t>
        </is>
      </c>
      <c r="G47" t="n">
        <v>1.4</v>
      </c>
      <c r="H47" t="n">
        <v>0</v>
      </c>
      <c r="I47" t="n">
        <v>0</v>
      </c>
      <c r="J47" t="n">
        <v>0</v>
      </c>
      <c r="K47" t="n">
        <v>0</v>
      </c>
      <c r="L47" t="n">
        <v>0</v>
      </c>
      <c r="M47" t="n">
        <v>0</v>
      </c>
      <c r="N47" t="n">
        <v>0</v>
      </c>
      <c r="O47" t="n">
        <v>0</v>
      </c>
      <c r="P47" t="n">
        <v>0</v>
      </c>
      <c r="Q47" t="n">
        <v>0</v>
      </c>
      <c r="R47" s="2" t="inlineStr"/>
    </row>
    <row r="48" ht="15" customHeight="1">
      <c r="A48" t="inlineStr">
        <is>
          <t>A 14314-2019</t>
        </is>
      </c>
      <c r="B48" s="1" t="n">
        <v>43535</v>
      </c>
      <c r="C48" s="1" t="n">
        <v>45270</v>
      </c>
      <c r="D48" t="inlineStr">
        <is>
          <t>VÄSTMANLANDS LÄN</t>
        </is>
      </c>
      <c r="E48" t="inlineStr">
        <is>
          <t>KÖPING</t>
        </is>
      </c>
      <c r="G48" t="n">
        <v>3</v>
      </c>
      <c r="H48" t="n">
        <v>0</v>
      </c>
      <c r="I48" t="n">
        <v>0</v>
      </c>
      <c r="J48" t="n">
        <v>0</v>
      </c>
      <c r="K48" t="n">
        <v>0</v>
      </c>
      <c r="L48" t="n">
        <v>0</v>
      </c>
      <c r="M48" t="n">
        <v>0</v>
      </c>
      <c r="N48" t="n">
        <v>0</v>
      </c>
      <c r="O48" t="n">
        <v>0</v>
      </c>
      <c r="P48" t="n">
        <v>0</v>
      </c>
      <c r="Q48" t="n">
        <v>0</v>
      </c>
      <c r="R48" s="2" t="inlineStr"/>
    </row>
    <row r="49" ht="15" customHeight="1">
      <c r="A49" t="inlineStr">
        <is>
          <t>A 14313-2019</t>
        </is>
      </c>
      <c r="B49" s="1" t="n">
        <v>43535</v>
      </c>
      <c r="C49" s="1" t="n">
        <v>45270</v>
      </c>
      <c r="D49" t="inlineStr">
        <is>
          <t>VÄSTMANLANDS LÄN</t>
        </is>
      </c>
      <c r="E49" t="inlineStr">
        <is>
          <t>KÖPING</t>
        </is>
      </c>
      <c r="G49" t="n">
        <v>0.6</v>
      </c>
      <c r="H49" t="n">
        <v>0</v>
      </c>
      <c r="I49" t="n">
        <v>0</v>
      </c>
      <c r="J49" t="n">
        <v>0</v>
      </c>
      <c r="K49" t="n">
        <v>0</v>
      </c>
      <c r="L49" t="n">
        <v>0</v>
      </c>
      <c r="M49" t="n">
        <v>0</v>
      </c>
      <c r="N49" t="n">
        <v>0</v>
      </c>
      <c r="O49" t="n">
        <v>0</v>
      </c>
      <c r="P49" t="n">
        <v>0</v>
      </c>
      <c r="Q49" t="n">
        <v>0</v>
      </c>
      <c r="R49" s="2" t="inlineStr"/>
    </row>
    <row r="50" ht="15" customHeight="1">
      <c r="A50" t="inlineStr">
        <is>
          <t>A 14318-2019</t>
        </is>
      </c>
      <c r="B50" s="1" t="n">
        <v>43535</v>
      </c>
      <c r="C50" s="1" t="n">
        <v>45270</v>
      </c>
      <c r="D50" t="inlineStr">
        <is>
          <t>VÄSTMANLANDS LÄN</t>
        </is>
      </c>
      <c r="E50" t="inlineStr">
        <is>
          <t>KÖPING</t>
        </is>
      </c>
      <c r="G50" t="n">
        <v>0.3</v>
      </c>
      <c r="H50" t="n">
        <v>0</v>
      </c>
      <c r="I50" t="n">
        <v>0</v>
      </c>
      <c r="J50" t="n">
        <v>0</v>
      </c>
      <c r="K50" t="n">
        <v>0</v>
      </c>
      <c r="L50" t="n">
        <v>0</v>
      </c>
      <c r="M50" t="n">
        <v>0</v>
      </c>
      <c r="N50" t="n">
        <v>0</v>
      </c>
      <c r="O50" t="n">
        <v>0</v>
      </c>
      <c r="P50" t="n">
        <v>0</v>
      </c>
      <c r="Q50" t="n">
        <v>0</v>
      </c>
      <c r="R50" s="2" t="inlineStr"/>
    </row>
    <row r="51" ht="15" customHeight="1">
      <c r="A51" t="inlineStr">
        <is>
          <t>A 17915-2019</t>
        </is>
      </c>
      <c r="B51" s="1" t="n">
        <v>43557</v>
      </c>
      <c r="C51" s="1" t="n">
        <v>45270</v>
      </c>
      <c r="D51" t="inlineStr">
        <is>
          <t>VÄSTMANLANDS LÄN</t>
        </is>
      </c>
      <c r="E51" t="inlineStr">
        <is>
          <t>KÖPING</t>
        </is>
      </c>
      <c r="G51" t="n">
        <v>2.7</v>
      </c>
      <c r="H51" t="n">
        <v>0</v>
      </c>
      <c r="I51" t="n">
        <v>0</v>
      </c>
      <c r="J51" t="n">
        <v>0</v>
      </c>
      <c r="K51" t="n">
        <v>0</v>
      </c>
      <c r="L51" t="n">
        <v>0</v>
      </c>
      <c r="M51" t="n">
        <v>0</v>
      </c>
      <c r="N51" t="n">
        <v>0</v>
      </c>
      <c r="O51" t="n">
        <v>0</v>
      </c>
      <c r="P51" t="n">
        <v>0</v>
      </c>
      <c r="Q51" t="n">
        <v>0</v>
      </c>
      <c r="R51" s="2" t="inlineStr"/>
    </row>
    <row r="52" ht="15" customHeight="1">
      <c r="A52" t="inlineStr">
        <is>
          <t>A 24107-2019</t>
        </is>
      </c>
      <c r="B52" s="1" t="n">
        <v>43595</v>
      </c>
      <c r="C52" s="1" t="n">
        <v>45270</v>
      </c>
      <c r="D52" t="inlineStr">
        <is>
          <t>VÄSTMANLANDS LÄN</t>
        </is>
      </c>
      <c r="E52" t="inlineStr">
        <is>
          <t>KÖPING</t>
        </is>
      </c>
      <c r="G52" t="n">
        <v>5.6</v>
      </c>
      <c r="H52" t="n">
        <v>0</v>
      </c>
      <c r="I52" t="n">
        <v>0</v>
      </c>
      <c r="J52" t="n">
        <v>0</v>
      </c>
      <c r="K52" t="n">
        <v>0</v>
      </c>
      <c r="L52" t="n">
        <v>0</v>
      </c>
      <c r="M52" t="n">
        <v>0</v>
      </c>
      <c r="N52" t="n">
        <v>0</v>
      </c>
      <c r="O52" t="n">
        <v>0</v>
      </c>
      <c r="P52" t="n">
        <v>0</v>
      </c>
      <c r="Q52" t="n">
        <v>0</v>
      </c>
      <c r="R52" s="2" t="inlineStr"/>
    </row>
    <row r="53" ht="15" customHeight="1">
      <c r="A53" t="inlineStr">
        <is>
          <t>A 24017-2019</t>
        </is>
      </c>
      <c r="B53" s="1" t="n">
        <v>43598</v>
      </c>
      <c r="C53" s="1" t="n">
        <v>45270</v>
      </c>
      <c r="D53" t="inlineStr">
        <is>
          <t>VÄSTMANLANDS LÄN</t>
        </is>
      </c>
      <c r="E53" t="inlineStr">
        <is>
          <t>KÖPING</t>
        </is>
      </c>
      <c r="F53" t="inlineStr">
        <is>
          <t>Sveaskog</t>
        </is>
      </c>
      <c r="G53" t="n">
        <v>1.1</v>
      </c>
      <c r="H53" t="n">
        <v>0</v>
      </c>
      <c r="I53" t="n">
        <v>0</v>
      </c>
      <c r="J53" t="n">
        <v>0</v>
      </c>
      <c r="K53" t="n">
        <v>0</v>
      </c>
      <c r="L53" t="n">
        <v>0</v>
      </c>
      <c r="M53" t="n">
        <v>0</v>
      </c>
      <c r="N53" t="n">
        <v>0</v>
      </c>
      <c r="O53" t="n">
        <v>0</v>
      </c>
      <c r="P53" t="n">
        <v>0</v>
      </c>
      <c r="Q53" t="n">
        <v>0</v>
      </c>
      <c r="R53" s="2" t="inlineStr"/>
    </row>
    <row r="54" ht="15" customHeight="1">
      <c r="A54" t="inlineStr">
        <is>
          <t>A 24417-2019</t>
        </is>
      </c>
      <c r="B54" s="1" t="n">
        <v>43600</v>
      </c>
      <c r="C54" s="1" t="n">
        <v>45270</v>
      </c>
      <c r="D54" t="inlineStr">
        <is>
          <t>VÄSTMANLANDS LÄN</t>
        </is>
      </c>
      <c r="E54" t="inlineStr">
        <is>
          <t>KÖPING</t>
        </is>
      </c>
      <c r="G54" t="n">
        <v>2.8</v>
      </c>
      <c r="H54" t="n">
        <v>0</v>
      </c>
      <c r="I54" t="n">
        <v>0</v>
      </c>
      <c r="J54" t="n">
        <v>0</v>
      </c>
      <c r="K54" t="n">
        <v>0</v>
      </c>
      <c r="L54" t="n">
        <v>0</v>
      </c>
      <c r="M54" t="n">
        <v>0</v>
      </c>
      <c r="N54" t="n">
        <v>0</v>
      </c>
      <c r="O54" t="n">
        <v>0</v>
      </c>
      <c r="P54" t="n">
        <v>0</v>
      </c>
      <c r="Q54" t="n">
        <v>0</v>
      </c>
      <c r="R54" s="2" t="inlineStr"/>
    </row>
    <row r="55" ht="15" customHeight="1">
      <c r="A55" t="inlineStr">
        <is>
          <t>A 24909-2019</t>
        </is>
      </c>
      <c r="B55" s="1" t="n">
        <v>43602</v>
      </c>
      <c r="C55" s="1" t="n">
        <v>45270</v>
      </c>
      <c r="D55" t="inlineStr">
        <is>
          <t>VÄSTMANLANDS LÄN</t>
        </is>
      </c>
      <c r="E55" t="inlineStr">
        <is>
          <t>KÖPING</t>
        </is>
      </c>
      <c r="G55" t="n">
        <v>6.2</v>
      </c>
      <c r="H55" t="n">
        <v>0</v>
      </c>
      <c r="I55" t="n">
        <v>0</v>
      </c>
      <c r="J55" t="n">
        <v>0</v>
      </c>
      <c r="K55" t="n">
        <v>0</v>
      </c>
      <c r="L55" t="n">
        <v>0</v>
      </c>
      <c r="M55" t="n">
        <v>0</v>
      </c>
      <c r="N55" t="n">
        <v>0</v>
      </c>
      <c r="O55" t="n">
        <v>0</v>
      </c>
      <c r="P55" t="n">
        <v>0</v>
      </c>
      <c r="Q55" t="n">
        <v>0</v>
      </c>
      <c r="R55" s="2" t="inlineStr"/>
    </row>
    <row r="56" ht="15" customHeight="1">
      <c r="A56" t="inlineStr">
        <is>
          <t>A 25741-2019</t>
        </is>
      </c>
      <c r="B56" s="1" t="n">
        <v>43608</v>
      </c>
      <c r="C56" s="1" t="n">
        <v>45270</v>
      </c>
      <c r="D56" t="inlineStr">
        <is>
          <t>VÄSTMANLANDS LÄN</t>
        </is>
      </c>
      <c r="E56" t="inlineStr">
        <is>
          <t>KÖPING</t>
        </is>
      </c>
      <c r="F56" t="inlineStr">
        <is>
          <t>Sveaskog</t>
        </is>
      </c>
      <c r="G56" t="n">
        <v>0.8</v>
      </c>
      <c r="H56" t="n">
        <v>0</v>
      </c>
      <c r="I56" t="n">
        <v>0</v>
      </c>
      <c r="J56" t="n">
        <v>0</v>
      </c>
      <c r="K56" t="n">
        <v>0</v>
      </c>
      <c r="L56" t="n">
        <v>0</v>
      </c>
      <c r="M56" t="n">
        <v>0</v>
      </c>
      <c r="N56" t="n">
        <v>0</v>
      </c>
      <c r="O56" t="n">
        <v>0</v>
      </c>
      <c r="P56" t="n">
        <v>0</v>
      </c>
      <c r="Q56" t="n">
        <v>0</v>
      </c>
      <c r="R56" s="2" t="inlineStr"/>
    </row>
    <row r="57" ht="15" customHeight="1">
      <c r="A57" t="inlineStr">
        <is>
          <t>A 26414-2019</t>
        </is>
      </c>
      <c r="B57" s="1" t="n">
        <v>43612</v>
      </c>
      <c r="C57" s="1" t="n">
        <v>45270</v>
      </c>
      <c r="D57" t="inlineStr">
        <is>
          <t>VÄSTMANLANDS LÄN</t>
        </is>
      </c>
      <c r="E57" t="inlineStr">
        <is>
          <t>KÖPING</t>
        </is>
      </c>
      <c r="G57" t="n">
        <v>1.2</v>
      </c>
      <c r="H57" t="n">
        <v>0</v>
      </c>
      <c r="I57" t="n">
        <v>0</v>
      </c>
      <c r="J57" t="n">
        <v>0</v>
      </c>
      <c r="K57" t="n">
        <v>0</v>
      </c>
      <c r="L57" t="n">
        <v>0</v>
      </c>
      <c r="M57" t="n">
        <v>0</v>
      </c>
      <c r="N57" t="n">
        <v>0</v>
      </c>
      <c r="O57" t="n">
        <v>0</v>
      </c>
      <c r="P57" t="n">
        <v>0</v>
      </c>
      <c r="Q57" t="n">
        <v>0</v>
      </c>
      <c r="R57" s="2" t="inlineStr"/>
    </row>
    <row r="58" ht="15" customHeight="1">
      <c r="A58" t="inlineStr">
        <is>
          <t>A 27182-2019</t>
        </is>
      </c>
      <c r="B58" s="1" t="n">
        <v>43614</v>
      </c>
      <c r="C58" s="1" t="n">
        <v>45270</v>
      </c>
      <c r="D58" t="inlineStr">
        <is>
          <t>VÄSTMANLANDS LÄN</t>
        </is>
      </c>
      <c r="E58" t="inlineStr">
        <is>
          <t>KÖPING</t>
        </is>
      </c>
      <c r="G58" t="n">
        <v>6</v>
      </c>
      <c r="H58" t="n">
        <v>0</v>
      </c>
      <c r="I58" t="n">
        <v>0</v>
      </c>
      <c r="J58" t="n">
        <v>0</v>
      </c>
      <c r="K58" t="n">
        <v>0</v>
      </c>
      <c r="L58" t="n">
        <v>0</v>
      </c>
      <c r="M58" t="n">
        <v>0</v>
      </c>
      <c r="N58" t="n">
        <v>0</v>
      </c>
      <c r="O58" t="n">
        <v>0</v>
      </c>
      <c r="P58" t="n">
        <v>0</v>
      </c>
      <c r="Q58" t="n">
        <v>0</v>
      </c>
      <c r="R58" s="2" t="inlineStr"/>
    </row>
    <row r="59" ht="15" customHeight="1">
      <c r="A59" t="inlineStr">
        <is>
          <t>A 27381-2019</t>
        </is>
      </c>
      <c r="B59" s="1" t="n">
        <v>43616</v>
      </c>
      <c r="C59" s="1" t="n">
        <v>45270</v>
      </c>
      <c r="D59" t="inlineStr">
        <is>
          <t>VÄSTMANLANDS LÄN</t>
        </is>
      </c>
      <c r="E59" t="inlineStr">
        <is>
          <t>KÖPING</t>
        </is>
      </c>
      <c r="G59" t="n">
        <v>3.3</v>
      </c>
      <c r="H59" t="n">
        <v>0</v>
      </c>
      <c r="I59" t="n">
        <v>0</v>
      </c>
      <c r="J59" t="n">
        <v>0</v>
      </c>
      <c r="K59" t="n">
        <v>0</v>
      </c>
      <c r="L59" t="n">
        <v>0</v>
      </c>
      <c r="M59" t="n">
        <v>0</v>
      </c>
      <c r="N59" t="n">
        <v>0</v>
      </c>
      <c r="O59" t="n">
        <v>0</v>
      </c>
      <c r="P59" t="n">
        <v>0</v>
      </c>
      <c r="Q59" t="n">
        <v>0</v>
      </c>
      <c r="R59" s="2" t="inlineStr"/>
    </row>
    <row r="60" ht="15" customHeight="1">
      <c r="A60" t="inlineStr">
        <is>
          <t>A 27391-2019</t>
        </is>
      </c>
      <c r="B60" s="1" t="n">
        <v>43616</v>
      </c>
      <c r="C60" s="1" t="n">
        <v>45270</v>
      </c>
      <c r="D60" t="inlineStr">
        <is>
          <t>VÄSTMANLANDS LÄN</t>
        </is>
      </c>
      <c r="E60" t="inlineStr">
        <is>
          <t>KÖPING</t>
        </is>
      </c>
      <c r="G60" t="n">
        <v>2.1</v>
      </c>
      <c r="H60" t="n">
        <v>0</v>
      </c>
      <c r="I60" t="n">
        <v>0</v>
      </c>
      <c r="J60" t="n">
        <v>0</v>
      </c>
      <c r="K60" t="n">
        <v>0</v>
      </c>
      <c r="L60" t="n">
        <v>0</v>
      </c>
      <c r="M60" t="n">
        <v>0</v>
      </c>
      <c r="N60" t="n">
        <v>0</v>
      </c>
      <c r="O60" t="n">
        <v>0</v>
      </c>
      <c r="P60" t="n">
        <v>0</v>
      </c>
      <c r="Q60" t="n">
        <v>0</v>
      </c>
      <c r="R60" s="2" t="inlineStr"/>
    </row>
    <row r="61" ht="15" customHeight="1">
      <c r="A61" t="inlineStr">
        <is>
          <t>A 27914-2019</t>
        </is>
      </c>
      <c r="B61" s="1" t="n">
        <v>43620</v>
      </c>
      <c r="C61" s="1" t="n">
        <v>45270</v>
      </c>
      <c r="D61" t="inlineStr">
        <is>
          <t>VÄSTMANLANDS LÄN</t>
        </is>
      </c>
      <c r="E61" t="inlineStr">
        <is>
          <t>KÖPING</t>
        </is>
      </c>
      <c r="G61" t="n">
        <v>7.6</v>
      </c>
      <c r="H61" t="n">
        <v>0</v>
      </c>
      <c r="I61" t="n">
        <v>0</v>
      </c>
      <c r="J61" t="n">
        <v>0</v>
      </c>
      <c r="K61" t="n">
        <v>0</v>
      </c>
      <c r="L61" t="n">
        <v>0</v>
      </c>
      <c r="M61" t="n">
        <v>0</v>
      </c>
      <c r="N61" t="n">
        <v>0</v>
      </c>
      <c r="O61" t="n">
        <v>0</v>
      </c>
      <c r="P61" t="n">
        <v>0</v>
      </c>
      <c r="Q61" t="n">
        <v>0</v>
      </c>
      <c r="R61" s="2" t="inlineStr"/>
    </row>
    <row r="62" ht="15" customHeight="1">
      <c r="A62" t="inlineStr">
        <is>
          <t>A 28189-2019</t>
        </is>
      </c>
      <c r="B62" s="1" t="n">
        <v>43621</v>
      </c>
      <c r="C62" s="1" t="n">
        <v>45270</v>
      </c>
      <c r="D62" t="inlineStr">
        <is>
          <t>VÄSTMANLANDS LÄN</t>
        </is>
      </c>
      <c r="E62" t="inlineStr">
        <is>
          <t>KÖPING</t>
        </is>
      </c>
      <c r="G62" t="n">
        <v>1.8</v>
      </c>
      <c r="H62" t="n">
        <v>0</v>
      </c>
      <c r="I62" t="n">
        <v>0</v>
      </c>
      <c r="J62" t="n">
        <v>0</v>
      </c>
      <c r="K62" t="n">
        <v>0</v>
      </c>
      <c r="L62" t="n">
        <v>0</v>
      </c>
      <c r="M62" t="n">
        <v>0</v>
      </c>
      <c r="N62" t="n">
        <v>0</v>
      </c>
      <c r="O62" t="n">
        <v>0</v>
      </c>
      <c r="P62" t="n">
        <v>0</v>
      </c>
      <c r="Q62" t="n">
        <v>0</v>
      </c>
      <c r="R62" s="2" t="inlineStr"/>
    </row>
    <row r="63" ht="15" customHeight="1">
      <c r="A63" t="inlineStr">
        <is>
          <t>A 28359-2019</t>
        </is>
      </c>
      <c r="B63" s="1" t="n">
        <v>43625</v>
      </c>
      <c r="C63" s="1" t="n">
        <v>45270</v>
      </c>
      <c r="D63" t="inlineStr">
        <is>
          <t>VÄSTMANLANDS LÄN</t>
        </is>
      </c>
      <c r="E63" t="inlineStr">
        <is>
          <t>KÖPING</t>
        </is>
      </c>
      <c r="F63" t="inlineStr">
        <is>
          <t>Sveaskog</t>
        </is>
      </c>
      <c r="G63" t="n">
        <v>1.1</v>
      </c>
      <c r="H63" t="n">
        <v>0</v>
      </c>
      <c r="I63" t="n">
        <v>0</v>
      </c>
      <c r="J63" t="n">
        <v>0</v>
      </c>
      <c r="K63" t="n">
        <v>0</v>
      </c>
      <c r="L63" t="n">
        <v>0</v>
      </c>
      <c r="M63" t="n">
        <v>0</v>
      </c>
      <c r="N63" t="n">
        <v>0</v>
      </c>
      <c r="O63" t="n">
        <v>0</v>
      </c>
      <c r="P63" t="n">
        <v>0</v>
      </c>
      <c r="Q63" t="n">
        <v>0</v>
      </c>
      <c r="R63" s="2" t="inlineStr"/>
    </row>
    <row r="64" ht="15" customHeight="1">
      <c r="A64" t="inlineStr">
        <is>
          <t>A 31641-2019</t>
        </is>
      </c>
      <c r="B64" s="1" t="n">
        <v>43640</v>
      </c>
      <c r="C64" s="1" t="n">
        <v>45270</v>
      </c>
      <c r="D64" t="inlineStr">
        <is>
          <t>VÄSTMANLANDS LÄN</t>
        </is>
      </c>
      <c r="E64" t="inlineStr">
        <is>
          <t>KÖPING</t>
        </is>
      </c>
      <c r="G64" t="n">
        <v>1.6</v>
      </c>
      <c r="H64" t="n">
        <v>0</v>
      </c>
      <c r="I64" t="n">
        <v>0</v>
      </c>
      <c r="J64" t="n">
        <v>0</v>
      </c>
      <c r="K64" t="n">
        <v>0</v>
      </c>
      <c r="L64" t="n">
        <v>0</v>
      </c>
      <c r="M64" t="n">
        <v>0</v>
      </c>
      <c r="N64" t="n">
        <v>0</v>
      </c>
      <c r="O64" t="n">
        <v>0</v>
      </c>
      <c r="P64" t="n">
        <v>0</v>
      </c>
      <c r="Q64" t="n">
        <v>0</v>
      </c>
      <c r="R64" s="2" t="inlineStr"/>
    </row>
    <row r="65" ht="15" customHeight="1">
      <c r="A65" t="inlineStr">
        <is>
          <t>A 32448-2019</t>
        </is>
      </c>
      <c r="B65" s="1" t="n">
        <v>43644</v>
      </c>
      <c r="C65" s="1" t="n">
        <v>45270</v>
      </c>
      <c r="D65" t="inlineStr">
        <is>
          <t>VÄSTMANLANDS LÄN</t>
        </is>
      </c>
      <c r="E65" t="inlineStr">
        <is>
          <t>KÖPING</t>
        </is>
      </c>
      <c r="G65" t="n">
        <v>5.6</v>
      </c>
      <c r="H65" t="n">
        <v>0</v>
      </c>
      <c r="I65" t="n">
        <v>0</v>
      </c>
      <c r="J65" t="n">
        <v>0</v>
      </c>
      <c r="K65" t="n">
        <v>0</v>
      </c>
      <c r="L65" t="n">
        <v>0</v>
      </c>
      <c r="M65" t="n">
        <v>0</v>
      </c>
      <c r="N65" t="n">
        <v>0</v>
      </c>
      <c r="O65" t="n">
        <v>0</v>
      </c>
      <c r="P65" t="n">
        <v>0</v>
      </c>
      <c r="Q65" t="n">
        <v>0</v>
      </c>
      <c r="R65" s="2" t="inlineStr"/>
    </row>
    <row r="66" ht="15" customHeight="1">
      <c r="A66" t="inlineStr">
        <is>
          <t>A 33758-2019</t>
        </is>
      </c>
      <c r="B66" s="1" t="n">
        <v>43651</v>
      </c>
      <c r="C66" s="1" t="n">
        <v>45270</v>
      </c>
      <c r="D66" t="inlineStr">
        <is>
          <t>VÄSTMANLANDS LÄN</t>
        </is>
      </c>
      <c r="E66" t="inlineStr">
        <is>
          <t>KÖPING</t>
        </is>
      </c>
      <c r="G66" t="n">
        <v>1.4</v>
      </c>
      <c r="H66" t="n">
        <v>0</v>
      </c>
      <c r="I66" t="n">
        <v>0</v>
      </c>
      <c r="J66" t="n">
        <v>0</v>
      </c>
      <c r="K66" t="n">
        <v>0</v>
      </c>
      <c r="L66" t="n">
        <v>0</v>
      </c>
      <c r="M66" t="n">
        <v>0</v>
      </c>
      <c r="N66" t="n">
        <v>0</v>
      </c>
      <c r="O66" t="n">
        <v>0</v>
      </c>
      <c r="P66" t="n">
        <v>0</v>
      </c>
      <c r="Q66" t="n">
        <v>0</v>
      </c>
      <c r="R66" s="2" t="inlineStr"/>
    </row>
    <row r="67" ht="15" customHeight="1">
      <c r="A67" t="inlineStr">
        <is>
          <t>A 33782-2019</t>
        </is>
      </c>
      <c r="B67" s="1" t="n">
        <v>43651</v>
      </c>
      <c r="C67" s="1" t="n">
        <v>45270</v>
      </c>
      <c r="D67" t="inlineStr">
        <is>
          <t>VÄSTMANLANDS LÄN</t>
        </is>
      </c>
      <c r="E67" t="inlineStr">
        <is>
          <t>KÖPING</t>
        </is>
      </c>
      <c r="G67" t="n">
        <v>0.6</v>
      </c>
      <c r="H67" t="n">
        <v>0</v>
      </c>
      <c r="I67" t="n">
        <v>0</v>
      </c>
      <c r="J67" t="n">
        <v>0</v>
      </c>
      <c r="K67" t="n">
        <v>0</v>
      </c>
      <c r="L67" t="n">
        <v>0</v>
      </c>
      <c r="M67" t="n">
        <v>0</v>
      </c>
      <c r="N67" t="n">
        <v>0</v>
      </c>
      <c r="O67" t="n">
        <v>0</v>
      </c>
      <c r="P67" t="n">
        <v>0</v>
      </c>
      <c r="Q67" t="n">
        <v>0</v>
      </c>
      <c r="R67" s="2" t="inlineStr"/>
    </row>
    <row r="68" ht="15" customHeight="1">
      <c r="A68" t="inlineStr">
        <is>
          <t>A 34010-2019</t>
        </is>
      </c>
      <c r="B68" s="1" t="n">
        <v>43654</v>
      </c>
      <c r="C68" s="1" t="n">
        <v>45270</v>
      </c>
      <c r="D68" t="inlineStr">
        <is>
          <t>VÄSTMANLANDS LÄN</t>
        </is>
      </c>
      <c r="E68" t="inlineStr">
        <is>
          <t>KÖPING</t>
        </is>
      </c>
      <c r="G68" t="n">
        <v>0.4</v>
      </c>
      <c r="H68" t="n">
        <v>0</v>
      </c>
      <c r="I68" t="n">
        <v>0</v>
      </c>
      <c r="J68" t="n">
        <v>0</v>
      </c>
      <c r="K68" t="n">
        <v>0</v>
      </c>
      <c r="L68" t="n">
        <v>0</v>
      </c>
      <c r="M68" t="n">
        <v>0</v>
      </c>
      <c r="N68" t="n">
        <v>0</v>
      </c>
      <c r="O68" t="n">
        <v>0</v>
      </c>
      <c r="P68" t="n">
        <v>0</v>
      </c>
      <c r="Q68" t="n">
        <v>0</v>
      </c>
      <c r="R68" s="2" t="inlineStr"/>
    </row>
    <row r="69" ht="15" customHeight="1">
      <c r="A69" t="inlineStr">
        <is>
          <t>A 35787-2019</t>
        </is>
      </c>
      <c r="B69" s="1" t="n">
        <v>43656</v>
      </c>
      <c r="C69" s="1" t="n">
        <v>45270</v>
      </c>
      <c r="D69" t="inlineStr">
        <is>
          <t>VÄSTMANLANDS LÄN</t>
        </is>
      </c>
      <c r="E69" t="inlineStr">
        <is>
          <t>KÖPING</t>
        </is>
      </c>
      <c r="G69" t="n">
        <v>0.9</v>
      </c>
      <c r="H69" t="n">
        <v>0</v>
      </c>
      <c r="I69" t="n">
        <v>0</v>
      </c>
      <c r="J69" t="n">
        <v>0</v>
      </c>
      <c r="K69" t="n">
        <v>0</v>
      </c>
      <c r="L69" t="n">
        <v>0</v>
      </c>
      <c r="M69" t="n">
        <v>0</v>
      </c>
      <c r="N69" t="n">
        <v>0</v>
      </c>
      <c r="O69" t="n">
        <v>0</v>
      </c>
      <c r="P69" t="n">
        <v>0</v>
      </c>
      <c r="Q69" t="n">
        <v>0</v>
      </c>
      <c r="R69" s="2" t="inlineStr"/>
    </row>
    <row r="70" ht="15" customHeight="1">
      <c r="A70" t="inlineStr">
        <is>
          <t>A 35779-2019</t>
        </is>
      </c>
      <c r="B70" s="1" t="n">
        <v>43656</v>
      </c>
      <c r="C70" s="1" t="n">
        <v>45270</v>
      </c>
      <c r="D70" t="inlineStr">
        <is>
          <t>VÄSTMANLANDS LÄN</t>
        </is>
      </c>
      <c r="E70" t="inlineStr">
        <is>
          <t>KÖPING</t>
        </is>
      </c>
      <c r="G70" t="n">
        <v>0.6</v>
      </c>
      <c r="H70" t="n">
        <v>0</v>
      </c>
      <c r="I70" t="n">
        <v>0</v>
      </c>
      <c r="J70" t="n">
        <v>0</v>
      </c>
      <c r="K70" t="n">
        <v>0</v>
      </c>
      <c r="L70" t="n">
        <v>0</v>
      </c>
      <c r="M70" t="n">
        <v>0</v>
      </c>
      <c r="N70" t="n">
        <v>0</v>
      </c>
      <c r="O70" t="n">
        <v>0</v>
      </c>
      <c r="P70" t="n">
        <v>0</v>
      </c>
      <c r="Q70" t="n">
        <v>0</v>
      </c>
      <c r="R70" s="2" t="inlineStr"/>
    </row>
    <row r="71" ht="15" customHeight="1">
      <c r="A71" t="inlineStr">
        <is>
          <t>A 35939-2019</t>
        </is>
      </c>
      <c r="B71" s="1" t="n">
        <v>43665</v>
      </c>
      <c r="C71" s="1" t="n">
        <v>45270</v>
      </c>
      <c r="D71" t="inlineStr">
        <is>
          <t>VÄSTMANLANDS LÄN</t>
        </is>
      </c>
      <c r="E71" t="inlineStr">
        <is>
          <t>KÖPING</t>
        </is>
      </c>
      <c r="F71" t="inlineStr">
        <is>
          <t>Sveaskog</t>
        </is>
      </c>
      <c r="G71" t="n">
        <v>4.1</v>
      </c>
      <c r="H71" t="n">
        <v>0</v>
      </c>
      <c r="I71" t="n">
        <v>0</v>
      </c>
      <c r="J71" t="n">
        <v>0</v>
      </c>
      <c r="K71" t="n">
        <v>0</v>
      </c>
      <c r="L71" t="n">
        <v>0</v>
      </c>
      <c r="M71" t="n">
        <v>0</v>
      </c>
      <c r="N71" t="n">
        <v>0</v>
      </c>
      <c r="O71" t="n">
        <v>0</v>
      </c>
      <c r="P71" t="n">
        <v>0</v>
      </c>
      <c r="Q71" t="n">
        <v>0</v>
      </c>
      <c r="R71" s="2" t="inlineStr"/>
    </row>
    <row r="72" ht="15" customHeight="1">
      <c r="A72" t="inlineStr">
        <is>
          <t>A 38489-2019</t>
        </is>
      </c>
      <c r="B72" s="1" t="n">
        <v>43685</v>
      </c>
      <c r="C72" s="1" t="n">
        <v>45270</v>
      </c>
      <c r="D72" t="inlineStr">
        <is>
          <t>VÄSTMANLANDS LÄN</t>
        </is>
      </c>
      <c r="E72" t="inlineStr">
        <is>
          <t>KÖPING</t>
        </is>
      </c>
      <c r="G72" t="n">
        <v>2.5</v>
      </c>
      <c r="H72" t="n">
        <v>0</v>
      </c>
      <c r="I72" t="n">
        <v>0</v>
      </c>
      <c r="J72" t="n">
        <v>0</v>
      </c>
      <c r="K72" t="n">
        <v>0</v>
      </c>
      <c r="L72" t="n">
        <v>0</v>
      </c>
      <c r="M72" t="n">
        <v>0</v>
      </c>
      <c r="N72" t="n">
        <v>0</v>
      </c>
      <c r="O72" t="n">
        <v>0</v>
      </c>
      <c r="P72" t="n">
        <v>0</v>
      </c>
      <c r="Q72" t="n">
        <v>0</v>
      </c>
      <c r="R72" s="2" t="inlineStr"/>
    </row>
    <row r="73" ht="15" customHeight="1">
      <c r="A73" t="inlineStr">
        <is>
          <t>A 38487-2019</t>
        </is>
      </c>
      <c r="B73" s="1" t="n">
        <v>43685</v>
      </c>
      <c r="C73" s="1" t="n">
        <v>45270</v>
      </c>
      <c r="D73" t="inlineStr">
        <is>
          <t>VÄSTMANLANDS LÄN</t>
        </is>
      </c>
      <c r="E73" t="inlineStr">
        <is>
          <t>KÖPING</t>
        </is>
      </c>
      <c r="G73" t="n">
        <v>4.6</v>
      </c>
      <c r="H73" t="n">
        <v>0</v>
      </c>
      <c r="I73" t="n">
        <v>0</v>
      </c>
      <c r="J73" t="n">
        <v>0</v>
      </c>
      <c r="K73" t="n">
        <v>0</v>
      </c>
      <c r="L73" t="n">
        <v>0</v>
      </c>
      <c r="M73" t="n">
        <v>0</v>
      </c>
      <c r="N73" t="n">
        <v>0</v>
      </c>
      <c r="O73" t="n">
        <v>0</v>
      </c>
      <c r="P73" t="n">
        <v>0</v>
      </c>
      <c r="Q73" t="n">
        <v>0</v>
      </c>
      <c r="R73" s="2" t="inlineStr"/>
    </row>
    <row r="74" ht="15" customHeight="1">
      <c r="A74" t="inlineStr">
        <is>
          <t>A 39803-2019</t>
        </is>
      </c>
      <c r="B74" s="1" t="n">
        <v>43692</v>
      </c>
      <c r="C74" s="1" t="n">
        <v>45270</v>
      </c>
      <c r="D74" t="inlineStr">
        <is>
          <t>VÄSTMANLANDS LÄN</t>
        </is>
      </c>
      <c r="E74" t="inlineStr">
        <is>
          <t>KÖPING</t>
        </is>
      </c>
      <c r="G74" t="n">
        <v>1.1</v>
      </c>
      <c r="H74" t="n">
        <v>0</v>
      </c>
      <c r="I74" t="n">
        <v>0</v>
      </c>
      <c r="J74" t="n">
        <v>0</v>
      </c>
      <c r="K74" t="n">
        <v>0</v>
      </c>
      <c r="L74" t="n">
        <v>0</v>
      </c>
      <c r="M74" t="n">
        <v>0</v>
      </c>
      <c r="N74" t="n">
        <v>0</v>
      </c>
      <c r="O74" t="n">
        <v>0</v>
      </c>
      <c r="P74" t="n">
        <v>0</v>
      </c>
      <c r="Q74" t="n">
        <v>0</v>
      </c>
      <c r="R74" s="2" t="inlineStr"/>
    </row>
    <row r="75" ht="15" customHeight="1">
      <c r="A75" t="inlineStr">
        <is>
          <t>A 40923-2019</t>
        </is>
      </c>
      <c r="B75" s="1" t="n">
        <v>43697</v>
      </c>
      <c r="C75" s="1" t="n">
        <v>45270</v>
      </c>
      <c r="D75" t="inlineStr">
        <is>
          <t>VÄSTMANLANDS LÄN</t>
        </is>
      </c>
      <c r="E75" t="inlineStr">
        <is>
          <t>KÖPING</t>
        </is>
      </c>
      <c r="F75" t="inlineStr">
        <is>
          <t>Sveaskog</t>
        </is>
      </c>
      <c r="G75" t="n">
        <v>0.9</v>
      </c>
      <c r="H75" t="n">
        <v>0</v>
      </c>
      <c r="I75" t="n">
        <v>0</v>
      </c>
      <c r="J75" t="n">
        <v>0</v>
      </c>
      <c r="K75" t="n">
        <v>0</v>
      </c>
      <c r="L75" t="n">
        <v>0</v>
      </c>
      <c r="M75" t="n">
        <v>0</v>
      </c>
      <c r="N75" t="n">
        <v>0</v>
      </c>
      <c r="O75" t="n">
        <v>0</v>
      </c>
      <c r="P75" t="n">
        <v>0</v>
      </c>
      <c r="Q75" t="n">
        <v>0</v>
      </c>
      <c r="R75" s="2" t="inlineStr"/>
    </row>
    <row r="76" ht="15" customHeight="1">
      <c r="A76" t="inlineStr">
        <is>
          <t>A 40925-2019</t>
        </is>
      </c>
      <c r="B76" s="1" t="n">
        <v>43697</v>
      </c>
      <c r="C76" s="1" t="n">
        <v>45270</v>
      </c>
      <c r="D76" t="inlineStr">
        <is>
          <t>VÄSTMANLANDS LÄN</t>
        </is>
      </c>
      <c r="E76" t="inlineStr">
        <is>
          <t>KÖPING</t>
        </is>
      </c>
      <c r="F76" t="inlineStr">
        <is>
          <t>Sveaskog</t>
        </is>
      </c>
      <c r="G76" t="n">
        <v>0.9</v>
      </c>
      <c r="H76" t="n">
        <v>0</v>
      </c>
      <c r="I76" t="n">
        <v>0</v>
      </c>
      <c r="J76" t="n">
        <v>0</v>
      </c>
      <c r="K76" t="n">
        <v>0</v>
      </c>
      <c r="L76" t="n">
        <v>0</v>
      </c>
      <c r="M76" t="n">
        <v>0</v>
      </c>
      <c r="N76" t="n">
        <v>0</v>
      </c>
      <c r="O76" t="n">
        <v>0</v>
      </c>
      <c r="P76" t="n">
        <v>0</v>
      </c>
      <c r="Q76" t="n">
        <v>0</v>
      </c>
      <c r="R76" s="2" t="inlineStr"/>
    </row>
    <row r="77" ht="15" customHeight="1">
      <c r="A77" t="inlineStr">
        <is>
          <t>A 41568-2019</t>
        </is>
      </c>
      <c r="B77" s="1" t="n">
        <v>43699</v>
      </c>
      <c r="C77" s="1" t="n">
        <v>45270</v>
      </c>
      <c r="D77" t="inlineStr">
        <is>
          <t>VÄSTMANLANDS LÄN</t>
        </is>
      </c>
      <c r="E77" t="inlineStr">
        <is>
          <t>KÖPING</t>
        </is>
      </c>
      <c r="G77" t="n">
        <v>7.3</v>
      </c>
      <c r="H77" t="n">
        <v>0</v>
      </c>
      <c r="I77" t="n">
        <v>0</v>
      </c>
      <c r="J77" t="n">
        <v>0</v>
      </c>
      <c r="K77" t="n">
        <v>0</v>
      </c>
      <c r="L77" t="n">
        <v>0</v>
      </c>
      <c r="M77" t="n">
        <v>0</v>
      </c>
      <c r="N77" t="n">
        <v>0</v>
      </c>
      <c r="O77" t="n">
        <v>0</v>
      </c>
      <c r="P77" t="n">
        <v>0</v>
      </c>
      <c r="Q77" t="n">
        <v>0</v>
      </c>
      <c r="R77" s="2" t="inlineStr"/>
    </row>
    <row r="78" ht="15" customHeight="1">
      <c r="A78" t="inlineStr">
        <is>
          <t>A 42438-2019</t>
        </is>
      </c>
      <c r="B78" s="1" t="n">
        <v>43704</v>
      </c>
      <c r="C78" s="1" t="n">
        <v>45270</v>
      </c>
      <c r="D78" t="inlineStr">
        <is>
          <t>VÄSTMANLANDS LÄN</t>
        </is>
      </c>
      <c r="E78" t="inlineStr">
        <is>
          <t>KÖPING</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42437-2019</t>
        </is>
      </c>
      <c r="B79" s="1" t="n">
        <v>43704</v>
      </c>
      <c r="C79" s="1" t="n">
        <v>45270</v>
      </c>
      <c r="D79" t="inlineStr">
        <is>
          <t>VÄSTMANLANDS LÄN</t>
        </is>
      </c>
      <c r="E79" t="inlineStr">
        <is>
          <t>KÖPING</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42450-2019</t>
        </is>
      </c>
      <c r="B80" s="1" t="n">
        <v>43704</v>
      </c>
      <c r="C80" s="1" t="n">
        <v>45270</v>
      </c>
      <c r="D80" t="inlineStr">
        <is>
          <t>VÄSTMANLANDS LÄN</t>
        </is>
      </c>
      <c r="E80" t="inlineStr">
        <is>
          <t>KÖPING</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42480-2019</t>
        </is>
      </c>
      <c r="B81" s="1" t="n">
        <v>43704</v>
      </c>
      <c r="C81" s="1" t="n">
        <v>45270</v>
      </c>
      <c r="D81" t="inlineStr">
        <is>
          <t>VÄSTMANLANDS LÄN</t>
        </is>
      </c>
      <c r="E81" t="inlineStr">
        <is>
          <t>KÖPING</t>
        </is>
      </c>
      <c r="F81" t="inlineStr">
        <is>
          <t>Sveaskog</t>
        </is>
      </c>
      <c r="G81" t="n">
        <v>1.6</v>
      </c>
      <c r="H81" t="n">
        <v>0</v>
      </c>
      <c r="I81" t="n">
        <v>0</v>
      </c>
      <c r="J81" t="n">
        <v>0</v>
      </c>
      <c r="K81" t="n">
        <v>0</v>
      </c>
      <c r="L81" t="n">
        <v>0</v>
      </c>
      <c r="M81" t="n">
        <v>0</v>
      </c>
      <c r="N81" t="n">
        <v>0</v>
      </c>
      <c r="O81" t="n">
        <v>0</v>
      </c>
      <c r="P81" t="n">
        <v>0</v>
      </c>
      <c r="Q81" t="n">
        <v>0</v>
      </c>
      <c r="R81" s="2" t="inlineStr"/>
    </row>
    <row r="82" ht="15" customHeight="1">
      <c r="A82" t="inlineStr">
        <is>
          <t>A 46303-2019</t>
        </is>
      </c>
      <c r="B82" s="1" t="n">
        <v>43718</v>
      </c>
      <c r="C82" s="1" t="n">
        <v>45270</v>
      </c>
      <c r="D82" t="inlineStr">
        <is>
          <t>VÄSTMANLANDS LÄN</t>
        </is>
      </c>
      <c r="E82" t="inlineStr">
        <is>
          <t>KÖPING</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46306-2019</t>
        </is>
      </c>
      <c r="B83" s="1" t="n">
        <v>43718</v>
      </c>
      <c r="C83" s="1" t="n">
        <v>45270</v>
      </c>
      <c r="D83" t="inlineStr">
        <is>
          <t>VÄSTMANLANDS LÄN</t>
        </is>
      </c>
      <c r="E83" t="inlineStr">
        <is>
          <t>KÖPING</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49968-2019</t>
        </is>
      </c>
      <c r="B84" s="1" t="n">
        <v>43733</v>
      </c>
      <c r="C84" s="1" t="n">
        <v>45270</v>
      </c>
      <c r="D84" t="inlineStr">
        <is>
          <t>VÄSTMANLANDS LÄN</t>
        </is>
      </c>
      <c r="E84" t="inlineStr">
        <is>
          <t>KÖPING</t>
        </is>
      </c>
      <c r="G84" t="n">
        <v>2.2</v>
      </c>
      <c r="H84" t="n">
        <v>0</v>
      </c>
      <c r="I84" t="n">
        <v>0</v>
      </c>
      <c r="J84" t="n">
        <v>0</v>
      </c>
      <c r="K84" t="n">
        <v>0</v>
      </c>
      <c r="L84" t="n">
        <v>0</v>
      </c>
      <c r="M84" t="n">
        <v>0</v>
      </c>
      <c r="N84" t="n">
        <v>0</v>
      </c>
      <c r="O84" t="n">
        <v>0</v>
      </c>
      <c r="P84" t="n">
        <v>0</v>
      </c>
      <c r="Q84" t="n">
        <v>0</v>
      </c>
      <c r="R84" s="2" t="inlineStr"/>
    </row>
    <row r="85" ht="15" customHeight="1">
      <c r="A85" t="inlineStr">
        <is>
          <t>A 49821-2019</t>
        </is>
      </c>
      <c r="B85" s="1" t="n">
        <v>43733</v>
      </c>
      <c r="C85" s="1" t="n">
        <v>45270</v>
      </c>
      <c r="D85" t="inlineStr">
        <is>
          <t>VÄSTMANLANDS LÄN</t>
        </is>
      </c>
      <c r="E85" t="inlineStr">
        <is>
          <t>KÖPING</t>
        </is>
      </c>
      <c r="G85" t="n">
        <v>0.7</v>
      </c>
      <c r="H85" t="n">
        <v>0</v>
      </c>
      <c r="I85" t="n">
        <v>0</v>
      </c>
      <c r="J85" t="n">
        <v>0</v>
      </c>
      <c r="K85" t="n">
        <v>0</v>
      </c>
      <c r="L85" t="n">
        <v>0</v>
      </c>
      <c r="M85" t="n">
        <v>0</v>
      </c>
      <c r="N85" t="n">
        <v>0</v>
      </c>
      <c r="O85" t="n">
        <v>0</v>
      </c>
      <c r="P85" t="n">
        <v>0</v>
      </c>
      <c r="Q85" t="n">
        <v>0</v>
      </c>
      <c r="R85" s="2" t="inlineStr"/>
    </row>
    <row r="86" ht="15" customHeight="1">
      <c r="A86" t="inlineStr">
        <is>
          <t>A 52788-2019</t>
        </is>
      </c>
      <c r="B86" s="1" t="n">
        <v>43739</v>
      </c>
      <c r="C86" s="1" t="n">
        <v>45270</v>
      </c>
      <c r="D86" t="inlineStr">
        <is>
          <t>VÄSTMANLANDS LÄN</t>
        </is>
      </c>
      <c r="E86" t="inlineStr">
        <is>
          <t>KÖPING</t>
        </is>
      </c>
      <c r="G86" t="n">
        <v>0.6</v>
      </c>
      <c r="H86" t="n">
        <v>0</v>
      </c>
      <c r="I86" t="n">
        <v>0</v>
      </c>
      <c r="J86" t="n">
        <v>0</v>
      </c>
      <c r="K86" t="n">
        <v>0</v>
      </c>
      <c r="L86" t="n">
        <v>0</v>
      </c>
      <c r="M86" t="n">
        <v>0</v>
      </c>
      <c r="N86" t="n">
        <v>0</v>
      </c>
      <c r="O86" t="n">
        <v>0</v>
      </c>
      <c r="P86" t="n">
        <v>0</v>
      </c>
      <c r="Q86" t="n">
        <v>0</v>
      </c>
      <c r="R86" s="2" t="inlineStr"/>
    </row>
    <row r="87" ht="15" customHeight="1">
      <c r="A87" t="inlineStr">
        <is>
          <t>A 51647-2019</t>
        </is>
      </c>
      <c r="B87" s="1" t="n">
        <v>43740</v>
      </c>
      <c r="C87" s="1" t="n">
        <v>45270</v>
      </c>
      <c r="D87" t="inlineStr">
        <is>
          <t>VÄSTMANLANDS LÄN</t>
        </is>
      </c>
      <c r="E87" t="inlineStr">
        <is>
          <t>KÖPING</t>
        </is>
      </c>
      <c r="G87" t="n">
        <v>1.2</v>
      </c>
      <c r="H87" t="n">
        <v>0</v>
      </c>
      <c r="I87" t="n">
        <v>0</v>
      </c>
      <c r="J87" t="n">
        <v>0</v>
      </c>
      <c r="K87" t="n">
        <v>0</v>
      </c>
      <c r="L87" t="n">
        <v>0</v>
      </c>
      <c r="M87" t="n">
        <v>0</v>
      </c>
      <c r="N87" t="n">
        <v>0</v>
      </c>
      <c r="O87" t="n">
        <v>0</v>
      </c>
      <c r="P87" t="n">
        <v>0</v>
      </c>
      <c r="Q87" t="n">
        <v>0</v>
      </c>
      <c r="R87" s="2" t="inlineStr"/>
    </row>
    <row r="88" ht="15" customHeight="1">
      <c r="A88" t="inlineStr">
        <is>
          <t>A 51769-2019</t>
        </is>
      </c>
      <c r="B88" s="1" t="n">
        <v>43741</v>
      </c>
      <c r="C88" s="1" t="n">
        <v>45270</v>
      </c>
      <c r="D88" t="inlineStr">
        <is>
          <t>VÄSTMANLANDS LÄN</t>
        </is>
      </c>
      <c r="E88" t="inlineStr">
        <is>
          <t>KÖPING</t>
        </is>
      </c>
      <c r="G88" t="n">
        <v>0.5</v>
      </c>
      <c r="H88" t="n">
        <v>0</v>
      </c>
      <c r="I88" t="n">
        <v>0</v>
      </c>
      <c r="J88" t="n">
        <v>0</v>
      </c>
      <c r="K88" t="n">
        <v>0</v>
      </c>
      <c r="L88" t="n">
        <v>0</v>
      </c>
      <c r="M88" t="n">
        <v>0</v>
      </c>
      <c r="N88" t="n">
        <v>0</v>
      </c>
      <c r="O88" t="n">
        <v>0</v>
      </c>
      <c r="P88" t="n">
        <v>0</v>
      </c>
      <c r="Q88" t="n">
        <v>0</v>
      </c>
      <c r="R88" s="2" t="inlineStr"/>
    </row>
    <row r="89" ht="15" customHeight="1">
      <c r="A89" t="inlineStr">
        <is>
          <t>A 51844-2019</t>
        </is>
      </c>
      <c r="B89" s="1" t="n">
        <v>43741</v>
      </c>
      <c r="C89" s="1" t="n">
        <v>45270</v>
      </c>
      <c r="D89" t="inlineStr">
        <is>
          <t>VÄSTMANLANDS LÄN</t>
        </is>
      </c>
      <c r="E89" t="inlineStr">
        <is>
          <t>KÖPING</t>
        </is>
      </c>
      <c r="G89" t="n">
        <v>1.4</v>
      </c>
      <c r="H89" t="n">
        <v>0</v>
      </c>
      <c r="I89" t="n">
        <v>0</v>
      </c>
      <c r="J89" t="n">
        <v>0</v>
      </c>
      <c r="K89" t="n">
        <v>0</v>
      </c>
      <c r="L89" t="n">
        <v>0</v>
      </c>
      <c r="M89" t="n">
        <v>0</v>
      </c>
      <c r="N89" t="n">
        <v>0</v>
      </c>
      <c r="O89" t="n">
        <v>0</v>
      </c>
      <c r="P89" t="n">
        <v>0</v>
      </c>
      <c r="Q89" t="n">
        <v>0</v>
      </c>
      <c r="R89" s="2" t="inlineStr"/>
    </row>
    <row r="90" ht="15" customHeight="1">
      <c r="A90" t="inlineStr">
        <is>
          <t>A 55400-2019</t>
        </is>
      </c>
      <c r="B90" s="1" t="n">
        <v>43758</v>
      </c>
      <c r="C90" s="1" t="n">
        <v>45270</v>
      </c>
      <c r="D90" t="inlineStr">
        <is>
          <t>VÄSTMANLANDS LÄN</t>
        </is>
      </c>
      <c r="E90" t="inlineStr">
        <is>
          <t>KÖPING</t>
        </is>
      </c>
      <c r="G90" t="n">
        <v>1.7</v>
      </c>
      <c r="H90" t="n">
        <v>0</v>
      </c>
      <c r="I90" t="n">
        <v>0</v>
      </c>
      <c r="J90" t="n">
        <v>0</v>
      </c>
      <c r="K90" t="n">
        <v>0</v>
      </c>
      <c r="L90" t="n">
        <v>0</v>
      </c>
      <c r="M90" t="n">
        <v>0</v>
      </c>
      <c r="N90" t="n">
        <v>0</v>
      </c>
      <c r="O90" t="n">
        <v>0</v>
      </c>
      <c r="P90" t="n">
        <v>0</v>
      </c>
      <c r="Q90" t="n">
        <v>0</v>
      </c>
      <c r="R90" s="2" t="inlineStr"/>
    </row>
    <row r="91" ht="15" customHeight="1">
      <c r="A91" t="inlineStr">
        <is>
          <t>A 55659-2019</t>
        </is>
      </c>
      <c r="B91" s="1" t="n">
        <v>43760</v>
      </c>
      <c r="C91" s="1" t="n">
        <v>45270</v>
      </c>
      <c r="D91" t="inlineStr">
        <is>
          <t>VÄSTMANLANDS LÄN</t>
        </is>
      </c>
      <c r="E91" t="inlineStr">
        <is>
          <t>KÖPING</t>
        </is>
      </c>
      <c r="G91" t="n">
        <v>10.7</v>
      </c>
      <c r="H91" t="n">
        <v>0</v>
      </c>
      <c r="I91" t="n">
        <v>0</v>
      </c>
      <c r="J91" t="n">
        <v>0</v>
      </c>
      <c r="K91" t="n">
        <v>0</v>
      </c>
      <c r="L91" t="n">
        <v>0</v>
      </c>
      <c r="M91" t="n">
        <v>0</v>
      </c>
      <c r="N91" t="n">
        <v>0</v>
      </c>
      <c r="O91" t="n">
        <v>0</v>
      </c>
      <c r="P91" t="n">
        <v>0</v>
      </c>
      <c r="Q91" t="n">
        <v>0</v>
      </c>
      <c r="R91" s="2" t="inlineStr"/>
    </row>
    <row r="92" ht="15" customHeight="1">
      <c r="A92" t="inlineStr">
        <is>
          <t>A 56012-2019</t>
        </is>
      </c>
      <c r="B92" s="1" t="n">
        <v>43760</v>
      </c>
      <c r="C92" s="1" t="n">
        <v>45270</v>
      </c>
      <c r="D92" t="inlineStr">
        <is>
          <t>VÄSTMANLANDS LÄN</t>
        </is>
      </c>
      <c r="E92" t="inlineStr">
        <is>
          <t>KÖPING</t>
        </is>
      </c>
      <c r="G92" t="n">
        <v>2.2</v>
      </c>
      <c r="H92" t="n">
        <v>0</v>
      </c>
      <c r="I92" t="n">
        <v>0</v>
      </c>
      <c r="J92" t="n">
        <v>0</v>
      </c>
      <c r="K92" t="n">
        <v>0</v>
      </c>
      <c r="L92" t="n">
        <v>0</v>
      </c>
      <c r="M92" t="n">
        <v>0</v>
      </c>
      <c r="N92" t="n">
        <v>0</v>
      </c>
      <c r="O92" t="n">
        <v>0</v>
      </c>
      <c r="P92" t="n">
        <v>0</v>
      </c>
      <c r="Q92" t="n">
        <v>0</v>
      </c>
      <c r="R92" s="2" t="inlineStr"/>
    </row>
    <row r="93" ht="15" customHeight="1">
      <c r="A93" t="inlineStr">
        <is>
          <t>A 56152-2019</t>
        </is>
      </c>
      <c r="B93" s="1" t="n">
        <v>43761</v>
      </c>
      <c r="C93" s="1" t="n">
        <v>45270</v>
      </c>
      <c r="D93" t="inlineStr">
        <is>
          <t>VÄSTMANLANDS LÄN</t>
        </is>
      </c>
      <c r="E93" t="inlineStr">
        <is>
          <t>KÖPING</t>
        </is>
      </c>
      <c r="G93" t="n">
        <v>1.6</v>
      </c>
      <c r="H93" t="n">
        <v>0</v>
      </c>
      <c r="I93" t="n">
        <v>0</v>
      </c>
      <c r="J93" t="n">
        <v>0</v>
      </c>
      <c r="K93" t="n">
        <v>0</v>
      </c>
      <c r="L93" t="n">
        <v>0</v>
      </c>
      <c r="M93" t="n">
        <v>0</v>
      </c>
      <c r="N93" t="n">
        <v>0</v>
      </c>
      <c r="O93" t="n">
        <v>0</v>
      </c>
      <c r="P93" t="n">
        <v>0</v>
      </c>
      <c r="Q93" t="n">
        <v>0</v>
      </c>
      <c r="R93" s="2" t="inlineStr"/>
    </row>
    <row r="94" ht="15" customHeight="1">
      <c r="A94" t="inlineStr">
        <is>
          <t>A 55837-2019</t>
        </is>
      </c>
      <c r="B94" s="1" t="n">
        <v>43761</v>
      </c>
      <c r="C94" s="1" t="n">
        <v>45270</v>
      </c>
      <c r="D94" t="inlineStr">
        <is>
          <t>VÄSTMANLANDS LÄN</t>
        </is>
      </c>
      <c r="E94" t="inlineStr">
        <is>
          <t>KÖPING</t>
        </is>
      </c>
      <c r="G94" t="n">
        <v>23.2</v>
      </c>
      <c r="H94" t="n">
        <v>0</v>
      </c>
      <c r="I94" t="n">
        <v>0</v>
      </c>
      <c r="J94" t="n">
        <v>0</v>
      </c>
      <c r="K94" t="n">
        <v>0</v>
      </c>
      <c r="L94" t="n">
        <v>0</v>
      </c>
      <c r="M94" t="n">
        <v>0</v>
      </c>
      <c r="N94" t="n">
        <v>0</v>
      </c>
      <c r="O94" t="n">
        <v>0</v>
      </c>
      <c r="P94" t="n">
        <v>0</v>
      </c>
      <c r="Q94" t="n">
        <v>0</v>
      </c>
      <c r="R94" s="2" t="inlineStr"/>
    </row>
    <row r="95" ht="15" customHeight="1">
      <c r="A95" t="inlineStr">
        <is>
          <t>A 56156-2019</t>
        </is>
      </c>
      <c r="B95" s="1" t="n">
        <v>43761</v>
      </c>
      <c r="C95" s="1" t="n">
        <v>45270</v>
      </c>
      <c r="D95" t="inlineStr">
        <is>
          <t>VÄSTMANLANDS LÄN</t>
        </is>
      </c>
      <c r="E95" t="inlineStr">
        <is>
          <t>KÖPING</t>
        </is>
      </c>
      <c r="G95" t="n">
        <v>0.4</v>
      </c>
      <c r="H95" t="n">
        <v>0</v>
      </c>
      <c r="I95" t="n">
        <v>0</v>
      </c>
      <c r="J95" t="n">
        <v>0</v>
      </c>
      <c r="K95" t="n">
        <v>0</v>
      </c>
      <c r="L95" t="n">
        <v>0</v>
      </c>
      <c r="M95" t="n">
        <v>0</v>
      </c>
      <c r="N95" t="n">
        <v>0</v>
      </c>
      <c r="O95" t="n">
        <v>0</v>
      </c>
      <c r="P95" t="n">
        <v>0</v>
      </c>
      <c r="Q95" t="n">
        <v>0</v>
      </c>
      <c r="R95" s="2" t="inlineStr"/>
    </row>
    <row r="96" ht="15" customHeight="1">
      <c r="A96" t="inlineStr">
        <is>
          <t>A 56618-2019</t>
        </is>
      </c>
      <c r="B96" s="1" t="n">
        <v>43763</v>
      </c>
      <c r="C96" s="1" t="n">
        <v>45270</v>
      </c>
      <c r="D96" t="inlineStr">
        <is>
          <t>VÄSTMANLANDS LÄN</t>
        </is>
      </c>
      <c r="E96" t="inlineStr">
        <is>
          <t>KÖPING</t>
        </is>
      </c>
      <c r="G96" t="n">
        <v>1.2</v>
      </c>
      <c r="H96" t="n">
        <v>0</v>
      </c>
      <c r="I96" t="n">
        <v>0</v>
      </c>
      <c r="J96" t="n">
        <v>0</v>
      </c>
      <c r="K96" t="n">
        <v>0</v>
      </c>
      <c r="L96" t="n">
        <v>0</v>
      </c>
      <c r="M96" t="n">
        <v>0</v>
      </c>
      <c r="N96" t="n">
        <v>0</v>
      </c>
      <c r="O96" t="n">
        <v>0</v>
      </c>
      <c r="P96" t="n">
        <v>0</v>
      </c>
      <c r="Q96" t="n">
        <v>0</v>
      </c>
      <c r="R96" s="2" t="inlineStr"/>
    </row>
    <row r="97" ht="15" customHeight="1">
      <c r="A97" t="inlineStr">
        <is>
          <t>A 56616-2019</t>
        </is>
      </c>
      <c r="B97" s="1" t="n">
        <v>43763</v>
      </c>
      <c r="C97" s="1" t="n">
        <v>45270</v>
      </c>
      <c r="D97" t="inlineStr">
        <is>
          <t>VÄSTMANLANDS LÄN</t>
        </is>
      </c>
      <c r="E97" t="inlineStr">
        <is>
          <t>KÖPING</t>
        </is>
      </c>
      <c r="G97" t="n">
        <v>2.1</v>
      </c>
      <c r="H97" t="n">
        <v>0</v>
      </c>
      <c r="I97" t="n">
        <v>0</v>
      </c>
      <c r="J97" t="n">
        <v>0</v>
      </c>
      <c r="K97" t="n">
        <v>0</v>
      </c>
      <c r="L97" t="n">
        <v>0</v>
      </c>
      <c r="M97" t="n">
        <v>0</v>
      </c>
      <c r="N97" t="n">
        <v>0</v>
      </c>
      <c r="O97" t="n">
        <v>0</v>
      </c>
      <c r="P97" t="n">
        <v>0</v>
      </c>
      <c r="Q97" t="n">
        <v>0</v>
      </c>
      <c r="R97" s="2" t="inlineStr"/>
    </row>
    <row r="98" ht="15" customHeight="1">
      <c r="A98" t="inlineStr">
        <is>
          <t>A 56607-2019</t>
        </is>
      </c>
      <c r="B98" s="1" t="n">
        <v>43763</v>
      </c>
      <c r="C98" s="1" t="n">
        <v>45270</v>
      </c>
      <c r="D98" t="inlineStr">
        <is>
          <t>VÄSTMANLANDS LÄN</t>
        </is>
      </c>
      <c r="E98" t="inlineStr">
        <is>
          <t>KÖPING</t>
        </is>
      </c>
      <c r="G98" t="n">
        <v>1.7</v>
      </c>
      <c r="H98" t="n">
        <v>0</v>
      </c>
      <c r="I98" t="n">
        <v>0</v>
      </c>
      <c r="J98" t="n">
        <v>0</v>
      </c>
      <c r="K98" t="n">
        <v>0</v>
      </c>
      <c r="L98" t="n">
        <v>0</v>
      </c>
      <c r="M98" t="n">
        <v>0</v>
      </c>
      <c r="N98" t="n">
        <v>0</v>
      </c>
      <c r="O98" t="n">
        <v>0</v>
      </c>
      <c r="P98" t="n">
        <v>0</v>
      </c>
      <c r="Q98" t="n">
        <v>0</v>
      </c>
      <c r="R98" s="2" t="inlineStr"/>
    </row>
    <row r="99" ht="15" customHeight="1">
      <c r="A99" t="inlineStr">
        <is>
          <t>A 57409-2019</t>
        </is>
      </c>
      <c r="B99" s="1" t="n">
        <v>43767</v>
      </c>
      <c r="C99" s="1" t="n">
        <v>45270</v>
      </c>
      <c r="D99" t="inlineStr">
        <is>
          <t>VÄSTMANLANDS LÄN</t>
        </is>
      </c>
      <c r="E99" t="inlineStr">
        <is>
          <t>KÖPING</t>
        </is>
      </c>
      <c r="G99" t="n">
        <v>0.7</v>
      </c>
      <c r="H99" t="n">
        <v>0</v>
      </c>
      <c r="I99" t="n">
        <v>0</v>
      </c>
      <c r="J99" t="n">
        <v>0</v>
      </c>
      <c r="K99" t="n">
        <v>0</v>
      </c>
      <c r="L99" t="n">
        <v>0</v>
      </c>
      <c r="M99" t="n">
        <v>0</v>
      </c>
      <c r="N99" t="n">
        <v>0</v>
      </c>
      <c r="O99" t="n">
        <v>0</v>
      </c>
      <c r="P99" t="n">
        <v>0</v>
      </c>
      <c r="Q99" t="n">
        <v>0</v>
      </c>
      <c r="R99" s="2" t="inlineStr"/>
    </row>
    <row r="100" ht="15" customHeight="1">
      <c r="A100" t="inlineStr">
        <is>
          <t>A 57406-2019</t>
        </is>
      </c>
      <c r="B100" s="1" t="n">
        <v>43767</v>
      </c>
      <c r="C100" s="1" t="n">
        <v>45270</v>
      </c>
      <c r="D100" t="inlineStr">
        <is>
          <t>VÄSTMANLANDS LÄN</t>
        </is>
      </c>
      <c r="E100" t="inlineStr">
        <is>
          <t>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59467-2019</t>
        </is>
      </c>
      <c r="B101" s="1" t="n">
        <v>43775</v>
      </c>
      <c r="C101" s="1" t="n">
        <v>45270</v>
      </c>
      <c r="D101" t="inlineStr">
        <is>
          <t>VÄSTMANLANDS LÄN</t>
        </is>
      </c>
      <c r="E101" t="inlineStr">
        <is>
          <t>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61016-2019</t>
        </is>
      </c>
      <c r="B102" s="1" t="n">
        <v>43782</v>
      </c>
      <c r="C102" s="1" t="n">
        <v>45270</v>
      </c>
      <c r="D102" t="inlineStr">
        <is>
          <t>VÄSTMANLANDS LÄN</t>
        </is>
      </c>
      <c r="E102" t="inlineStr">
        <is>
          <t>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61081-2019</t>
        </is>
      </c>
      <c r="B103" s="1" t="n">
        <v>43782</v>
      </c>
      <c r="C103" s="1" t="n">
        <v>45270</v>
      </c>
      <c r="D103" t="inlineStr">
        <is>
          <t>VÄSTMANLANDS LÄN</t>
        </is>
      </c>
      <c r="E103" t="inlineStr">
        <is>
          <t>KÖPING</t>
        </is>
      </c>
      <c r="G103" t="n">
        <v>1.5</v>
      </c>
      <c r="H103" t="n">
        <v>0</v>
      </c>
      <c r="I103" t="n">
        <v>0</v>
      </c>
      <c r="J103" t="n">
        <v>0</v>
      </c>
      <c r="K103" t="n">
        <v>0</v>
      </c>
      <c r="L103" t="n">
        <v>0</v>
      </c>
      <c r="M103" t="n">
        <v>0</v>
      </c>
      <c r="N103" t="n">
        <v>0</v>
      </c>
      <c r="O103" t="n">
        <v>0</v>
      </c>
      <c r="P103" t="n">
        <v>0</v>
      </c>
      <c r="Q103" t="n">
        <v>0</v>
      </c>
      <c r="R103" s="2" t="inlineStr"/>
    </row>
    <row r="104" ht="15" customHeight="1">
      <c r="A104" t="inlineStr">
        <is>
          <t>A 61762-2019</t>
        </is>
      </c>
      <c r="B104" s="1" t="n">
        <v>43784</v>
      </c>
      <c r="C104" s="1" t="n">
        <v>45270</v>
      </c>
      <c r="D104" t="inlineStr">
        <is>
          <t>VÄSTMANLANDS LÄN</t>
        </is>
      </c>
      <c r="E104" t="inlineStr">
        <is>
          <t>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62912-2019</t>
        </is>
      </c>
      <c r="B105" s="1" t="n">
        <v>43784</v>
      </c>
      <c r="C105" s="1" t="n">
        <v>45270</v>
      </c>
      <c r="D105" t="inlineStr">
        <is>
          <t>VÄSTMANLANDS LÄN</t>
        </is>
      </c>
      <c r="E105" t="inlineStr">
        <is>
          <t>KÖPING</t>
        </is>
      </c>
      <c r="G105" t="n">
        <v>3.7</v>
      </c>
      <c r="H105" t="n">
        <v>0</v>
      </c>
      <c r="I105" t="n">
        <v>0</v>
      </c>
      <c r="J105" t="n">
        <v>0</v>
      </c>
      <c r="K105" t="n">
        <v>0</v>
      </c>
      <c r="L105" t="n">
        <v>0</v>
      </c>
      <c r="M105" t="n">
        <v>0</v>
      </c>
      <c r="N105" t="n">
        <v>0</v>
      </c>
      <c r="O105" t="n">
        <v>0</v>
      </c>
      <c r="P105" t="n">
        <v>0</v>
      </c>
      <c r="Q105" t="n">
        <v>0</v>
      </c>
      <c r="R105" s="2" t="inlineStr"/>
    </row>
    <row r="106" ht="15" customHeight="1">
      <c r="A106" t="inlineStr">
        <is>
          <t>A 61760-2019</t>
        </is>
      </c>
      <c r="B106" s="1" t="n">
        <v>43784</v>
      </c>
      <c r="C106" s="1" t="n">
        <v>45270</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62020-2019</t>
        </is>
      </c>
      <c r="B107" s="1" t="n">
        <v>43787</v>
      </c>
      <c r="C107" s="1" t="n">
        <v>45270</v>
      </c>
      <c r="D107" t="inlineStr">
        <is>
          <t>VÄSTMANLANDS LÄN</t>
        </is>
      </c>
      <c r="E107" t="inlineStr">
        <is>
          <t>KÖPING</t>
        </is>
      </c>
      <c r="G107" t="n">
        <v>0.9</v>
      </c>
      <c r="H107" t="n">
        <v>0</v>
      </c>
      <c r="I107" t="n">
        <v>0</v>
      </c>
      <c r="J107" t="n">
        <v>0</v>
      </c>
      <c r="K107" t="n">
        <v>0</v>
      </c>
      <c r="L107" t="n">
        <v>0</v>
      </c>
      <c r="M107" t="n">
        <v>0</v>
      </c>
      <c r="N107" t="n">
        <v>0</v>
      </c>
      <c r="O107" t="n">
        <v>0</v>
      </c>
      <c r="P107" t="n">
        <v>0</v>
      </c>
      <c r="Q107" t="n">
        <v>0</v>
      </c>
      <c r="R107" s="2" t="inlineStr"/>
    </row>
    <row r="108" ht="15" customHeight="1">
      <c r="A108" t="inlineStr">
        <is>
          <t>A 62410-2019</t>
        </is>
      </c>
      <c r="B108" s="1" t="n">
        <v>43788</v>
      </c>
      <c r="C108" s="1" t="n">
        <v>45270</v>
      </c>
      <c r="D108" t="inlineStr">
        <is>
          <t>VÄSTMANLANDS LÄN</t>
        </is>
      </c>
      <c r="E108" t="inlineStr">
        <is>
          <t>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64223-2019</t>
        </is>
      </c>
      <c r="B109" s="1" t="n">
        <v>43797</v>
      </c>
      <c r="C109" s="1" t="n">
        <v>45270</v>
      </c>
      <c r="D109" t="inlineStr">
        <is>
          <t>VÄSTMANLANDS LÄN</t>
        </is>
      </c>
      <c r="E109" t="inlineStr">
        <is>
          <t>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66576-2019</t>
        </is>
      </c>
      <c r="B110" s="1" t="n">
        <v>43803</v>
      </c>
      <c r="C110" s="1" t="n">
        <v>45270</v>
      </c>
      <c r="D110" t="inlineStr">
        <is>
          <t>VÄSTMANLANDS LÄN</t>
        </is>
      </c>
      <c r="E110" t="inlineStr">
        <is>
          <t>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66476-2019</t>
        </is>
      </c>
      <c r="B111" s="1" t="n">
        <v>43809</v>
      </c>
      <c r="C111" s="1" t="n">
        <v>45270</v>
      </c>
      <c r="D111" t="inlineStr">
        <is>
          <t>VÄSTMANLANDS LÄN</t>
        </is>
      </c>
      <c r="E111" t="inlineStr">
        <is>
          <t>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66934-2019</t>
        </is>
      </c>
      <c r="B112" s="1" t="n">
        <v>43810</v>
      </c>
      <c r="C112" s="1" t="n">
        <v>45270</v>
      </c>
      <c r="D112" t="inlineStr">
        <is>
          <t>VÄSTMANLANDS LÄN</t>
        </is>
      </c>
      <c r="E112" t="inlineStr">
        <is>
          <t>KÖPING</t>
        </is>
      </c>
      <c r="G112" t="n">
        <v>8</v>
      </c>
      <c r="H112" t="n">
        <v>0</v>
      </c>
      <c r="I112" t="n">
        <v>0</v>
      </c>
      <c r="J112" t="n">
        <v>0</v>
      </c>
      <c r="K112" t="n">
        <v>0</v>
      </c>
      <c r="L112" t="n">
        <v>0</v>
      </c>
      <c r="M112" t="n">
        <v>0</v>
      </c>
      <c r="N112" t="n">
        <v>0</v>
      </c>
      <c r="O112" t="n">
        <v>0</v>
      </c>
      <c r="P112" t="n">
        <v>0</v>
      </c>
      <c r="Q112" t="n">
        <v>0</v>
      </c>
      <c r="R112" s="2" t="inlineStr"/>
    </row>
    <row r="113" ht="15" customHeight="1">
      <c r="A113" t="inlineStr">
        <is>
          <t>A 66952-2019</t>
        </is>
      </c>
      <c r="B113" s="1" t="n">
        <v>43810</v>
      </c>
      <c r="C113" s="1" t="n">
        <v>45270</v>
      </c>
      <c r="D113" t="inlineStr">
        <is>
          <t>VÄSTMANLANDS LÄN</t>
        </is>
      </c>
      <c r="E113" t="inlineStr">
        <is>
          <t>KÖPING</t>
        </is>
      </c>
      <c r="G113" t="n">
        <v>5.9</v>
      </c>
      <c r="H113" t="n">
        <v>0</v>
      </c>
      <c r="I113" t="n">
        <v>0</v>
      </c>
      <c r="J113" t="n">
        <v>0</v>
      </c>
      <c r="K113" t="n">
        <v>0</v>
      </c>
      <c r="L113" t="n">
        <v>0</v>
      </c>
      <c r="M113" t="n">
        <v>0</v>
      </c>
      <c r="N113" t="n">
        <v>0</v>
      </c>
      <c r="O113" t="n">
        <v>0</v>
      </c>
      <c r="P113" t="n">
        <v>0</v>
      </c>
      <c r="Q113" t="n">
        <v>0</v>
      </c>
      <c r="R113" s="2" t="inlineStr"/>
    </row>
    <row r="114" ht="15" customHeight="1">
      <c r="A114" t="inlineStr">
        <is>
          <t>A 67061-2019</t>
        </is>
      </c>
      <c r="B114" s="1" t="n">
        <v>43811</v>
      </c>
      <c r="C114" s="1" t="n">
        <v>45270</v>
      </c>
      <c r="D114" t="inlineStr">
        <is>
          <t>VÄSTMANLANDS LÄN</t>
        </is>
      </c>
      <c r="E114" t="inlineStr">
        <is>
          <t>KÖPING</t>
        </is>
      </c>
      <c r="G114" t="n">
        <v>1.5</v>
      </c>
      <c r="H114" t="n">
        <v>0</v>
      </c>
      <c r="I114" t="n">
        <v>0</v>
      </c>
      <c r="J114" t="n">
        <v>0</v>
      </c>
      <c r="K114" t="n">
        <v>0</v>
      </c>
      <c r="L114" t="n">
        <v>0</v>
      </c>
      <c r="M114" t="n">
        <v>0</v>
      </c>
      <c r="N114" t="n">
        <v>0</v>
      </c>
      <c r="O114" t="n">
        <v>0</v>
      </c>
      <c r="P114" t="n">
        <v>0</v>
      </c>
      <c r="Q114" t="n">
        <v>0</v>
      </c>
      <c r="R114" s="2" t="inlineStr"/>
    </row>
    <row r="115" ht="15" customHeight="1">
      <c r="A115" t="inlineStr">
        <is>
          <t>A 549-2020</t>
        </is>
      </c>
      <c r="B115" s="1" t="n">
        <v>43838</v>
      </c>
      <c r="C115" s="1" t="n">
        <v>45270</v>
      </c>
      <c r="D115" t="inlineStr">
        <is>
          <t>VÄSTMANLANDS LÄN</t>
        </is>
      </c>
      <c r="E115" t="inlineStr">
        <is>
          <t>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2323-2020</t>
        </is>
      </c>
      <c r="B116" s="1" t="n">
        <v>43840</v>
      </c>
      <c r="C116" s="1" t="n">
        <v>45270</v>
      </c>
      <c r="D116" t="inlineStr">
        <is>
          <t>VÄSTMANLANDS LÄN</t>
        </is>
      </c>
      <c r="E116" t="inlineStr">
        <is>
          <t>KÖPING</t>
        </is>
      </c>
      <c r="G116" t="n">
        <v>4.1</v>
      </c>
      <c r="H116" t="n">
        <v>0</v>
      </c>
      <c r="I116" t="n">
        <v>0</v>
      </c>
      <c r="J116" t="n">
        <v>0</v>
      </c>
      <c r="K116" t="n">
        <v>0</v>
      </c>
      <c r="L116" t="n">
        <v>0</v>
      </c>
      <c r="M116" t="n">
        <v>0</v>
      </c>
      <c r="N116" t="n">
        <v>0</v>
      </c>
      <c r="O116" t="n">
        <v>0</v>
      </c>
      <c r="P116" t="n">
        <v>0</v>
      </c>
      <c r="Q116" t="n">
        <v>0</v>
      </c>
      <c r="R116" s="2" t="inlineStr"/>
    </row>
    <row r="117" ht="15" customHeight="1">
      <c r="A117" t="inlineStr">
        <is>
          <t>A 5693-2020</t>
        </is>
      </c>
      <c r="B117" s="1" t="n">
        <v>43861</v>
      </c>
      <c r="C117" s="1" t="n">
        <v>45270</v>
      </c>
      <c r="D117" t="inlineStr">
        <is>
          <t>VÄSTMANLANDS LÄN</t>
        </is>
      </c>
      <c r="E117" t="inlineStr">
        <is>
          <t>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7294-2020</t>
        </is>
      </c>
      <c r="B118" s="1" t="n">
        <v>43871</v>
      </c>
      <c r="C118" s="1" t="n">
        <v>45270</v>
      </c>
      <c r="D118" t="inlineStr">
        <is>
          <t>VÄSTMANLANDS LÄN</t>
        </is>
      </c>
      <c r="E118" t="inlineStr">
        <is>
          <t>KÖPING</t>
        </is>
      </c>
      <c r="F118" t="inlineStr">
        <is>
          <t>Allmännings- och besparingsskogar</t>
        </is>
      </c>
      <c r="G118" t="n">
        <v>31.2</v>
      </c>
      <c r="H118" t="n">
        <v>0</v>
      </c>
      <c r="I118" t="n">
        <v>0</v>
      </c>
      <c r="J118" t="n">
        <v>0</v>
      </c>
      <c r="K118" t="n">
        <v>0</v>
      </c>
      <c r="L118" t="n">
        <v>0</v>
      </c>
      <c r="M118" t="n">
        <v>0</v>
      </c>
      <c r="N118" t="n">
        <v>0</v>
      </c>
      <c r="O118" t="n">
        <v>0</v>
      </c>
      <c r="P118" t="n">
        <v>0</v>
      </c>
      <c r="Q118" t="n">
        <v>0</v>
      </c>
      <c r="R118" s="2" t="inlineStr"/>
    </row>
    <row r="119" ht="15" customHeight="1">
      <c r="A119" t="inlineStr">
        <is>
          <t>A 9706-2020</t>
        </is>
      </c>
      <c r="B119" s="1" t="n">
        <v>43881</v>
      </c>
      <c r="C119" s="1" t="n">
        <v>45270</v>
      </c>
      <c r="D119" t="inlineStr">
        <is>
          <t>VÄSTMANLANDS LÄN</t>
        </is>
      </c>
      <c r="E119" t="inlineStr">
        <is>
          <t>KÖPING</t>
        </is>
      </c>
      <c r="G119" t="n">
        <v>4.4</v>
      </c>
      <c r="H119" t="n">
        <v>0</v>
      </c>
      <c r="I119" t="n">
        <v>0</v>
      </c>
      <c r="J119" t="n">
        <v>0</v>
      </c>
      <c r="K119" t="n">
        <v>0</v>
      </c>
      <c r="L119" t="n">
        <v>0</v>
      </c>
      <c r="M119" t="n">
        <v>0</v>
      </c>
      <c r="N119" t="n">
        <v>0</v>
      </c>
      <c r="O119" t="n">
        <v>0</v>
      </c>
      <c r="P119" t="n">
        <v>0</v>
      </c>
      <c r="Q119" t="n">
        <v>0</v>
      </c>
      <c r="R119" s="2" t="inlineStr"/>
    </row>
    <row r="120" ht="15" customHeight="1">
      <c r="A120" t="inlineStr">
        <is>
          <t>A 10472-2020</t>
        </is>
      </c>
      <c r="B120" s="1" t="n">
        <v>43886</v>
      </c>
      <c r="C120" s="1" t="n">
        <v>45270</v>
      </c>
      <c r="D120" t="inlineStr">
        <is>
          <t>VÄSTMANLANDS LÄN</t>
        </is>
      </c>
      <c r="E120" t="inlineStr">
        <is>
          <t>KÖPING</t>
        </is>
      </c>
      <c r="G120" t="n">
        <v>1.5</v>
      </c>
      <c r="H120" t="n">
        <v>0</v>
      </c>
      <c r="I120" t="n">
        <v>0</v>
      </c>
      <c r="J120" t="n">
        <v>0</v>
      </c>
      <c r="K120" t="n">
        <v>0</v>
      </c>
      <c r="L120" t="n">
        <v>0</v>
      </c>
      <c r="M120" t="n">
        <v>0</v>
      </c>
      <c r="N120" t="n">
        <v>0</v>
      </c>
      <c r="O120" t="n">
        <v>0</v>
      </c>
      <c r="P120" t="n">
        <v>0</v>
      </c>
      <c r="Q120" t="n">
        <v>0</v>
      </c>
      <c r="R120" s="2" t="inlineStr"/>
    </row>
    <row r="121" ht="15" customHeight="1">
      <c r="A121" t="inlineStr">
        <is>
          <t>A 11452-2020</t>
        </is>
      </c>
      <c r="B121" s="1" t="n">
        <v>43893</v>
      </c>
      <c r="C121" s="1" t="n">
        <v>45270</v>
      </c>
      <c r="D121" t="inlineStr">
        <is>
          <t>VÄSTMANLANDS LÄN</t>
        </is>
      </c>
      <c r="E121" t="inlineStr">
        <is>
          <t>KÖPING</t>
        </is>
      </c>
      <c r="G121" t="n">
        <v>1.8</v>
      </c>
      <c r="H121" t="n">
        <v>0</v>
      </c>
      <c r="I121" t="n">
        <v>0</v>
      </c>
      <c r="J121" t="n">
        <v>0</v>
      </c>
      <c r="K121" t="n">
        <v>0</v>
      </c>
      <c r="L121" t="n">
        <v>0</v>
      </c>
      <c r="M121" t="n">
        <v>0</v>
      </c>
      <c r="N121" t="n">
        <v>0</v>
      </c>
      <c r="O121" t="n">
        <v>0</v>
      </c>
      <c r="P121" t="n">
        <v>0</v>
      </c>
      <c r="Q121" t="n">
        <v>0</v>
      </c>
      <c r="R121" s="2" t="inlineStr"/>
    </row>
    <row r="122" ht="15" customHeight="1">
      <c r="A122" t="inlineStr">
        <is>
          <t>A 13158-2020</t>
        </is>
      </c>
      <c r="B122" s="1" t="n">
        <v>43901</v>
      </c>
      <c r="C122" s="1" t="n">
        <v>45270</v>
      </c>
      <c r="D122" t="inlineStr">
        <is>
          <t>VÄSTMANLANDS LÄN</t>
        </is>
      </c>
      <c r="E122" t="inlineStr">
        <is>
          <t>KÖPING</t>
        </is>
      </c>
      <c r="G122" t="n">
        <v>4.6</v>
      </c>
      <c r="H122" t="n">
        <v>0</v>
      </c>
      <c r="I122" t="n">
        <v>0</v>
      </c>
      <c r="J122" t="n">
        <v>0</v>
      </c>
      <c r="K122" t="n">
        <v>0</v>
      </c>
      <c r="L122" t="n">
        <v>0</v>
      </c>
      <c r="M122" t="n">
        <v>0</v>
      </c>
      <c r="N122" t="n">
        <v>0</v>
      </c>
      <c r="O122" t="n">
        <v>0</v>
      </c>
      <c r="P122" t="n">
        <v>0</v>
      </c>
      <c r="Q122" t="n">
        <v>0</v>
      </c>
      <c r="R122" s="2" t="inlineStr"/>
    </row>
    <row r="123" ht="15" customHeight="1">
      <c r="A123" t="inlineStr">
        <is>
          <t>A 14295-2020</t>
        </is>
      </c>
      <c r="B123" s="1" t="n">
        <v>43907</v>
      </c>
      <c r="C123" s="1" t="n">
        <v>45270</v>
      </c>
      <c r="D123" t="inlineStr">
        <is>
          <t>VÄSTMANLANDS LÄN</t>
        </is>
      </c>
      <c r="E123" t="inlineStr">
        <is>
          <t>KÖPING</t>
        </is>
      </c>
      <c r="G123" t="n">
        <v>2.3</v>
      </c>
      <c r="H123" t="n">
        <v>0</v>
      </c>
      <c r="I123" t="n">
        <v>0</v>
      </c>
      <c r="J123" t="n">
        <v>0</v>
      </c>
      <c r="K123" t="n">
        <v>0</v>
      </c>
      <c r="L123" t="n">
        <v>0</v>
      </c>
      <c r="M123" t="n">
        <v>0</v>
      </c>
      <c r="N123" t="n">
        <v>0</v>
      </c>
      <c r="O123" t="n">
        <v>0</v>
      </c>
      <c r="P123" t="n">
        <v>0</v>
      </c>
      <c r="Q123" t="n">
        <v>0</v>
      </c>
      <c r="R123" s="2" t="inlineStr"/>
    </row>
    <row r="124" ht="15" customHeight="1">
      <c r="A124" t="inlineStr">
        <is>
          <t>A 14403-2020</t>
        </is>
      </c>
      <c r="B124" s="1" t="n">
        <v>43908</v>
      </c>
      <c r="C124" s="1" t="n">
        <v>45270</v>
      </c>
      <c r="D124" t="inlineStr">
        <is>
          <t>VÄSTMANLANDS LÄN</t>
        </is>
      </c>
      <c r="E124" t="inlineStr">
        <is>
          <t>KÖPING</t>
        </is>
      </c>
      <c r="G124" t="n">
        <v>3.1</v>
      </c>
      <c r="H124" t="n">
        <v>0</v>
      </c>
      <c r="I124" t="n">
        <v>0</v>
      </c>
      <c r="J124" t="n">
        <v>0</v>
      </c>
      <c r="K124" t="n">
        <v>0</v>
      </c>
      <c r="L124" t="n">
        <v>0</v>
      </c>
      <c r="M124" t="n">
        <v>0</v>
      </c>
      <c r="N124" t="n">
        <v>0</v>
      </c>
      <c r="O124" t="n">
        <v>0</v>
      </c>
      <c r="P124" t="n">
        <v>0</v>
      </c>
      <c r="Q124" t="n">
        <v>0</v>
      </c>
      <c r="R124" s="2" t="inlineStr"/>
    </row>
    <row r="125" ht="15" customHeight="1">
      <c r="A125" t="inlineStr">
        <is>
          <t>A 14898-2020</t>
        </is>
      </c>
      <c r="B125" s="1" t="n">
        <v>43910</v>
      </c>
      <c r="C125" s="1" t="n">
        <v>45270</v>
      </c>
      <c r="D125" t="inlineStr">
        <is>
          <t>VÄSTMANLANDS LÄN</t>
        </is>
      </c>
      <c r="E125" t="inlineStr">
        <is>
          <t>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16989-2020</t>
        </is>
      </c>
      <c r="B126" s="1" t="n">
        <v>43921</v>
      </c>
      <c r="C126" s="1" t="n">
        <v>45270</v>
      </c>
      <c r="D126" t="inlineStr">
        <is>
          <t>VÄSTMANLANDS LÄN</t>
        </is>
      </c>
      <c r="E126" t="inlineStr">
        <is>
          <t>KÖPING</t>
        </is>
      </c>
      <c r="G126" t="n">
        <v>11</v>
      </c>
      <c r="H126" t="n">
        <v>0</v>
      </c>
      <c r="I126" t="n">
        <v>0</v>
      </c>
      <c r="J126" t="n">
        <v>0</v>
      </c>
      <c r="K126" t="n">
        <v>0</v>
      </c>
      <c r="L126" t="n">
        <v>0</v>
      </c>
      <c r="M126" t="n">
        <v>0</v>
      </c>
      <c r="N126" t="n">
        <v>0</v>
      </c>
      <c r="O126" t="n">
        <v>0</v>
      </c>
      <c r="P126" t="n">
        <v>0</v>
      </c>
      <c r="Q126" t="n">
        <v>0</v>
      </c>
      <c r="R126" s="2" t="inlineStr"/>
    </row>
    <row r="127" ht="15" customHeight="1">
      <c r="A127" t="inlineStr">
        <is>
          <t>A 16912-2020</t>
        </is>
      </c>
      <c r="B127" s="1" t="n">
        <v>43921</v>
      </c>
      <c r="C127" s="1" t="n">
        <v>45270</v>
      </c>
      <c r="D127" t="inlineStr">
        <is>
          <t>VÄSTMANLANDS LÄN</t>
        </is>
      </c>
      <c r="E127" t="inlineStr">
        <is>
          <t>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20740-2020</t>
        </is>
      </c>
      <c r="B128" s="1" t="n">
        <v>43949</v>
      </c>
      <c r="C128" s="1" t="n">
        <v>45270</v>
      </c>
      <c r="D128" t="inlineStr">
        <is>
          <t>VÄSTMANLANDS LÄN</t>
        </is>
      </c>
      <c r="E128" t="inlineStr">
        <is>
          <t>KÖPING</t>
        </is>
      </c>
      <c r="G128" t="n">
        <v>2.4</v>
      </c>
      <c r="H128" t="n">
        <v>0</v>
      </c>
      <c r="I128" t="n">
        <v>0</v>
      </c>
      <c r="J128" t="n">
        <v>0</v>
      </c>
      <c r="K128" t="n">
        <v>0</v>
      </c>
      <c r="L128" t="n">
        <v>0</v>
      </c>
      <c r="M128" t="n">
        <v>0</v>
      </c>
      <c r="N128" t="n">
        <v>0</v>
      </c>
      <c r="O128" t="n">
        <v>0</v>
      </c>
      <c r="P128" t="n">
        <v>0</v>
      </c>
      <c r="Q128" t="n">
        <v>0</v>
      </c>
      <c r="R128" s="2" t="inlineStr"/>
    </row>
    <row r="129" ht="15" customHeight="1">
      <c r="A129" t="inlineStr">
        <is>
          <t>A 21691-2020</t>
        </is>
      </c>
      <c r="B129" s="1" t="n">
        <v>43957</v>
      </c>
      <c r="C129" s="1" t="n">
        <v>45270</v>
      </c>
      <c r="D129" t="inlineStr">
        <is>
          <t>VÄSTMANLANDS LÄN</t>
        </is>
      </c>
      <c r="E129" t="inlineStr">
        <is>
          <t>KÖPING</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22523-2020</t>
        </is>
      </c>
      <c r="B130" s="1" t="n">
        <v>43963</v>
      </c>
      <c r="C130" s="1" t="n">
        <v>45270</v>
      </c>
      <c r="D130" t="inlineStr">
        <is>
          <t>VÄSTMANLANDS LÄN</t>
        </is>
      </c>
      <c r="E130" t="inlineStr">
        <is>
          <t>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23780-2020</t>
        </is>
      </c>
      <c r="B131" s="1" t="n">
        <v>43970</v>
      </c>
      <c r="C131" s="1" t="n">
        <v>45270</v>
      </c>
      <c r="D131" t="inlineStr">
        <is>
          <t>VÄSTMANLANDS LÄN</t>
        </is>
      </c>
      <c r="E131" t="inlineStr">
        <is>
          <t>KÖPING</t>
        </is>
      </c>
      <c r="G131" t="n">
        <v>1.8</v>
      </c>
      <c r="H131" t="n">
        <v>0</v>
      </c>
      <c r="I131" t="n">
        <v>0</v>
      </c>
      <c r="J131" t="n">
        <v>0</v>
      </c>
      <c r="K131" t="n">
        <v>0</v>
      </c>
      <c r="L131" t="n">
        <v>0</v>
      </c>
      <c r="M131" t="n">
        <v>0</v>
      </c>
      <c r="N131" t="n">
        <v>0</v>
      </c>
      <c r="O131" t="n">
        <v>0</v>
      </c>
      <c r="P131" t="n">
        <v>0</v>
      </c>
      <c r="Q131" t="n">
        <v>0</v>
      </c>
      <c r="R131" s="2" t="inlineStr"/>
    </row>
    <row r="132" ht="15" customHeight="1">
      <c r="A132" t="inlineStr">
        <is>
          <t>A 24271-2020</t>
        </is>
      </c>
      <c r="B132" s="1" t="n">
        <v>43976</v>
      </c>
      <c r="C132" s="1" t="n">
        <v>45270</v>
      </c>
      <c r="D132" t="inlineStr">
        <is>
          <t>VÄSTMANLANDS LÄN</t>
        </is>
      </c>
      <c r="E132" t="inlineStr">
        <is>
          <t>KÖPING</t>
        </is>
      </c>
      <c r="F132" t="inlineStr">
        <is>
          <t>Sveaskog</t>
        </is>
      </c>
      <c r="G132" t="n">
        <v>5.9</v>
      </c>
      <c r="H132" t="n">
        <v>0</v>
      </c>
      <c r="I132" t="n">
        <v>0</v>
      </c>
      <c r="J132" t="n">
        <v>0</v>
      </c>
      <c r="K132" t="n">
        <v>0</v>
      </c>
      <c r="L132" t="n">
        <v>0</v>
      </c>
      <c r="M132" t="n">
        <v>0</v>
      </c>
      <c r="N132" t="n">
        <v>0</v>
      </c>
      <c r="O132" t="n">
        <v>0</v>
      </c>
      <c r="P132" t="n">
        <v>0</v>
      </c>
      <c r="Q132" t="n">
        <v>0</v>
      </c>
      <c r="R132" s="2" t="inlineStr"/>
    </row>
    <row r="133" ht="15" customHeight="1">
      <c r="A133" t="inlineStr">
        <is>
          <t>A 24309-2020</t>
        </is>
      </c>
      <c r="B133" s="1" t="n">
        <v>43976</v>
      </c>
      <c r="C133" s="1" t="n">
        <v>45270</v>
      </c>
      <c r="D133" t="inlineStr">
        <is>
          <t>VÄSTMANLANDS LÄN</t>
        </is>
      </c>
      <c r="E133" t="inlineStr">
        <is>
          <t>KÖPING</t>
        </is>
      </c>
      <c r="G133" t="n">
        <v>0.8</v>
      </c>
      <c r="H133" t="n">
        <v>0</v>
      </c>
      <c r="I133" t="n">
        <v>0</v>
      </c>
      <c r="J133" t="n">
        <v>0</v>
      </c>
      <c r="K133" t="n">
        <v>0</v>
      </c>
      <c r="L133" t="n">
        <v>0</v>
      </c>
      <c r="M133" t="n">
        <v>0</v>
      </c>
      <c r="N133" t="n">
        <v>0</v>
      </c>
      <c r="O133" t="n">
        <v>0</v>
      </c>
      <c r="P133" t="n">
        <v>0</v>
      </c>
      <c r="Q133" t="n">
        <v>0</v>
      </c>
      <c r="R133" s="2" t="inlineStr"/>
    </row>
    <row r="134" ht="15" customHeight="1">
      <c r="A134" t="inlineStr">
        <is>
          <t>A 25480-2020</t>
        </is>
      </c>
      <c r="B134" s="1" t="n">
        <v>43983</v>
      </c>
      <c r="C134" s="1" t="n">
        <v>45270</v>
      </c>
      <c r="D134" t="inlineStr">
        <is>
          <t>VÄSTMANLANDS LÄN</t>
        </is>
      </c>
      <c r="E134" t="inlineStr">
        <is>
          <t>KÖPING</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26013-2020</t>
        </is>
      </c>
      <c r="B135" s="1" t="n">
        <v>43985</v>
      </c>
      <c r="C135" s="1" t="n">
        <v>45270</v>
      </c>
      <c r="D135" t="inlineStr">
        <is>
          <t>VÄSTMANLANDS LÄN</t>
        </is>
      </c>
      <c r="E135" t="inlineStr">
        <is>
          <t>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26343-2020</t>
        </is>
      </c>
      <c r="B136" s="1" t="n">
        <v>43986</v>
      </c>
      <c r="C136" s="1" t="n">
        <v>45270</v>
      </c>
      <c r="D136" t="inlineStr">
        <is>
          <t>VÄSTMANLANDS LÄN</t>
        </is>
      </c>
      <c r="E136" t="inlineStr">
        <is>
          <t>KÖPING</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26743-2020</t>
        </is>
      </c>
      <c r="B137" s="1" t="n">
        <v>43990</v>
      </c>
      <c r="C137" s="1" t="n">
        <v>45270</v>
      </c>
      <c r="D137" t="inlineStr">
        <is>
          <t>VÄSTMANLANDS LÄN</t>
        </is>
      </c>
      <c r="E137" t="inlineStr">
        <is>
          <t>KÖPING</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26754-2020</t>
        </is>
      </c>
      <c r="B138" s="1" t="n">
        <v>43990</v>
      </c>
      <c r="C138" s="1" t="n">
        <v>45270</v>
      </c>
      <c r="D138" t="inlineStr">
        <is>
          <t>VÄSTMANLANDS LÄN</t>
        </is>
      </c>
      <c r="E138" t="inlineStr">
        <is>
          <t>KÖPING</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26771-2020</t>
        </is>
      </c>
      <c r="B139" s="1" t="n">
        <v>43990</v>
      </c>
      <c r="C139" s="1" t="n">
        <v>45270</v>
      </c>
      <c r="D139" t="inlineStr">
        <is>
          <t>VÄSTMANLANDS LÄN</t>
        </is>
      </c>
      <c r="E139" t="inlineStr">
        <is>
          <t>KÖPING</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26749-2020</t>
        </is>
      </c>
      <c r="B140" s="1" t="n">
        <v>43990</v>
      </c>
      <c r="C140" s="1" t="n">
        <v>45270</v>
      </c>
      <c r="D140" t="inlineStr">
        <is>
          <t>VÄSTMANLANDS LÄN</t>
        </is>
      </c>
      <c r="E140" t="inlineStr">
        <is>
          <t>KÖPING</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26759-2020</t>
        </is>
      </c>
      <c r="B141" s="1" t="n">
        <v>43990</v>
      </c>
      <c r="C141" s="1" t="n">
        <v>45270</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26765-2020</t>
        </is>
      </c>
      <c r="B142" s="1" t="n">
        <v>43990</v>
      </c>
      <c r="C142" s="1" t="n">
        <v>45270</v>
      </c>
      <c r="D142" t="inlineStr">
        <is>
          <t>VÄSTMANLANDS LÄN</t>
        </is>
      </c>
      <c r="E142" t="inlineStr">
        <is>
          <t>KÖPING</t>
        </is>
      </c>
      <c r="F142" t="inlineStr">
        <is>
          <t>Sveaskog</t>
        </is>
      </c>
      <c r="G142" t="n">
        <v>3.7</v>
      </c>
      <c r="H142" t="n">
        <v>0</v>
      </c>
      <c r="I142" t="n">
        <v>0</v>
      </c>
      <c r="J142" t="n">
        <v>0</v>
      </c>
      <c r="K142" t="n">
        <v>0</v>
      </c>
      <c r="L142" t="n">
        <v>0</v>
      </c>
      <c r="M142" t="n">
        <v>0</v>
      </c>
      <c r="N142" t="n">
        <v>0</v>
      </c>
      <c r="O142" t="n">
        <v>0</v>
      </c>
      <c r="P142" t="n">
        <v>0</v>
      </c>
      <c r="Q142" t="n">
        <v>0</v>
      </c>
      <c r="R142" s="2" t="inlineStr"/>
    </row>
    <row r="143" ht="15" customHeight="1">
      <c r="A143" t="inlineStr">
        <is>
          <t>A 26740-2020</t>
        </is>
      </c>
      <c r="B143" s="1" t="n">
        <v>43990</v>
      </c>
      <c r="C143" s="1" t="n">
        <v>45270</v>
      </c>
      <c r="D143" t="inlineStr">
        <is>
          <t>VÄSTMANLANDS LÄN</t>
        </is>
      </c>
      <c r="E143" t="inlineStr">
        <is>
          <t>KÖPING</t>
        </is>
      </c>
      <c r="F143" t="inlineStr">
        <is>
          <t>Sveaskog</t>
        </is>
      </c>
      <c r="G143" t="n">
        <v>2</v>
      </c>
      <c r="H143" t="n">
        <v>0</v>
      </c>
      <c r="I143" t="n">
        <v>0</v>
      </c>
      <c r="J143" t="n">
        <v>0</v>
      </c>
      <c r="K143" t="n">
        <v>0</v>
      </c>
      <c r="L143" t="n">
        <v>0</v>
      </c>
      <c r="M143" t="n">
        <v>0</v>
      </c>
      <c r="N143" t="n">
        <v>0</v>
      </c>
      <c r="O143" t="n">
        <v>0</v>
      </c>
      <c r="P143" t="n">
        <v>0</v>
      </c>
      <c r="Q143" t="n">
        <v>0</v>
      </c>
      <c r="R143" s="2" t="inlineStr"/>
    </row>
    <row r="144" ht="15" customHeight="1">
      <c r="A144" t="inlineStr">
        <is>
          <t>A 26769-2020</t>
        </is>
      </c>
      <c r="B144" s="1" t="n">
        <v>43990</v>
      </c>
      <c r="C144" s="1" t="n">
        <v>45270</v>
      </c>
      <c r="D144" t="inlineStr">
        <is>
          <t>VÄSTMANLANDS LÄN</t>
        </is>
      </c>
      <c r="E144" t="inlineStr">
        <is>
          <t>KÖPING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26782-2020</t>
        </is>
      </c>
      <c r="B145" s="1" t="n">
        <v>43990</v>
      </c>
      <c r="C145" s="1" t="n">
        <v>45270</v>
      </c>
      <c r="D145" t="inlineStr">
        <is>
          <t>VÄSTMANLANDS LÄN</t>
        </is>
      </c>
      <c r="E145" t="inlineStr">
        <is>
          <t>KÖPING</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28555-2020</t>
        </is>
      </c>
      <c r="B146" s="1" t="n">
        <v>43999</v>
      </c>
      <c r="C146" s="1" t="n">
        <v>45270</v>
      </c>
      <c r="D146" t="inlineStr">
        <is>
          <t>VÄSTMANLANDS LÄN</t>
        </is>
      </c>
      <c r="E146" t="inlineStr">
        <is>
          <t>KÖPING</t>
        </is>
      </c>
      <c r="F146" t="inlineStr">
        <is>
          <t>Sveaskog</t>
        </is>
      </c>
      <c r="G146" t="n">
        <v>2.7</v>
      </c>
      <c r="H146" t="n">
        <v>0</v>
      </c>
      <c r="I146" t="n">
        <v>0</v>
      </c>
      <c r="J146" t="n">
        <v>0</v>
      </c>
      <c r="K146" t="n">
        <v>0</v>
      </c>
      <c r="L146" t="n">
        <v>0</v>
      </c>
      <c r="M146" t="n">
        <v>0</v>
      </c>
      <c r="N146" t="n">
        <v>0</v>
      </c>
      <c r="O146" t="n">
        <v>0</v>
      </c>
      <c r="P146" t="n">
        <v>0</v>
      </c>
      <c r="Q146" t="n">
        <v>0</v>
      </c>
      <c r="R146" s="2" t="inlineStr"/>
    </row>
    <row r="147" ht="15" customHeight="1">
      <c r="A147" t="inlineStr">
        <is>
          <t>A 30928-2020</t>
        </is>
      </c>
      <c r="B147" s="1" t="n">
        <v>44011</v>
      </c>
      <c r="C147" s="1" t="n">
        <v>45270</v>
      </c>
      <c r="D147" t="inlineStr">
        <is>
          <t>VÄSTMANLANDS LÄN</t>
        </is>
      </c>
      <c r="E147" t="inlineStr">
        <is>
          <t>KÖPING</t>
        </is>
      </c>
      <c r="G147" t="n">
        <v>2.3</v>
      </c>
      <c r="H147" t="n">
        <v>0</v>
      </c>
      <c r="I147" t="n">
        <v>0</v>
      </c>
      <c r="J147" t="n">
        <v>0</v>
      </c>
      <c r="K147" t="n">
        <v>0</v>
      </c>
      <c r="L147" t="n">
        <v>0</v>
      </c>
      <c r="M147" t="n">
        <v>0</v>
      </c>
      <c r="N147" t="n">
        <v>0</v>
      </c>
      <c r="O147" t="n">
        <v>0</v>
      </c>
      <c r="P147" t="n">
        <v>0</v>
      </c>
      <c r="Q147" t="n">
        <v>0</v>
      </c>
      <c r="R147" s="2" t="inlineStr"/>
    </row>
    <row r="148" ht="15" customHeight="1">
      <c r="A148" t="inlineStr">
        <is>
          <t>A 30985-2020</t>
        </is>
      </c>
      <c r="B148" s="1" t="n">
        <v>44011</v>
      </c>
      <c r="C148" s="1" t="n">
        <v>45270</v>
      </c>
      <c r="D148" t="inlineStr">
        <is>
          <t>VÄSTMANLANDS LÄN</t>
        </is>
      </c>
      <c r="E148" t="inlineStr">
        <is>
          <t>KÖPING</t>
        </is>
      </c>
      <c r="G148" t="n">
        <v>1.7</v>
      </c>
      <c r="H148" t="n">
        <v>0</v>
      </c>
      <c r="I148" t="n">
        <v>0</v>
      </c>
      <c r="J148" t="n">
        <v>0</v>
      </c>
      <c r="K148" t="n">
        <v>0</v>
      </c>
      <c r="L148" t="n">
        <v>0</v>
      </c>
      <c r="M148" t="n">
        <v>0</v>
      </c>
      <c r="N148" t="n">
        <v>0</v>
      </c>
      <c r="O148" t="n">
        <v>0</v>
      </c>
      <c r="P148" t="n">
        <v>0</v>
      </c>
      <c r="Q148" t="n">
        <v>0</v>
      </c>
      <c r="R148" s="2" t="inlineStr"/>
    </row>
    <row r="149" ht="15" customHeight="1">
      <c r="A149" t="inlineStr">
        <is>
          <t>A 32265-2020</t>
        </is>
      </c>
      <c r="B149" s="1" t="n">
        <v>44015</v>
      </c>
      <c r="C149" s="1" t="n">
        <v>45270</v>
      </c>
      <c r="D149" t="inlineStr">
        <is>
          <t>VÄSTMANLANDS LÄN</t>
        </is>
      </c>
      <c r="E149" t="inlineStr">
        <is>
          <t>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32605-2020</t>
        </is>
      </c>
      <c r="B150" s="1" t="n">
        <v>44019</v>
      </c>
      <c r="C150" s="1" t="n">
        <v>45270</v>
      </c>
      <c r="D150" t="inlineStr">
        <is>
          <t>VÄSTMANLANDS LÄN</t>
        </is>
      </c>
      <c r="E150" t="inlineStr">
        <is>
          <t>KÖPING</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33417-2020</t>
        </is>
      </c>
      <c r="B151" s="1" t="n">
        <v>44022</v>
      </c>
      <c r="C151" s="1" t="n">
        <v>45270</v>
      </c>
      <c r="D151" t="inlineStr">
        <is>
          <t>VÄSTMANLANDS LÄN</t>
        </is>
      </c>
      <c r="E151" t="inlineStr">
        <is>
          <t>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33865-2020</t>
        </is>
      </c>
      <c r="B152" s="1" t="n">
        <v>44027</v>
      </c>
      <c r="C152" s="1" t="n">
        <v>45270</v>
      </c>
      <c r="D152" t="inlineStr">
        <is>
          <t>VÄSTMANLANDS LÄN</t>
        </is>
      </c>
      <c r="E152" t="inlineStr">
        <is>
          <t>KÖPING</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33916-2020</t>
        </is>
      </c>
      <c r="B153" s="1" t="n">
        <v>44027</v>
      </c>
      <c r="C153" s="1" t="n">
        <v>45270</v>
      </c>
      <c r="D153" t="inlineStr">
        <is>
          <t>VÄSTMANLANDS LÄN</t>
        </is>
      </c>
      <c r="E153" t="inlineStr">
        <is>
          <t>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33919-2020</t>
        </is>
      </c>
      <c r="B154" s="1" t="n">
        <v>44027</v>
      </c>
      <c r="C154" s="1" t="n">
        <v>45270</v>
      </c>
      <c r="D154" t="inlineStr">
        <is>
          <t>VÄSTMANLANDS LÄN</t>
        </is>
      </c>
      <c r="E154" t="inlineStr">
        <is>
          <t>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34065-2020</t>
        </is>
      </c>
      <c r="B155" s="1" t="n">
        <v>44028</v>
      </c>
      <c r="C155" s="1" t="n">
        <v>45270</v>
      </c>
      <c r="D155" t="inlineStr">
        <is>
          <t>VÄSTMANLANDS LÄN</t>
        </is>
      </c>
      <c r="E155" t="inlineStr">
        <is>
          <t>KÖPING</t>
        </is>
      </c>
      <c r="F155" t="inlineStr">
        <is>
          <t>Sveaskog</t>
        </is>
      </c>
      <c r="G155" t="n">
        <v>2.4</v>
      </c>
      <c r="H155" t="n">
        <v>0</v>
      </c>
      <c r="I155" t="n">
        <v>0</v>
      </c>
      <c r="J155" t="n">
        <v>0</v>
      </c>
      <c r="K155" t="n">
        <v>0</v>
      </c>
      <c r="L155" t="n">
        <v>0</v>
      </c>
      <c r="M155" t="n">
        <v>0</v>
      </c>
      <c r="N155" t="n">
        <v>0</v>
      </c>
      <c r="O155" t="n">
        <v>0</v>
      </c>
      <c r="P155" t="n">
        <v>0</v>
      </c>
      <c r="Q155" t="n">
        <v>0</v>
      </c>
      <c r="R155" s="2" t="inlineStr"/>
    </row>
    <row r="156" ht="15" customHeight="1">
      <c r="A156" t="inlineStr">
        <is>
          <t>A 34011-2020</t>
        </is>
      </c>
      <c r="B156" s="1" t="n">
        <v>44028</v>
      </c>
      <c r="C156" s="1" t="n">
        <v>45270</v>
      </c>
      <c r="D156" t="inlineStr">
        <is>
          <t>VÄSTMANLANDS LÄN</t>
        </is>
      </c>
      <c r="E156" t="inlineStr">
        <is>
          <t>KÖPING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34864-2020</t>
        </is>
      </c>
      <c r="B157" s="1" t="n">
        <v>44036</v>
      </c>
      <c r="C157" s="1" t="n">
        <v>45270</v>
      </c>
      <c r="D157" t="inlineStr">
        <is>
          <t>VÄSTMANLANDS LÄN</t>
        </is>
      </c>
      <c r="E157" t="inlineStr">
        <is>
          <t>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35532-2020</t>
        </is>
      </c>
      <c r="B158" s="1" t="n">
        <v>44043</v>
      </c>
      <c r="C158" s="1" t="n">
        <v>45270</v>
      </c>
      <c r="D158" t="inlineStr">
        <is>
          <t>VÄSTMANLANDS LÄN</t>
        </is>
      </c>
      <c r="E158" t="inlineStr">
        <is>
          <t>KÖPING</t>
        </is>
      </c>
      <c r="G158" t="n">
        <v>3.9</v>
      </c>
      <c r="H158" t="n">
        <v>0</v>
      </c>
      <c r="I158" t="n">
        <v>0</v>
      </c>
      <c r="J158" t="n">
        <v>0</v>
      </c>
      <c r="K158" t="n">
        <v>0</v>
      </c>
      <c r="L158" t="n">
        <v>0</v>
      </c>
      <c r="M158" t="n">
        <v>0</v>
      </c>
      <c r="N158" t="n">
        <v>0</v>
      </c>
      <c r="O158" t="n">
        <v>0</v>
      </c>
      <c r="P158" t="n">
        <v>0</v>
      </c>
      <c r="Q158" t="n">
        <v>0</v>
      </c>
      <c r="R158" s="2" t="inlineStr"/>
    </row>
    <row r="159" ht="15" customHeight="1">
      <c r="A159" t="inlineStr">
        <is>
          <t>A 37467-2020</t>
        </is>
      </c>
      <c r="B159" s="1" t="n">
        <v>44055</v>
      </c>
      <c r="C159" s="1" t="n">
        <v>45270</v>
      </c>
      <c r="D159" t="inlineStr">
        <is>
          <t>VÄSTMANLANDS LÄN</t>
        </is>
      </c>
      <c r="E159" t="inlineStr">
        <is>
          <t>KÖPING</t>
        </is>
      </c>
      <c r="F159" t="inlineStr">
        <is>
          <t>Kyrkan</t>
        </is>
      </c>
      <c r="G159" t="n">
        <v>1.1</v>
      </c>
      <c r="H159" t="n">
        <v>0</v>
      </c>
      <c r="I159" t="n">
        <v>0</v>
      </c>
      <c r="J159" t="n">
        <v>0</v>
      </c>
      <c r="K159" t="n">
        <v>0</v>
      </c>
      <c r="L159" t="n">
        <v>0</v>
      </c>
      <c r="M159" t="n">
        <v>0</v>
      </c>
      <c r="N159" t="n">
        <v>0</v>
      </c>
      <c r="O159" t="n">
        <v>0</v>
      </c>
      <c r="P159" t="n">
        <v>0</v>
      </c>
      <c r="Q159" t="n">
        <v>0</v>
      </c>
      <c r="R159" s="2" t="inlineStr"/>
    </row>
    <row r="160" ht="15" customHeight="1">
      <c r="A160" t="inlineStr">
        <is>
          <t>A 39936-2020</t>
        </is>
      </c>
      <c r="B160" s="1" t="n">
        <v>44067</v>
      </c>
      <c r="C160" s="1" t="n">
        <v>45270</v>
      </c>
      <c r="D160" t="inlineStr">
        <is>
          <t>VÄSTMANLANDS LÄN</t>
        </is>
      </c>
      <c r="E160" t="inlineStr">
        <is>
          <t>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39982-2020</t>
        </is>
      </c>
      <c r="B161" s="1" t="n">
        <v>44067</v>
      </c>
      <c r="C161" s="1" t="n">
        <v>45270</v>
      </c>
      <c r="D161" t="inlineStr">
        <is>
          <t>VÄSTMANLANDS LÄN</t>
        </is>
      </c>
      <c r="E161" t="inlineStr">
        <is>
          <t>KÖPING</t>
        </is>
      </c>
      <c r="G161" t="n">
        <v>1.3</v>
      </c>
      <c r="H161" t="n">
        <v>0</v>
      </c>
      <c r="I161" t="n">
        <v>0</v>
      </c>
      <c r="J161" t="n">
        <v>0</v>
      </c>
      <c r="K161" t="n">
        <v>0</v>
      </c>
      <c r="L161" t="n">
        <v>0</v>
      </c>
      <c r="M161" t="n">
        <v>0</v>
      </c>
      <c r="N161" t="n">
        <v>0</v>
      </c>
      <c r="O161" t="n">
        <v>0</v>
      </c>
      <c r="P161" t="n">
        <v>0</v>
      </c>
      <c r="Q161" t="n">
        <v>0</v>
      </c>
      <c r="R161" s="2" t="inlineStr"/>
    </row>
    <row r="162" ht="15" customHeight="1">
      <c r="A162" t="inlineStr">
        <is>
          <t>A 40486-2020</t>
        </is>
      </c>
      <c r="B162" s="1" t="n">
        <v>44069</v>
      </c>
      <c r="C162" s="1" t="n">
        <v>45270</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40547-2020</t>
        </is>
      </c>
      <c r="B163" s="1" t="n">
        <v>44069</v>
      </c>
      <c r="C163" s="1" t="n">
        <v>45270</v>
      </c>
      <c r="D163" t="inlineStr">
        <is>
          <t>VÄSTMANLANDS LÄN</t>
        </is>
      </c>
      <c r="E163" t="inlineStr">
        <is>
          <t>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40671-2020</t>
        </is>
      </c>
      <c r="B164" s="1" t="n">
        <v>44069</v>
      </c>
      <c r="C164" s="1" t="n">
        <v>45270</v>
      </c>
      <c r="D164" t="inlineStr">
        <is>
          <t>VÄSTMANLANDS LÄN</t>
        </is>
      </c>
      <c r="E164" t="inlineStr">
        <is>
          <t>KÖPING</t>
        </is>
      </c>
      <c r="G164" t="n">
        <v>5.6</v>
      </c>
      <c r="H164" t="n">
        <v>0</v>
      </c>
      <c r="I164" t="n">
        <v>0</v>
      </c>
      <c r="J164" t="n">
        <v>0</v>
      </c>
      <c r="K164" t="n">
        <v>0</v>
      </c>
      <c r="L164" t="n">
        <v>0</v>
      </c>
      <c r="M164" t="n">
        <v>0</v>
      </c>
      <c r="N164" t="n">
        <v>0</v>
      </c>
      <c r="O164" t="n">
        <v>0</v>
      </c>
      <c r="P164" t="n">
        <v>0</v>
      </c>
      <c r="Q164" t="n">
        <v>0</v>
      </c>
      <c r="R164" s="2" t="inlineStr"/>
    </row>
    <row r="165" ht="15" customHeight="1">
      <c r="A165" t="inlineStr">
        <is>
          <t>A 41464-2020</t>
        </is>
      </c>
      <c r="B165" s="1" t="n">
        <v>44069</v>
      </c>
      <c r="C165" s="1" t="n">
        <v>45270</v>
      </c>
      <c r="D165" t="inlineStr">
        <is>
          <t>VÄSTMANLANDS LÄN</t>
        </is>
      </c>
      <c r="E165" t="inlineStr">
        <is>
          <t>KÖPING</t>
        </is>
      </c>
      <c r="G165" t="n">
        <v>8.1</v>
      </c>
      <c r="H165" t="n">
        <v>0</v>
      </c>
      <c r="I165" t="n">
        <v>0</v>
      </c>
      <c r="J165" t="n">
        <v>0</v>
      </c>
      <c r="K165" t="n">
        <v>0</v>
      </c>
      <c r="L165" t="n">
        <v>0</v>
      </c>
      <c r="M165" t="n">
        <v>0</v>
      </c>
      <c r="N165" t="n">
        <v>0</v>
      </c>
      <c r="O165" t="n">
        <v>0</v>
      </c>
      <c r="P165" t="n">
        <v>0</v>
      </c>
      <c r="Q165" t="n">
        <v>0</v>
      </c>
      <c r="R165" s="2" t="inlineStr"/>
    </row>
    <row r="166" ht="15" customHeight="1">
      <c r="A166" t="inlineStr">
        <is>
          <t>A 41568-2020</t>
        </is>
      </c>
      <c r="B166" s="1" t="n">
        <v>44069</v>
      </c>
      <c r="C166" s="1" t="n">
        <v>45270</v>
      </c>
      <c r="D166" t="inlineStr">
        <is>
          <t>VÄSTMANLANDS LÄN</t>
        </is>
      </c>
      <c r="E166" t="inlineStr">
        <is>
          <t>KÖPING</t>
        </is>
      </c>
      <c r="G166" t="n">
        <v>4.2</v>
      </c>
      <c r="H166" t="n">
        <v>0</v>
      </c>
      <c r="I166" t="n">
        <v>0</v>
      </c>
      <c r="J166" t="n">
        <v>0</v>
      </c>
      <c r="K166" t="n">
        <v>0</v>
      </c>
      <c r="L166" t="n">
        <v>0</v>
      </c>
      <c r="M166" t="n">
        <v>0</v>
      </c>
      <c r="N166" t="n">
        <v>0</v>
      </c>
      <c r="O166" t="n">
        <v>0</v>
      </c>
      <c r="P166" t="n">
        <v>0</v>
      </c>
      <c r="Q166" t="n">
        <v>0</v>
      </c>
      <c r="R166" s="2" t="inlineStr"/>
    </row>
    <row r="167" ht="15" customHeight="1">
      <c r="A167" t="inlineStr">
        <is>
          <t>A 41074-2020</t>
        </is>
      </c>
      <c r="B167" s="1" t="n">
        <v>44071</v>
      </c>
      <c r="C167" s="1" t="n">
        <v>45270</v>
      </c>
      <c r="D167" t="inlineStr">
        <is>
          <t>VÄSTMANLANDS LÄN</t>
        </is>
      </c>
      <c r="E167" t="inlineStr">
        <is>
          <t>KÖPING</t>
        </is>
      </c>
      <c r="F167" t="inlineStr">
        <is>
          <t>Sveaskog</t>
        </is>
      </c>
      <c r="G167" t="n">
        <v>0.7</v>
      </c>
      <c r="H167" t="n">
        <v>0</v>
      </c>
      <c r="I167" t="n">
        <v>0</v>
      </c>
      <c r="J167" t="n">
        <v>0</v>
      </c>
      <c r="K167" t="n">
        <v>0</v>
      </c>
      <c r="L167" t="n">
        <v>0</v>
      </c>
      <c r="M167" t="n">
        <v>0</v>
      </c>
      <c r="N167" t="n">
        <v>0</v>
      </c>
      <c r="O167" t="n">
        <v>0</v>
      </c>
      <c r="P167" t="n">
        <v>0</v>
      </c>
      <c r="Q167" t="n">
        <v>0</v>
      </c>
      <c r="R167" s="2" t="inlineStr"/>
    </row>
    <row r="168" ht="15" customHeight="1">
      <c r="A168" t="inlineStr">
        <is>
          <t>A 42309-2020</t>
        </is>
      </c>
      <c r="B168" s="1" t="n">
        <v>44076</v>
      </c>
      <c r="C168" s="1" t="n">
        <v>45270</v>
      </c>
      <c r="D168" t="inlineStr">
        <is>
          <t>VÄSTMANLANDS LÄN</t>
        </is>
      </c>
      <c r="E168" t="inlineStr">
        <is>
          <t>KÖPING</t>
        </is>
      </c>
      <c r="F168" t="inlineStr">
        <is>
          <t>Allmännings- och besparingsskogar</t>
        </is>
      </c>
      <c r="G168" t="n">
        <v>5.4</v>
      </c>
      <c r="H168" t="n">
        <v>0</v>
      </c>
      <c r="I168" t="n">
        <v>0</v>
      </c>
      <c r="J168" t="n">
        <v>0</v>
      </c>
      <c r="K168" t="n">
        <v>0</v>
      </c>
      <c r="L168" t="n">
        <v>0</v>
      </c>
      <c r="M168" t="n">
        <v>0</v>
      </c>
      <c r="N168" t="n">
        <v>0</v>
      </c>
      <c r="O168" t="n">
        <v>0</v>
      </c>
      <c r="P168" t="n">
        <v>0</v>
      </c>
      <c r="Q168" t="n">
        <v>0</v>
      </c>
      <c r="R168" s="2" t="inlineStr"/>
    </row>
    <row r="169" ht="15" customHeight="1">
      <c r="A169" t="inlineStr">
        <is>
          <t>A 43244-2020</t>
        </is>
      </c>
      <c r="B169" s="1" t="n">
        <v>44081</v>
      </c>
      <c r="C169" s="1" t="n">
        <v>45270</v>
      </c>
      <c r="D169" t="inlineStr">
        <is>
          <t>VÄSTMANLANDS LÄN</t>
        </is>
      </c>
      <c r="E169" t="inlineStr">
        <is>
          <t>KÖPING</t>
        </is>
      </c>
      <c r="F169" t="inlineStr">
        <is>
          <t>Sveaskog</t>
        </is>
      </c>
      <c r="G169" t="n">
        <v>0.5</v>
      </c>
      <c r="H169" t="n">
        <v>0</v>
      </c>
      <c r="I169" t="n">
        <v>0</v>
      </c>
      <c r="J169" t="n">
        <v>0</v>
      </c>
      <c r="K169" t="n">
        <v>0</v>
      </c>
      <c r="L169" t="n">
        <v>0</v>
      </c>
      <c r="M169" t="n">
        <v>0</v>
      </c>
      <c r="N169" t="n">
        <v>0</v>
      </c>
      <c r="O169" t="n">
        <v>0</v>
      </c>
      <c r="P169" t="n">
        <v>0</v>
      </c>
      <c r="Q169" t="n">
        <v>0</v>
      </c>
      <c r="R169" s="2" t="inlineStr"/>
    </row>
    <row r="170" ht="15" customHeight="1">
      <c r="A170" t="inlineStr">
        <is>
          <t>A 44969-2020</t>
        </is>
      </c>
      <c r="B170" s="1" t="n">
        <v>44088</v>
      </c>
      <c r="C170" s="1" t="n">
        <v>45270</v>
      </c>
      <c r="D170" t="inlineStr">
        <is>
          <t>VÄSTMANLANDS LÄN</t>
        </is>
      </c>
      <c r="E170" t="inlineStr">
        <is>
          <t>KÖPING</t>
        </is>
      </c>
      <c r="G170" t="n">
        <v>2.1</v>
      </c>
      <c r="H170" t="n">
        <v>0</v>
      </c>
      <c r="I170" t="n">
        <v>0</v>
      </c>
      <c r="J170" t="n">
        <v>0</v>
      </c>
      <c r="K170" t="n">
        <v>0</v>
      </c>
      <c r="L170" t="n">
        <v>0</v>
      </c>
      <c r="M170" t="n">
        <v>0</v>
      </c>
      <c r="N170" t="n">
        <v>0</v>
      </c>
      <c r="O170" t="n">
        <v>0</v>
      </c>
      <c r="P170" t="n">
        <v>0</v>
      </c>
      <c r="Q170" t="n">
        <v>0</v>
      </c>
      <c r="R170" s="2" t="inlineStr"/>
    </row>
    <row r="171" ht="15" customHeight="1">
      <c r="A171" t="inlineStr">
        <is>
          <t>A 47048-2020</t>
        </is>
      </c>
      <c r="B171" s="1" t="n">
        <v>44096</v>
      </c>
      <c r="C171" s="1" t="n">
        <v>45270</v>
      </c>
      <c r="D171" t="inlineStr">
        <is>
          <t>VÄSTMANLANDS LÄN</t>
        </is>
      </c>
      <c r="E171" t="inlineStr">
        <is>
          <t>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47944-2020</t>
        </is>
      </c>
      <c r="B172" s="1" t="n">
        <v>44099</v>
      </c>
      <c r="C172" s="1" t="n">
        <v>45270</v>
      </c>
      <c r="D172" t="inlineStr">
        <is>
          <t>VÄSTMANLANDS LÄN</t>
        </is>
      </c>
      <c r="E172" t="inlineStr">
        <is>
          <t>KÖPING</t>
        </is>
      </c>
      <c r="F172" t="inlineStr">
        <is>
          <t>Sveaskog</t>
        </is>
      </c>
      <c r="G172" t="n">
        <v>4.2</v>
      </c>
      <c r="H172" t="n">
        <v>0</v>
      </c>
      <c r="I172" t="n">
        <v>0</v>
      </c>
      <c r="J172" t="n">
        <v>0</v>
      </c>
      <c r="K172" t="n">
        <v>0</v>
      </c>
      <c r="L172" t="n">
        <v>0</v>
      </c>
      <c r="M172" t="n">
        <v>0</v>
      </c>
      <c r="N172" t="n">
        <v>0</v>
      </c>
      <c r="O172" t="n">
        <v>0</v>
      </c>
      <c r="P172" t="n">
        <v>0</v>
      </c>
      <c r="Q172" t="n">
        <v>0</v>
      </c>
      <c r="R172" s="2" t="inlineStr"/>
    </row>
    <row r="173" ht="15" customHeight="1">
      <c r="A173" t="inlineStr">
        <is>
          <t>A 50357-2020</t>
        </is>
      </c>
      <c r="B173" s="1" t="n">
        <v>44110</v>
      </c>
      <c r="C173" s="1" t="n">
        <v>45270</v>
      </c>
      <c r="D173" t="inlineStr">
        <is>
          <t>VÄSTMANLANDS LÄN</t>
        </is>
      </c>
      <c r="E173" t="inlineStr">
        <is>
          <t>KÖPING</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50360-2020</t>
        </is>
      </c>
      <c r="B174" s="1" t="n">
        <v>44110</v>
      </c>
      <c r="C174" s="1" t="n">
        <v>45270</v>
      </c>
      <c r="D174" t="inlineStr">
        <is>
          <t>VÄSTMANLANDS LÄN</t>
        </is>
      </c>
      <c r="E174" t="inlineStr">
        <is>
          <t>KÖPING</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51349-2020</t>
        </is>
      </c>
      <c r="B175" s="1" t="n">
        <v>44112</v>
      </c>
      <c r="C175" s="1" t="n">
        <v>45270</v>
      </c>
      <c r="D175" t="inlineStr">
        <is>
          <t>VÄSTMANLANDS LÄN</t>
        </is>
      </c>
      <c r="E175" t="inlineStr">
        <is>
          <t>KÖPING</t>
        </is>
      </c>
      <c r="F175" t="inlineStr">
        <is>
          <t>Sveaskog</t>
        </is>
      </c>
      <c r="G175" t="n">
        <v>0.5</v>
      </c>
      <c r="H175" t="n">
        <v>0</v>
      </c>
      <c r="I175" t="n">
        <v>0</v>
      </c>
      <c r="J175" t="n">
        <v>0</v>
      </c>
      <c r="K175" t="n">
        <v>0</v>
      </c>
      <c r="L175" t="n">
        <v>0</v>
      </c>
      <c r="M175" t="n">
        <v>0</v>
      </c>
      <c r="N175" t="n">
        <v>0</v>
      </c>
      <c r="O175" t="n">
        <v>0</v>
      </c>
      <c r="P175" t="n">
        <v>0</v>
      </c>
      <c r="Q175" t="n">
        <v>0</v>
      </c>
      <c r="R175" s="2" t="inlineStr"/>
    </row>
    <row r="176" ht="15" customHeight="1">
      <c r="A176" t="inlineStr">
        <is>
          <t>A 51350-2020</t>
        </is>
      </c>
      <c r="B176" s="1" t="n">
        <v>44112</v>
      </c>
      <c r="C176" s="1" t="n">
        <v>45270</v>
      </c>
      <c r="D176" t="inlineStr">
        <is>
          <t>VÄSTMANLANDS LÄN</t>
        </is>
      </c>
      <c r="E176" t="inlineStr">
        <is>
          <t>KÖPING</t>
        </is>
      </c>
      <c r="F176" t="inlineStr">
        <is>
          <t>Sveaskog</t>
        </is>
      </c>
      <c r="G176" t="n">
        <v>1.6</v>
      </c>
      <c r="H176" t="n">
        <v>0</v>
      </c>
      <c r="I176" t="n">
        <v>0</v>
      </c>
      <c r="J176" t="n">
        <v>0</v>
      </c>
      <c r="K176" t="n">
        <v>0</v>
      </c>
      <c r="L176" t="n">
        <v>0</v>
      </c>
      <c r="M176" t="n">
        <v>0</v>
      </c>
      <c r="N176" t="n">
        <v>0</v>
      </c>
      <c r="O176" t="n">
        <v>0</v>
      </c>
      <c r="P176" t="n">
        <v>0</v>
      </c>
      <c r="Q176" t="n">
        <v>0</v>
      </c>
      <c r="R176" s="2" t="inlineStr"/>
    </row>
    <row r="177" ht="15" customHeight="1">
      <c r="A177" t="inlineStr">
        <is>
          <t>A 51607-2020</t>
        </is>
      </c>
      <c r="B177" s="1" t="n">
        <v>44113</v>
      </c>
      <c r="C177" s="1" t="n">
        <v>45270</v>
      </c>
      <c r="D177" t="inlineStr">
        <is>
          <t>VÄSTMANLANDS LÄN</t>
        </is>
      </c>
      <c r="E177" t="inlineStr">
        <is>
          <t>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52289-2020</t>
        </is>
      </c>
      <c r="B178" s="1" t="n">
        <v>44117</v>
      </c>
      <c r="C178" s="1" t="n">
        <v>45270</v>
      </c>
      <c r="D178" t="inlineStr">
        <is>
          <t>VÄSTMANLANDS LÄN</t>
        </is>
      </c>
      <c r="E178" t="inlineStr">
        <is>
          <t>KÖPING</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53306-2020</t>
        </is>
      </c>
      <c r="B179" s="1" t="n">
        <v>44123</v>
      </c>
      <c r="C179" s="1" t="n">
        <v>45270</v>
      </c>
      <c r="D179" t="inlineStr">
        <is>
          <t>VÄSTMANLANDS LÄN</t>
        </is>
      </c>
      <c r="E179" t="inlineStr">
        <is>
          <t>KÖPING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54117-2020</t>
        </is>
      </c>
      <c r="B180" s="1" t="n">
        <v>44123</v>
      </c>
      <c r="C180" s="1" t="n">
        <v>45270</v>
      </c>
      <c r="D180" t="inlineStr">
        <is>
          <t>VÄSTMANLANDS LÄN</t>
        </is>
      </c>
      <c r="E180" t="inlineStr">
        <is>
          <t>KÖPING</t>
        </is>
      </c>
      <c r="G180" t="n">
        <v>1.2</v>
      </c>
      <c r="H180" t="n">
        <v>0</v>
      </c>
      <c r="I180" t="n">
        <v>0</v>
      </c>
      <c r="J180" t="n">
        <v>0</v>
      </c>
      <c r="K180" t="n">
        <v>0</v>
      </c>
      <c r="L180" t="n">
        <v>0</v>
      </c>
      <c r="M180" t="n">
        <v>0</v>
      </c>
      <c r="N180" t="n">
        <v>0</v>
      </c>
      <c r="O180" t="n">
        <v>0</v>
      </c>
      <c r="P180" t="n">
        <v>0</v>
      </c>
      <c r="Q180" t="n">
        <v>0</v>
      </c>
      <c r="R180" s="2" t="inlineStr"/>
    </row>
    <row r="181" ht="15" customHeight="1">
      <c r="A181" t="inlineStr">
        <is>
          <t>A 54276-2020</t>
        </is>
      </c>
      <c r="B181" s="1" t="n">
        <v>44126</v>
      </c>
      <c r="C181" s="1" t="n">
        <v>45270</v>
      </c>
      <c r="D181" t="inlineStr">
        <is>
          <t>VÄSTMANLANDS LÄN</t>
        </is>
      </c>
      <c r="E181" t="inlineStr">
        <is>
          <t>KÖPING</t>
        </is>
      </c>
      <c r="G181" t="n">
        <v>2.8</v>
      </c>
      <c r="H181" t="n">
        <v>0</v>
      </c>
      <c r="I181" t="n">
        <v>0</v>
      </c>
      <c r="J181" t="n">
        <v>0</v>
      </c>
      <c r="K181" t="n">
        <v>0</v>
      </c>
      <c r="L181" t="n">
        <v>0</v>
      </c>
      <c r="M181" t="n">
        <v>0</v>
      </c>
      <c r="N181" t="n">
        <v>0</v>
      </c>
      <c r="O181" t="n">
        <v>0</v>
      </c>
      <c r="P181" t="n">
        <v>0</v>
      </c>
      <c r="Q181" t="n">
        <v>0</v>
      </c>
      <c r="R181" s="2" t="inlineStr"/>
    </row>
    <row r="182" ht="15" customHeight="1">
      <c r="A182" t="inlineStr">
        <is>
          <t>A 54769-2020</t>
        </is>
      </c>
      <c r="B182" s="1" t="n">
        <v>44127</v>
      </c>
      <c r="C182" s="1" t="n">
        <v>45270</v>
      </c>
      <c r="D182" t="inlineStr">
        <is>
          <t>VÄSTMANLANDS LÄN</t>
        </is>
      </c>
      <c r="E182" t="inlineStr">
        <is>
          <t>KÖPING</t>
        </is>
      </c>
      <c r="F182" t="inlineStr">
        <is>
          <t>Allmännings- och besparingsskogar</t>
        </is>
      </c>
      <c r="G182" t="n">
        <v>23.2</v>
      </c>
      <c r="H182" t="n">
        <v>0</v>
      </c>
      <c r="I182" t="n">
        <v>0</v>
      </c>
      <c r="J182" t="n">
        <v>0</v>
      </c>
      <c r="K182" t="n">
        <v>0</v>
      </c>
      <c r="L182" t="n">
        <v>0</v>
      </c>
      <c r="M182" t="n">
        <v>0</v>
      </c>
      <c r="N182" t="n">
        <v>0</v>
      </c>
      <c r="O182" t="n">
        <v>0</v>
      </c>
      <c r="P182" t="n">
        <v>0</v>
      </c>
      <c r="Q182" t="n">
        <v>0</v>
      </c>
      <c r="R182" s="2" t="inlineStr"/>
    </row>
    <row r="183" ht="15" customHeight="1">
      <c r="A183" t="inlineStr">
        <is>
          <t>A 57629-2020</t>
        </is>
      </c>
      <c r="B183" s="1" t="n">
        <v>44140</v>
      </c>
      <c r="C183" s="1" t="n">
        <v>45270</v>
      </c>
      <c r="D183" t="inlineStr">
        <is>
          <t>VÄSTMANLANDS LÄN</t>
        </is>
      </c>
      <c r="E183" t="inlineStr">
        <is>
          <t>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57979-2020</t>
        </is>
      </c>
      <c r="B184" s="1" t="n">
        <v>44143</v>
      </c>
      <c r="C184" s="1" t="n">
        <v>45270</v>
      </c>
      <c r="D184" t="inlineStr">
        <is>
          <t>VÄSTMANLANDS LÄN</t>
        </is>
      </c>
      <c r="E184" t="inlineStr">
        <is>
          <t>KÖPING</t>
        </is>
      </c>
      <c r="G184" t="n">
        <v>5</v>
      </c>
      <c r="H184" t="n">
        <v>0</v>
      </c>
      <c r="I184" t="n">
        <v>0</v>
      </c>
      <c r="J184" t="n">
        <v>0</v>
      </c>
      <c r="K184" t="n">
        <v>0</v>
      </c>
      <c r="L184" t="n">
        <v>0</v>
      </c>
      <c r="M184" t="n">
        <v>0</v>
      </c>
      <c r="N184" t="n">
        <v>0</v>
      </c>
      <c r="O184" t="n">
        <v>0</v>
      </c>
      <c r="P184" t="n">
        <v>0</v>
      </c>
      <c r="Q184" t="n">
        <v>0</v>
      </c>
      <c r="R184" s="2" t="inlineStr"/>
    </row>
    <row r="185" ht="15" customHeight="1">
      <c r="A185" t="inlineStr">
        <is>
          <t>A 61201-2020</t>
        </is>
      </c>
      <c r="B185" s="1" t="n">
        <v>44155</v>
      </c>
      <c r="C185" s="1" t="n">
        <v>45270</v>
      </c>
      <c r="D185" t="inlineStr">
        <is>
          <t>VÄSTMANLANDS LÄN</t>
        </is>
      </c>
      <c r="E185" t="inlineStr">
        <is>
          <t>KÖPING</t>
        </is>
      </c>
      <c r="G185" t="n">
        <v>4.6</v>
      </c>
      <c r="H185" t="n">
        <v>0</v>
      </c>
      <c r="I185" t="n">
        <v>0</v>
      </c>
      <c r="J185" t="n">
        <v>0</v>
      </c>
      <c r="K185" t="n">
        <v>0</v>
      </c>
      <c r="L185" t="n">
        <v>0</v>
      </c>
      <c r="M185" t="n">
        <v>0</v>
      </c>
      <c r="N185" t="n">
        <v>0</v>
      </c>
      <c r="O185" t="n">
        <v>0</v>
      </c>
      <c r="P185" t="n">
        <v>0</v>
      </c>
      <c r="Q185" t="n">
        <v>0</v>
      </c>
      <c r="R185" s="2" t="inlineStr"/>
    </row>
    <row r="186" ht="15" customHeight="1">
      <c r="A186" t="inlineStr">
        <is>
          <t>A 61202-2020</t>
        </is>
      </c>
      <c r="B186" s="1" t="n">
        <v>44155</v>
      </c>
      <c r="C186" s="1" t="n">
        <v>45270</v>
      </c>
      <c r="D186" t="inlineStr">
        <is>
          <t>VÄSTMANLANDS LÄN</t>
        </is>
      </c>
      <c r="E186" t="inlineStr">
        <is>
          <t>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64317-2020</t>
        </is>
      </c>
      <c r="B187" s="1" t="n">
        <v>44167</v>
      </c>
      <c r="C187" s="1" t="n">
        <v>45270</v>
      </c>
      <c r="D187" t="inlineStr">
        <is>
          <t>VÄSTMANLANDS LÄN</t>
        </is>
      </c>
      <c r="E187" t="inlineStr">
        <is>
          <t>KÖPING</t>
        </is>
      </c>
      <c r="G187" t="n">
        <v>6.8</v>
      </c>
      <c r="H187" t="n">
        <v>0</v>
      </c>
      <c r="I187" t="n">
        <v>0</v>
      </c>
      <c r="J187" t="n">
        <v>0</v>
      </c>
      <c r="K187" t="n">
        <v>0</v>
      </c>
      <c r="L187" t="n">
        <v>0</v>
      </c>
      <c r="M187" t="n">
        <v>0</v>
      </c>
      <c r="N187" t="n">
        <v>0</v>
      </c>
      <c r="O187" t="n">
        <v>0</v>
      </c>
      <c r="P187" t="n">
        <v>0</v>
      </c>
      <c r="Q187" t="n">
        <v>0</v>
      </c>
      <c r="R187" s="2" t="inlineStr"/>
    </row>
    <row r="188" ht="15" customHeight="1">
      <c r="A188" t="inlineStr">
        <is>
          <t>A 65193-2020</t>
        </is>
      </c>
      <c r="B188" s="1" t="n">
        <v>44172</v>
      </c>
      <c r="C188" s="1" t="n">
        <v>45270</v>
      </c>
      <c r="D188" t="inlineStr">
        <is>
          <t>VÄSTMANLANDS LÄN</t>
        </is>
      </c>
      <c r="E188" t="inlineStr">
        <is>
          <t>KÖPING</t>
        </is>
      </c>
      <c r="F188" t="inlineStr">
        <is>
          <t>Sveaskog</t>
        </is>
      </c>
      <c r="G188" t="n">
        <v>8</v>
      </c>
      <c r="H188" t="n">
        <v>0</v>
      </c>
      <c r="I188" t="n">
        <v>0</v>
      </c>
      <c r="J188" t="n">
        <v>0</v>
      </c>
      <c r="K188" t="n">
        <v>0</v>
      </c>
      <c r="L188" t="n">
        <v>0</v>
      </c>
      <c r="M188" t="n">
        <v>0</v>
      </c>
      <c r="N188" t="n">
        <v>0</v>
      </c>
      <c r="O188" t="n">
        <v>0</v>
      </c>
      <c r="P188" t="n">
        <v>0</v>
      </c>
      <c r="Q188" t="n">
        <v>0</v>
      </c>
      <c r="R188" s="2" t="inlineStr"/>
    </row>
    <row r="189" ht="15" customHeight="1">
      <c r="A189" t="inlineStr">
        <is>
          <t>A 67005-2020</t>
        </is>
      </c>
      <c r="B189" s="1" t="n">
        <v>44180</v>
      </c>
      <c r="C189" s="1" t="n">
        <v>45270</v>
      </c>
      <c r="D189" t="inlineStr">
        <is>
          <t>VÄSTMANLANDS LÄN</t>
        </is>
      </c>
      <c r="E189" t="inlineStr">
        <is>
          <t>KÖPING</t>
        </is>
      </c>
      <c r="F189" t="inlineStr">
        <is>
          <t>Allmännings- och besparingsskogar</t>
        </is>
      </c>
      <c r="G189" t="n">
        <v>4.6</v>
      </c>
      <c r="H189" t="n">
        <v>0</v>
      </c>
      <c r="I189" t="n">
        <v>0</v>
      </c>
      <c r="J189" t="n">
        <v>0</v>
      </c>
      <c r="K189" t="n">
        <v>0</v>
      </c>
      <c r="L189" t="n">
        <v>0</v>
      </c>
      <c r="M189" t="n">
        <v>0</v>
      </c>
      <c r="N189" t="n">
        <v>0</v>
      </c>
      <c r="O189" t="n">
        <v>0</v>
      </c>
      <c r="P189" t="n">
        <v>0</v>
      </c>
      <c r="Q189" t="n">
        <v>0</v>
      </c>
      <c r="R189" s="2" t="inlineStr"/>
    </row>
    <row r="190" ht="15" customHeight="1">
      <c r="A190" t="inlineStr">
        <is>
          <t>A 68513-2020</t>
        </is>
      </c>
      <c r="B190" s="1" t="n">
        <v>44186</v>
      </c>
      <c r="C190" s="1" t="n">
        <v>45270</v>
      </c>
      <c r="D190" t="inlineStr">
        <is>
          <t>VÄSTMANLANDS LÄN</t>
        </is>
      </c>
      <c r="E190" t="inlineStr">
        <is>
          <t>KÖPING</t>
        </is>
      </c>
      <c r="F190" t="inlineStr">
        <is>
          <t>Sveaskog</t>
        </is>
      </c>
      <c r="G190" t="n">
        <v>0.1</v>
      </c>
      <c r="H190" t="n">
        <v>0</v>
      </c>
      <c r="I190" t="n">
        <v>0</v>
      </c>
      <c r="J190" t="n">
        <v>0</v>
      </c>
      <c r="K190" t="n">
        <v>0</v>
      </c>
      <c r="L190" t="n">
        <v>0</v>
      </c>
      <c r="M190" t="n">
        <v>0</v>
      </c>
      <c r="N190" t="n">
        <v>0</v>
      </c>
      <c r="O190" t="n">
        <v>0</v>
      </c>
      <c r="P190" t="n">
        <v>0</v>
      </c>
      <c r="Q190" t="n">
        <v>0</v>
      </c>
      <c r="R190" s="2" t="inlineStr"/>
    </row>
    <row r="191" ht="15" customHeight="1">
      <c r="A191" t="inlineStr">
        <is>
          <t>A 68531-2020</t>
        </is>
      </c>
      <c r="B191" s="1" t="n">
        <v>44186</v>
      </c>
      <c r="C191" s="1" t="n">
        <v>45270</v>
      </c>
      <c r="D191" t="inlineStr">
        <is>
          <t>VÄSTMANLANDS LÄN</t>
        </is>
      </c>
      <c r="E191" t="inlineStr">
        <is>
          <t>KÖPING</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263-2021</t>
        </is>
      </c>
      <c r="B192" s="1" t="n">
        <v>44200</v>
      </c>
      <c r="C192" s="1" t="n">
        <v>45270</v>
      </c>
      <c r="D192" t="inlineStr">
        <is>
          <t>VÄSTMANLANDS LÄN</t>
        </is>
      </c>
      <c r="E192" t="inlineStr">
        <is>
          <t>KÖPING</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4508-2021</t>
        </is>
      </c>
      <c r="B193" s="1" t="n">
        <v>44224</v>
      </c>
      <c r="C193" s="1" t="n">
        <v>45270</v>
      </c>
      <c r="D193" t="inlineStr">
        <is>
          <t>VÄSTMANLANDS LÄN</t>
        </is>
      </c>
      <c r="E193" t="inlineStr">
        <is>
          <t>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6834-2021</t>
        </is>
      </c>
      <c r="B194" s="1" t="n">
        <v>44236</v>
      </c>
      <c r="C194" s="1" t="n">
        <v>45270</v>
      </c>
      <c r="D194" t="inlineStr">
        <is>
          <t>VÄSTMANLANDS LÄN</t>
        </is>
      </c>
      <c r="E194" t="inlineStr">
        <is>
          <t>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6830-2021</t>
        </is>
      </c>
      <c r="B195" s="1" t="n">
        <v>44236</v>
      </c>
      <c r="C195" s="1" t="n">
        <v>45270</v>
      </c>
      <c r="D195" t="inlineStr">
        <is>
          <t>VÄSTMANLANDS LÄN</t>
        </is>
      </c>
      <c r="E195" t="inlineStr">
        <is>
          <t>KÖPING</t>
        </is>
      </c>
      <c r="G195" t="n">
        <v>4.5</v>
      </c>
      <c r="H195" t="n">
        <v>0</v>
      </c>
      <c r="I195" t="n">
        <v>0</v>
      </c>
      <c r="J195" t="n">
        <v>0</v>
      </c>
      <c r="K195" t="n">
        <v>0</v>
      </c>
      <c r="L195" t="n">
        <v>0</v>
      </c>
      <c r="M195" t="n">
        <v>0</v>
      </c>
      <c r="N195" t="n">
        <v>0</v>
      </c>
      <c r="O195" t="n">
        <v>0</v>
      </c>
      <c r="P195" t="n">
        <v>0</v>
      </c>
      <c r="Q195" t="n">
        <v>0</v>
      </c>
      <c r="R195" s="2" t="inlineStr"/>
    </row>
    <row r="196" ht="15" customHeight="1">
      <c r="A196" t="inlineStr">
        <is>
          <t>A 6913-2021</t>
        </is>
      </c>
      <c r="B196" s="1" t="n">
        <v>44237</v>
      </c>
      <c r="C196" s="1" t="n">
        <v>45270</v>
      </c>
      <c r="D196" t="inlineStr">
        <is>
          <t>VÄSTMANLANDS LÄN</t>
        </is>
      </c>
      <c r="E196" t="inlineStr">
        <is>
          <t>KÖPING</t>
        </is>
      </c>
      <c r="G196" t="n">
        <v>5</v>
      </c>
      <c r="H196" t="n">
        <v>0</v>
      </c>
      <c r="I196" t="n">
        <v>0</v>
      </c>
      <c r="J196" t="n">
        <v>0</v>
      </c>
      <c r="K196" t="n">
        <v>0</v>
      </c>
      <c r="L196" t="n">
        <v>0</v>
      </c>
      <c r="M196" t="n">
        <v>0</v>
      </c>
      <c r="N196" t="n">
        <v>0</v>
      </c>
      <c r="O196" t="n">
        <v>0</v>
      </c>
      <c r="P196" t="n">
        <v>0</v>
      </c>
      <c r="Q196" t="n">
        <v>0</v>
      </c>
      <c r="R196" s="2" t="inlineStr"/>
    </row>
    <row r="197" ht="15" customHeight="1">
      <c r="A197" t="inlineStr">
        <is>
          <t>A 8731-2021</t>
        </is>
      </c>
      <c r="B197" s="1" t="n">
        <v>44246</v>
      </c>
      <c r="C197" s="1" t="n">
        <v>45270</v>
      </c>
      <c r="D197" t="inlineStr">
        <is>
          <t>VÄSTMANLANDS LÄN</t>
        </is>
      </c>
      <c r="E197" t="inlineStr">
        <is>
          <t>KÖPING</t>
        </is>
      </c>
      <c r="F197" t="inlineStr">
        <is>
          <t>Sveaskog</t>
        </is>
      </c>
      <c r="G197" t="n">
        <v>0.1</v>
      </c>
      <c r="H197" t="n">
        <v>0</v>
      </c>
      <c r="I197" t="n">
        <v>0</v>
      </c>
      <c r="J197" t="n">
        <v>0</v>
      </c>
      <c r="K197" t="n">
        <v>0</v>
      </c>
      <c r="L197" t="n">
        <v>0</v>
      </c>
      <c r="M197" t="n">
        <v>0</v>
      </c>
      <c r="N197" t="n">
        <v>0</v>
      </c>
      <c r="O197" t="n">
        <v>0</v>
      </c>
      <c r="P197" t="n">
        <v>0</v>
      </c>
      <c r="Q197" t="n">
        <v>0</v>
      </c>
      <c r="R197" s="2" t="inlineStr"/>
    </row>
    <row r="198" ht="15" customHeight="1">
      <c r="A198" t="inlineStr">
        <is>
          <t>A 8681-2021</t>
        </is>
      </c>
      <c r="B198" s="1" t="n">
        <v>44246</v>
      </c>
      <c r="C198" s="1" t="n">
        <v>45270</v>
      </c>
      <c r="D198" t="inlineStr">
        <is>
          <t>VÄSTMANLANDS LÄN</t>
        </is>
      </c>
      <c r="E198" t="inlineStr">
        <is>
          <t>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10435-2021</t>
        </is>
      </c>
      <c r="B199" s="1" t="n">
        <v>44257</v>
      </c>
      <c r="C199" s="1" t="n">
        <v>45270</v>
      </c>
      <c r="D199" t="inlineStr">
        <is>
          <t>VÄSTMANLANDS LÄN</t>
        </is>
      </c>
      <c r="E199" t="inlineStr">
        <is>
          <t>KÖPING</t>
        </is>
      </c>
      <c r="F199" t="inlineStr">
        <is>
          <t>Kyrkan</t>
        </is>
      </c>
      <c r="G199" t="n">
        <v>1.4</v>
      </c>
      <c r="H199" t="n">
        <v>0</v>
      </c>
      <c r="I199" t="n">
        <v>0</v>
      </c>
      <c r="J199" t="n">
        <v>0</v>
      </c>
      <c r="K199" t="n">
        <v>0</v>
      </c>
      <c r="L199" t="n">
        <v>0</v>
      </c>
      <c r="M199" t="n">
        <v>0</v>
      </c>
      <c r="N199" t="n">
        <v>0</v>
      </c>
      <c r="O199" t="n">
        <v>0</v>
      </c>
      <c r="P199" t="n">
        <v>0</v>
      </c>
      <c r="Q199" t="n">
        <v>0</v>
      </c>
      <c r="R199" s="2" t="inlineStr"/>
    </row>
    <row r="200" ht="15" customHeight="1">
      <c r="A200" t="inlineStr">
        <is>
          <t>A 10431-2021</t>
        </is>
      </c>
      <c r="B200" s="1" t="n">
        <v>44257</v>
      </c>
      <c r="C200" s="1" t="n">
        <v>45270</v>
      </c>
      <c r="D200" t="inlineStr">
        <is>
          <t>VÄSTMANLANDS LÄN</t>
        </is>
      </c>
      <c r="E200" t="inlineStr">
        <is>
          <t>KÖPING</t>
        </is>
      </c>
      <c r="F200" t="inlineStr">
        <is>
          <t>Kyrkan</t>
        </is>
      </c>
      <c r="G200" t="n">
        <v>4.8</v>
      </c>
      <c r="H200" t="n">
        <v>0</v>
      </c>
      <c r="I200" t="n">
        <v>0</v>
      </c>
      <c r="J200" t="n">
        <v>0</v>
      </c>
      <c r="K200" t="n">
        <v>0</v>
      </c>
      <c r="L200" t="n">
        <v>0</v>
      </c>
      <c r="M200" t="n">
        <v>0</v>
      </c>
      <c r="N200" t="n">
        <v>0</v>
      </c>
      <c r="O200" t="n">
        <v>0</v>
      </c>
      <c r="P200" t="n">
        <v>0</v>
      </c>
      <c r="Q200" t="n">
        <v>0</v>
      </c>
      <c r="R200" s="2" t="inlineStr"/>
    </row>
    <row r="201" ht="15" customHeight="1">
      <c r="A201" t="inlineStr">
        <is>
          <t>A 10972-2021</t>
        </is>
      </c>
      <c r="B201" s="1" t="n">
        <v>44260</v>
      </c>
      <c r="C201" s="1" t="n">
        <v>45270</v>
      </c>
      <c r="D201" t="inlineStr">
        <is>
          <t>VÄSTMANLANDS LÄN</t>
        </is>
      </c>
      <c r="E201" t="inlineStr">
        <is>
          <t>KÖPING</t>
        </is>
      </c>
      <c r="F201" t="inlineStr">
        <is>
          <t>Sveaskog</t>
        </is>
      </c>
      <c r="G201" t="n">
        <v>6</v>
      </c>
      <c r="H201" t="n">
        <v>0</v>
      </c>
      <c r="I201" t="n">
        <v>0</v>
      </c>
      <c r="J201" t="n">
        <v>0</v>
      </c>
      <c r="K201" t="n">
        <v>0</v>
      </c>
      <c r="L201" t="n">
        <v>0</v>
      </c>
      <c r="M201" t="n">
        <v>0</v>
      </c>
      <c r="N201" t="n">
        <v>0</v>
      </c>
      <c r="O201" t="n">
        <v>0</v>
      </c>
      <c r="P201" t="n">
        <v>0</v>
      </c>
      <c r="Q201" t="n">
        <v>0</v>
      </c>
      <c r="R201" s="2" t="inlineStr"/>
    </row>
    <row r="202" ht="15" customHeight="1">
      <c r="A202" t="inlineStr">
        <is>
          <t>A 11890-2021</t>
        </is>
      </c>
      <c r="B202" s="1" t="n">
        <v>44265</v>
      </c>
      <c r="C202" s="1" t="n">
        <v>45270</v>
      </c>
      <c r="D202" t="inlineStr">
        <is>
          <t>VÄSTMANLANDS LÄN</t>
        </is>
      </c>
      <c r="E202" t="inlineStr">
        <is>
          <t>KÖPING</t>
        </is>
      </c>
      <c r="G202" t="n">
        <v>3</v>
      </c>
      <c r="H202" t="n">
        <v>0</v>
      </c>
      <c r="I202" t="n">
        <v>0</v>
      </c>
      <c r="J202" t="n">
        <v>0</v>
      </c>
      <c r="K202" t="n">
        <v>0</v>
      </c>
      <c r="L202" t="n">
        <v>0</v>
      </c>
      <c r="M202" t="n">
        <v>0</v>
      </c>
      <c r="N202" t="n">
        <v>0</v>
      </c>
      <c r="O202" t="n">
        <v>0</v>
      </c>
      <c r="P202" t="n">
        <v>0</v>
      </c>
      <c r="Q202" t="n">
        <v>0</v>
      </c>
      <c r="R202" s="2" t="inlineStr"/>
    </row>
    <row r="203" ht="15" customHeight="1">
      <c r="A203" t="inlineStr">
        <is>
          <t>A 11922-2021</t>
        </is>
      </c>
      <c r="B203" s="1" t="n">
        <v>44266</v>
      </c>
      <c r="C203" s="1" t="n">
        <v>45270</v>
      </c>
      <c r="D203" t="inlineStr">
        <is>
          <t>VÄSTMANLANDS LÄN</t>
        </is>
      </c>
      <c r="E203" t="inlineStr">
        <is>
          <t>KÖPING</t>
        </is>
      </c>
      <c r="G203" t="n">
        <v>4.7</v>
      </c>
      <c r="H203" t="n">
        <v>0</v>
      </c>
      <c r="I203" t="n">
        <v>0</v>
      </c>
      <c r="J203" t="n">
        <v>0</v>
      </c>
      <c r="K203" t="n">
        <v>0</v>
      </c>
      <c r="L203" t="n">
        <v>0</v>
      </c>
      <c r="M203" t="n">
        <v>0</v>
      </c>
      <c r="N203" t="n">
        <v>0</v>
      </c>
      <c r="O203" t="n">
        <v>0</v>
      </c>
      <c r="P203" t="n">
        <v>0</v>
      </c>
      <c r="Q203" t="n">
        <v>0</v>
      </c>
      <c r="R203" s="2" t="inlineStr"/>
    </row>
    <row r="204" ht="15" customHeight="1">
      <c r="A204" t="inlineStr">
        <is>
          <t>A 12357-2021</t>
        </is>
      </c>
      <c r="B204" s="1" t="n">
        <v>44267</v>
      </c>
      <c r="C204" s="1" t="n">
        <v>45270</v>
      </c>
      <c r="D204" t="inlineStr">
        <is>
          <t>VÄSTMANLANDS LÄN</t>
        </is>
      </c>
      <c r="E204" t="inlineStr">
        <is>
          <t>KÖPING</t>
        </is>
      </c>
      <c r="G204" t="n">
        <v>4.2</v>
      </c>
      <c r="H204" t="n">
        <v>0</v>
      </c>
      <c r="I204" t="n">
        <v>0</v>
      </c>
      <c r="J204" t="n">
        <v>0</v>
      </c>
      <c r="K204" t="n">
        <v>0</v>
      </c>
      <c r="L204" t="n">
        <v>0</v>
      </c>
      <c r="M204" t="n">
        <v>0</v>
      </c>
      <c r="N204" t="n">
        <v>0</v>
      </c>
      <c r="O204" t="n">
        <v>0</v>
      </c>
      <c r="P204" t="n">
        <v>0</v>
      </c>
      <c r="Q204" t="n">
        <v>0</v>
      </c>
      <c r="R204" s="2" t="inlineStr"/>
    </row>
    <row r="205" ht="15" customHeight="1">
      <c r="A205" t="inlineStr">
        <is>
          <t>A 12655-2021</t>
        </is>
      </c>
      <c r="B205" s="1" t="n">
        <v>44267</v>
      </c>
      <c r="C205" s="1" t="n">
        <v>45270</v>
      </c>
      <c r="D205" t="inlineStr">
        <is>
          <t>VÄSTMANLANDS LÄN</t>
        </is>
      </c>
      <c r="E205" t="inlineStr">
        <is>
          <t>KÖPING</t>
        </is>
      </c>
      <c r="G205" t="n">
        <v>6.2</v>
      </c>
      <c r="H205" t="n">
        <v>0</v>
      </c>
      <c r="I205" t="n">
        <v>0</v>
      </c>
      <c r="J205" t="n">
        <v>0</v>
      </c>
      <c r="K205" t="n">
        <v>0</v>
      </c>
      <c r="L205" t="n">
        <v>0</v>
      </c>
      <c r="M205" t="n">
        <v>0</v>
      </c>
      <c r="N205" t="n">
        <v>0</v>
      </c>
      <c r="O205" t="n">
        <v>0</v>
      </c>
      <c r="P205" t="n">
        <v>0</v>
      </c>
      <c r="Q205" t="n">
        <v>0</v>
      </c>
      <c r="R205" s="2" t="inlineStr"/>
    </row>
    <row r="206" ht="15" customHeight="1">
      <c r="A206" t="inlineStr">
        <is>
          <t>A 12641-2021</t>
        </is>
      </c>
      <c r="B206" s="1" t="n">
        <v>44267</v>
      </c>
      <c r="C206" s="1" t="n">
        <v>45270</v>
      </c>
      <c r="D206" t="inlineStr">
        <is>
          <t>VÄSTMANLANDS LÄN</t>
        </is>
      </c>
      <c r="E206" t="inlineStr">
        <is>
          <t>KÖPING</t>
        </is>
      </c>
      <c r="G206" t="n">
        <v>10.7</v>
      </c>
      <c r="H206" t="n">
        <v>0</v>
      </c>
      <c r="I206" t="n">
        <v>0</v>
      </c>
      <c r="J206" t="n">
        <v>0</v>
      </c>
      <c r="K206" t="n">
        <v>0</v>
      </c>
      <c r="L206" t="n">
        <v>0</v>
      </c>
      <c r="M206" t="n">
        <v>0</v>
      </c>
      <c r="N206" t="n">
        <v>0</v>
      </c>
      <c r="O206" t="n">
        <v>0</v>
      </c>
      <c r="P206" t="n">
        <v>0</v>
      </c>
      <c r="Q206" t="n">
        <v>0</v>
      </c>
      <c r="R206" s="2" t="inlineStr"/>
    </row>
    <row r="207" ht="15" customHeight="1">
      <c r="A207" t="inlineStr">
        <is>
          <t>A 14314-2021</t>
        </is>
      </c>
      <c r="B207" s="1" t="n">
        <v>44278</v>
      </c>
      <c r="C207" s="1" t="n">
        <v>45270</v>
      </c>
      <c r="D207" t="inlineStr">
        <is>
          <t>VÄSTMANLANDS LÄN</t>
        </is>
      </c>
      <c r="E207" t="inlineStr">
        <is>
          <t>KÖPING</t>
        </is>
      </c>
      <c r="G207" t="n">
        <v>3.1</v>
      </c>
      <c r="H207" t="n">
        <v>0</v>
      </c>
      <c r="I207" t="n">
        <v>0</v>
      </c>
      <c r="J207" t="n">
        <v>0</v>
      </c>
      <c r="K207" t="n">
        <v>0</v>
      </c>
      <c r="L207" t="n">
        <v>0</v>
      </c>
      <c r="M207" t="n">
        <v>0</v>
      </c>
      <c r="N207" t="n">
        <v>0</v>
      </c>
      <c r="O207" t="n">
        <v>0</v>
      </c>
      <c r="P207" t="n">
        <v>0</v>
      </c>
      <c r="Q207" t="n">
        <v>0</v>
      </c>
      <c r="R207" s="2" t="inlineStr"/>
    </row>
    <row r="208" ht="15" customHeight="1">
      <c r="A208" t="inlineStr">
        <is>
          <t>A 14313-2021</t>
        </is>
      </c>
      <c r="B208" s="1" t="n">
        <v>44278</v>
      </c>
      <c r="C208" s="1" t="n">
        <v>45270</v>
      </c>
      <c r="D208" t="inlineStr">
        <is>
          <t>VÄSTMANLANDS LÄN</t>
        </is>
      </c>
      <c r="E208" t="inlineStr">
        <is>
          <t>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15575-2021</t>
        </is>
      </c>
      <c r="B209" s="1" t="n">
        <v>44285</v>
      </c>
      <c r="C209" s="1" t="n">
        <v>45270</v>
      </c>
      <c r="D209" t="inlineStr">
        <is>
          <t>VÄSTMANLANDS LÄN</t>
        </is>
      </c>
      <c r="E209" t="inlineStr">
        <is>
          <t>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15847-2021</t>
        </is>
      </c>
      <c r="B210" s="1" t="n">
        <v>44286</v>
      </c>
      <c r="C210" s="1" t="n">
        <v>45270</v>
      </c>
      <c r="D210" t="inlineStr">
        <is>
          <t>VÄSTMANLANDS LÄN</t>
        </is>
      </c>
      <c r="E210" t="inlineStr">
        <is>
          <t>KÖPING</t>
        </is>
      </c>
      <c r="G210" t="n">
        <v>6.6</v>
      </c>
      <c r="H210" t="n">
        <v>0</v>
      </c>
      <c r="I210" t="n">
        <v>0</v>
      </c>
      <c r="J210" t="n">
        <v>0</v>
      </c>
      <c r="K210" t="n">
        <v>0</v>
      </c>
      <c r="L210" t="n">
        <v>0</v>
      </c>
      <c r="M210" t="n">
        <v>0</v>
      </c>
      <c r="N210" t="n">
        <v>0</v>
      </c>
      <c r="O210" t="n">
        <v>0</v>
      </c>
      <c r="P210" t="n">
        <v>0</v>
      </c>
      <c r="Q210" t="n">
        <v>0</v>
      </c>
      <c r="R210" s="2" t="inlineStr"/>
    </row>
    <row r="211" ht="15" customHeight="1">
      <c r="A211" t="inlineStr">
        <is>
          <t>A 20871-2021</t>
        </is>
      </c>
      <c r="B211" s="1" t="n">
        <v>44316</v>
      </c>
      <c r="C211" s="1" t="n">
        <v>45270</v>
      </c>
      <c r="D211" t="inlineStr">
        <is>
          <t>VÄSTMANLANDS LÄN</t>
        </is>
      </c>
      <c r="E211" t="inlineStr">
        <is>
          <t>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21435-2021</t>
        </is>
      </c>
      <c r="B212" s="1" t="n">
        <v>44321</v>
      </c>
      <c r="C212" s="1" t="n">
        <v>45270</v>
      </c>
      <c r="D212" t="inlineStr">
        <is>
          <t>VÄSTMANLANDS LÄN</t>
        </is>
      </c>
      <c r="E212" t="inlineStr">
        <is>
          <t>KÖPING</t>
        </is>
      </c>
      <c r="G212" t="n">
        <v>4.6</v>
      </c>
      <c r="H212" t="n">
        <v>0</v>
      </c>
      <c r="I212" t="n">
        <v>0</v>
      </c>
      <c r="J212" t="n">
        <v>0</v>
      </c>
      <c r="K212" t="n">
        <v>0</v>
      </c>
      <c r="L212" t="n">
        <v>0</v>
      </c>
      <c r="M212" t="n">
        <v>0</v>
      </c>
      <c r="N212" t="n">
        <v>0</v>
      </c>
      <c r="O212" t="n">
        <v>0</v>
      </c>
      <c r="P212" t="n">
        <v>0</v>
      </c>
      <c r="Q212" t="n">
        <v>0</v>
      </c>
      <c r="R212" s="2" t="inlineStr"/>
    </row>
    <row r="213" ht="15" customHeight="1">
      <c r="A213" t="inlineStr">
        <is>
          <t>A 21595-2021</t>
        </is>
      </c>
      <c r="B213" s="1" t="n">
        <v>44321</v>
      </c>
      <c r="C213" s="1" t="n">
        <v>45270</v>
      </c>
      <c r="D213" t="inlineStr">
        <is>
          <t>VÄSTMANLANDS LÄN</t>
        </is>
      </c>
      <c r="E213" t="inlineStr">
        <is>
          <t>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23592-2021</t>
        </is>
      </c>
      <c r="B214" s="1" t="n">
        <v>44333</v>
      </c>
      <c r="C214" s="1" t="n">
        <v>45270</v>
      </c>
      <c r="D214" t="inlineStr">
        <is>
          <t>VÄSTMANLANDS LÄN</t>
        </is>
      </c>
      <c r="E214" t="inlineStr">
        <is>
          <t>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23596-2021</t>
        </is>
      </c>
      <c r="B215" s="1" t="n">
        <v>44333</v>
      </c>
      <c r="C215" s="1" t="n">
        <v>45270</v>
      </c>
      <c r="D215" t="inlineStr">
        <is>
          <t>VÄSTMANLANDS LÄN</t>
        </is>
      </c>
      <c r="E215" t="inlineStr">
        <is>
          <t>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24535-2021</t>
        </is>
      </c>
      <c r="B216" s="1" t="n">
        <v>44339</v>
      </c>
      <c r="C216" s="1" t="n">
        <v>45270</v>
      </c>
      <c r="D216" t="inlineStr">
        <is>
          <t>VÄSTMANLANDS LÄN</t>
        </is>
      </c>
      <c r="E216" t="inlineStr">
        <is>
          <t>KÖPING</t>
        </is>
      </c>
      <c r="F216" t="inlineStr">
        <is>
          <t>Sveaskog</t>
        </is>
      </c>
      <c r="G216" t="n">
        <v>4.8</v>
      </c>
      <c r="H216" t="n">
        <v>0</v>
      </c>
      <c r="I216" t="n">
        <v>0</v>
      </c>
      <c r="J216" t="n">
        <v>0</v>
      </c>
      <c r="K216" t="n">
        <v>0</v>
      </c>
      <c r="L216" t="n">
        <v>0</v>
      </c>
      <c r="M216" t="n">
        <v>0</v>
      </c>
      <c r="N216" t="n">
        <v>0</v>
      </c>
      <c r="O216" t="n">
        <v>0</v>
      </c>
      <c r="P216" t="n">
        <v>0</v>
      </c>
      <c r="Q216" t="n">
        <v>0</v>
      </c>
      <c r="R216" s="2" t="inlineStr"/>
    </row>
    <row r="217" ht="15" customHeight="1">
      <c r="A217" t="inlineStr">
        <is>
          <t>A 27212-2021</t>
        </is>
      </c>
      <c r="B217" s="1" t="n">
        <v>44350</v>
      </c>
      <c r="C217" s="1" t="n">
        <v>45270</v>
      </c>
      <c r="D217" t="inlineStr">
        <is>
          <t>VÄSTMANLANDS LÄN</t>
        </is>
      </c>
      <c r="E217" t="inlineStr">
        <is>
          <t>KÖPING</t>
        </is>
      </c>
      <c r="F217" t="inlineStr">
        <is>
          <t>Sveaskog</t>
        </is>
      </c>
      <c r="G217" t="n">
        <v>5.2</v>
      </c>
      <c r="H217" t="n">
        <v>0</v>
      </c>
      <c r="I217" t="n">
        <v>0</v>
      </c>
      <c r="J217" t="n">
        <v>0</v>
      </c>
      <c r="K217" t="n">
        <v>0</v>
      </c>
      <c r="L217" t="n">
        <v>0</v>
      </c>
      <c r="M217" t="n">
        <v>0</v>
      </c>
      <c r="N217" t="n">
        <v>0</v>
      </c>
      <c r="O217" t="n">
        <v>0</v>
      </c>
      <c r="P217" t="n">
        <v>0</v>
      </c>
      <c r="Q217" t="n">
        <v>0</v>
      </c>
      <c r="R217" s="2" t="inlineStr"/>
    </row>
    <row r="218" ht="15" customHeight="1">
      <c r="A218" t="inlineStr">
        <is>
          <t>A 27065-2021</t>
        </is>
      </c>
      <c r="B218" s="1" t="n">
        <v>44350</v>
      </c>
      <c r="C218" s="1" t="n">
        <v>45270</v>
      </c>
      <c r="D218" t="inlineStr">
        <is>
          <t>VÄSTMANLANDS LÄN</t>
        </is>
      </c>
      <c r="E218" t="inlineStr">
        <is>
          <t>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27209-2021</t>
        </is>
      </c>
      <c r="B219" s="1" t="n">
        <v>44350</v>
      </c>
      <c r="C219" s="1" t="n">
        <v>45270</v>
      </c>
      <c r="D219" t="inlineStr">
        <is>
          <t>VÄSTMANLANDS LÄN</t>
        </is>
      </c>
      <c r="E219" t="inlineStr">
        <is>
          <t>KÖPING</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27402-2021</t>
        </is>
      </c>
      <c r="B220" s="1" t="n">
        <v>44351</v>
      </c>
      <c r="C220" s="1" t="n">
        <v>45270</v>
      </c>
      <c r="D220" t="inlineStr">
        <is>
          <t>VÄSTMANLANDS LÄN</t>
        </is>
      </c>
      <c r="E220" t="inlineStr">
        <is>
          <t>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27604-2021</t>
        </is>
      </c>
      <c r="B221" s="1" t="n">
        <v>44351</v>
      </c>
      <c r="C221" s="1" t="n">
        <v>45270</v>
      </c>
      <c r="D221" t="inlineStr">
        <is>
          <t>VÄSTMANLANDS LÄN</t>
        </is>
      </c>
      <c r="E221" t="inlineStr">
        <is>
          <t>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27911-2021</t>
        </is>
      </c>
      <c r="B222" s="1" t="n">
        <v>44354</v>
      </c>
      <c r="C222" s="1" t="n">
        <v>45270</v>
      </c>
      <c r="D222" t="inlineStr">
        <is>
          <t>VÄSTMANLANDS LÄN</t>
        </is>
      </c>
      <c r="E222" t="inlineStr">
        <is>
          <t>KÖPING</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28232-2021</t>
        </is>
      </c>
      <c r="B223" s="1" t="n">
        <v>44355</v>
      </c>
      <c r="C223" s="1" t="n">
        <v>45270</v>
      </c>
      <c r="D223" t="inlineStr">
        <is>
          <t>VÄSTMANLANDS LÄN</t>
        </is>
      </c>
      <c r="E223" t="inlineStr">
        <is>
          <t>KÖPING</t>
        </is>
      </c>
      <c r="G223" t="n">
        <v>9.9</v>
      </c>
      <c r="H223" t="n">
        <v>0</v>
      </c>
      <c r="I223" t="n">
        <v>0</v>
      </c>
      <c r="J223" t="n">
        <v>0</v>
      </c>
      <c r="K223" t="n">
        <v>0</v>
      </c>
      <c r="L223" t="n">
        <v>0</v>
      </c>
      <c r="M223" t="n">
        <v>0</v>
      </c>
      <c r="N223" t="n">
        <v>0</v>
      </c>
      <c r="O223" t="n">
        <v>0</v>
      </c>
      <c r="P223" t="n">
        <v>0</v>
      </c>
      <c r="Q223" t="n">
        <v>0</v>
      </c>
      <c r="R223" s="2" t="inlineStr"/>
    </row>
    <row r="224" ht="15" customHeight="1">
      <c r="A224" t="inlineStr">
        <is>
          <t>A 29894-2021</t>
        </is>
      </c>
      <c r="B224" s="1" t="n">
        <v>44362</v>
      </c>
      <c r="C224" s="1" t="n">
        <v>45270</v>
      </c>
      <c r="D224" t="inlineStr">
        <is>
          <t>VÄSTMANLANDS LÄN</t>
        </is>
      </c>
      <c r="E224" t="inlineStr">
        <is>
          <t>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30087-2021</t>
        </is>
      </c>
      <c r="B225" s="1" t="n">
        <v>44363</v>
      </c>
      <c r="C225" s="1" t="n">
        <v>45270</v>
      </c>
      <c r="D225" t="inlineStr">
        <is>
          <t>VÄSTMANLANDS LÄN</t>
        </is>
      </c>
      <c r="E225" t="inlineStr">
        <is>
          <t>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30482-2021</t>
        </is>
      </c>
      <c r="B226" s="1" t="n">
        <v>44364</v>
      </c>
      <c r="C226" s="1" t="n">
        <v>45270</v>
      </c>
      <c r="D226" t="inlineStr">
        <is>
          <t>VÄSTMANLANDS LÄN</t>
        </is>
      </c>
      <c r="E226" t="inlineStr">
        <is>
          <t>KÖPING</t>
        </is>
      </c>
      <c r="G226" t="n">
        <v>2.7</v>
      </c>
      <c r="H226" t="n">
        <v>0</v>
      </c>
      <c r="I226" t="n">
        <v>0</v>
      </c>
      <c r="J226" t="n">
        <v>0</v>
      </c>
      <c r="K226" t="n">
        <v>0</v>
      </c>
      <c r="L226" t="n">
        <v>0</v>
      </c>
      <c r="M226" t="n">
        <v>0</v>
      </c>
      <c r="N226" t="n">
        <v>0</v>
      </c>
      <c r="O226" t="n">
        <v>0</v>
      </c>
      <c r="P226" t="n">
        <v>0</v>
      </c>
      <c r="Q226" t="n">
        <v>0</v>
      </c>
      <c r="R226" s="2" t="inlineStr"/>
    </row>
    <row r="227" ht="15" customHeight="1">
      <c r="A227" t="inlineStr">
        <is>
          <t>A 31918-2021</t>
        </is>
      </c>
      <c r="B227" s="1" t="n">
        <v>44370</v>
      </c>
      <c r="C227" s="1" t="n">
        <v>45270</v>
      </c>
      <c r="D227" t="inlineStr">
        <is>
          <t>VÄSTMANLANDS LÄN</t>
        </is>
      </c>
      <c r="E227" t="inlineStr">
        <is>
          <t>KÖPING</t>
        </is>
      </c>
      <c r="G227" t="n">
        <v>2</v>
      </c>
      <c r="H227" t="n">
        <v>0</v>
      </c>
      <c r="I227" t="n">
        <v>0</v>
      </c>
      <c r="J227" t="n">
        <v>0</v>
      </c>
      <c r="K227" t="n">
        <v>0</v>
      </c>
      <c r="L227" t="n">
        <v>0</v>
      </c>
      <c r="M227" t="n">
        <v>0</v>
      </c>
      <c r="N227" t="n">
        <v>0</v>
      </c>
      <c r="O227" t="n">
        <v>0</v>
      </c>
      <c r="P227" t="n">
        <v>0</v>
      </c>
      <c r="Q227" t="n">
        <v>0</v>
      </c>
      <c r="R227" s="2" t="inlineStr"/>
    </row>
    <row r="228" ht="15" customHeight="1">
      <c r="A228" t="inlineStr">
        <is>
          <t>A 34215-2021</t>
        </is>
      </c>
      <c r="B228" s="1" t="n">
        <v>44379</v>
      </c>
      <c r="C228" s="1" t="n">
        <v>45270</v>
      </c>
      <c r="D228" t="inlineStr">
        <is>
          <t>VÄSTMANLANDS LÄN</t>
        </is>
      </c>
      <c r="E228" t="inlineStr">
        <is>
          <t>KÖPING</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36866-2021</t>
        </is>
      </c>
      <c r="B229" s="1" t="n">
        <v>44393</v>
      </c>
      <c r="C229" s="1" t="n">
        <v>45270</v>
      </c>
      <c r="D229" t="inlineStr">
        <is>
          <t>VÄSTMANLANDS LÄN</t>
        </is>
      </c>
      <c r="E229" t="inlineStr">
        <is>
          <t>KÖPING</t>
        </is>
      </c>
      <c r="G229" t="n">
        <v>3.4</v>
      </c>
      <c r="H229" t="n">
        <v>0</v>
      </c>
      <c r="I229" t="n">
        <v>0</v>
      </c>
      <c r="J229" t="n">
        <v>0</v>
      </c>
      <c r="K229" t="n">
        <v>0</v>
      </c>
      <c r="L229" t="n">
        <v>0</v>
      </c>
      <c r="M229" t="n">
        <v>0</v>
      </c>
      <c r="N229" t="n">
        <v>0</v>
      </c>
      <c r="O229" t="n">
        <v>0</v>
      </c>
      <c r="P229" t="n">
        <v>0</v>
      </c>
      <c r="Q229" t="n">
        <v>0</v>
      </c>
      <c r="R229" s="2" t="inlineStr"/>
    </row>
    <row r="230" ht="15" customHeight="1">
      <c r="A230" t="inlineStr">
        <is>
          <t>A 42621-2021</t>
        </is>
      </c>
      <c r="B230" s="1" t="n">
        <v>44428</v>
      </c>
      <c r="C230" s="1" t="n">
        <v>45270</v>
      </c>
      <c r="D230" t="inlineStr">
        <is>
          <t>VÄSTMANLANDS LÄN</t>
        </is>
      </c>
      <c r="E230" t="inlineStr">
        <is>
          <t>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42650-2021</t>
        </is>
      </c>
      <c r="B231" s="1" t="n">
        <v>44428</v>
      </c>
      <c r="C231" s="1" t="n">
        <v>45270</v>
      </c>
      <c r="D231" t="inlineStr">
        <is>
          <t>VÄSTMANLANDS LÄN</t>
        </is>
      </c>
      <c r="E231" t="inlineStr">
        <is>
          <t>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42645-2021</t>
        </is>
      </c>
      <c r="B232" s="1" t="n">
        <v>44428</v>
      </c>
      <c r="C232" s="1" t="n">
        <v>45270</v>
      </c>
      <c r="D232" t="inlineStr">
        <is>
          <t>VÄSTMANLANDS LÄN</t>
        </is>
      </c>
      <c r="E232" t="inlineStr">
        <is>
          <t>KÖPING</t>
        </is>
      </c>
      <c r="G232" t="n">
        <v>2</v>
      </c>
      <c r="H232" t="n">
        <v>0</v>
      </c>
      <c r="I232" t="n">
        <v>0</v>
      </c>
      <c r="J232" t="n">
        <v>0</v>
      </c>
      <c r="K232" t="n">
        <v>0</v>
      </c>
      <c r="L232" t="n">
        <v>0</v>
      </c>
      <c r="M232" t="n">
        <v>0</v>
      </c>
      <c r="N232" t="n">
        <v>0</v>
      </c>
      <c r="O232" t="n">
        <v>0</v>
      </c>
      <c r="P232" t="n">
        <v>0</v>
      </c>
      <c r="Q232" t="n">
        <v>0</v>
      </c>
      <c r="R232" s="2" t="inlineStr"/>
    </row>
    <row r="233" ht="15" customHeight="1">
      <c r="A233" t="inlineStr">
        <is>
          <t>A 43973-2021</t>
        </is>
      </c>
      <c r="B233" s="1" t="n">
        <v>44434</v>
      </c>
      <c r="C233" s="1" t="n">
        <v>45270</v>
      </c>
      <c r="D233" t="inlineStr">
        <is>
          <t>VÄSTMANLANDS LÄN</t>
        </is>
      </c>
      <c r="E233" t="inlineStr">
        <is>
          <t>KÖPING</t>
        </is>
      </c>
      <c r="G233" t="n">
        <v>2</v>
      </c>
      <c r="H233" t="n">
        <v>0</v>
      </c>
      <c r="I233" t="n">
        <v>0</v>
      </c>
      <c r="J233" t="n">
        <v>0</v>
      </c>
      <c r="K233" t="n">
        <v>0</v>
      </c>
      <c r="L233" t="n">
        <v>0</v>
      </c>
      <c r="M233" t="n">
        <v>0</v>
      </c>
      <c r="N233" t="n">
        <v>0</v>
      </c>
      <c r="O233" t="n">
        <v>0</v>
      </c>
      <c r="P233" t="n">
        <v>0</v>
      </c>
      <c r="Q233" t="n">
        <v>0</v>
      </c>
      <c r="R233" s="2" t="inlineStr"/>
    </row>
    <row r="234" ht="15" customHeight="1">
      <c r="A234" t="inlineStr">
        <is>
          <t>A 44749-2021</t>
        </is>
      </c>
      <c r="B234" s="1" t="n">
        <v>44438</v>
      </c>
      <c r="C234" s="1" t="n">
        <v>45270</v>
      </c>
      <c r="D234" t="inlineStr">
        <is>
          <t>VÄSTMANLANDS LÄN</t>
        </is>
      </c>
      <c r="E234" t="inlineStr">
        <is>
          <t>KÖPING</t>
        </is>
      </c>
      <c r="G234" t="n">
        <v>2.1</v>
      </c>
      <c r="H234" t="n">
        <v>0</v>
      </c>
      <c r="I234" t="n">
        <v>0</v>
      </c>
      <c r="J234" t="n">
        <v>0</v>
      </c>
      <c r="K234" t="n">
        <v>0</v>
      </c>
      <c r="L234" t="n">
        <v>0</v>
      </c>
      <c r="M234" t="n">
        <v>0</v>
      </c>
      <c r="N234" t="n">
        <v>0</v>
      </c>
      <c r="O234" t="n">
        <v>0</v>
      </c>
      <c r="P234" t="n">
        <v>0</v>
      </c>
      <c r="Q234" t="n">
        <v>0</v>
      </c>
      <c r="R234" s="2" t="inlineStr"/>
    </row>
    <row r="235" ht="15" customHeight="1">
      <c r="A235" t="inlineStr">
        <is>
          <t>A 45714-2021</t>
        </is>
      </c>
      <c r="B235" s="1" t="n">
        <v>44441</v>
      </c>
      <c r="C235" s="1" t="n">
        <v>45270</v>
      </c>
      <c r="D235" t="inlineStr">
        <is>
          <t>VÄSTMANLANDS LÄN</t>
        </is>
      </c>
      <c r="E235" t="inlineStr">
        <is>
          <t>KÖPING</t>
        </is>
      </c>
      <c r="G235" t="n">
        <v>1.5</v>
      </c>
      <c r="H235" t="n">
        <v>0</v>
      </c>
      <c r="I235" t="n">
        <v>0</v>
      </c>
      <c r="J235" t="n">
        <v>0</v>
      </c>
      <c r="K235" t="n">
        <v>0</v>
      </c>
      <c r="L235" t="n">
        <v>0</v>
      </c>
      <c r="M235" t="n">
        <v>0</v>
      </c>
      <c r="N235" t="n">
        <v>0</v>
      </c>
      <c r="O235" t="n">
        <v>0</v>
      </c>
      <c r="P235" t="n">
        <v>0</v>
      </c>
      <c r="Q235" t="n">
        <v>0</v>
      </c>
      <c r="R235" s="2" t="inlineStr"/>
    </row>
    <row r="236" ht="15" customHeight="1">
      <c r="A236" t="inlineStr">
        <is>
          <t>A 45904-2021</t>
        </is>
      </c>
      <c r="B236" s="1" t="n">
        <v>44441</v>
      </c>
      <c r="C236" s="1" t="n">
        <v>45270</v>
      </c>
      <c r="D236" t="inlineStr">
        <is>
          <t>VÄSTMANLANDS LÄN</t>
        </is>
      </c>
      <c r="E236" t="inlineStr">
        <is>
          <t>KÖPING</t>
        </is>
      </c>
      <c r="G236" t="n">
        <v>3.2</v>
      </c>
      <c r="H236" t="n">
        <v>0</v>
      </c>
      <c r="I236" t="n">
        <v>0</v>
      </c>
      <c r="J236" t="n">
        <v>0</v>
      </c>
      <c r="K236" t="n">
        <v>0</v>
      </c>
      <c r="L236" t="n">
        <v>0</v>
      </c>
      <c r="M236" t="n">
        <v>0</v>
      </c>
      <c r="N236" t="n">
        <v>0</v>
      </c>
      <c r="O236" t="n">
        <v>0</v>
      </c>
      <c r="P236" t="n">
        <v>0</v>
      </c>
      <c r="Q236" t="n">
        <v>0</v>
      </c>
      <c r="R236" s="2" t="inlineStr"/>
    </row>
    <row r="237" ht="15" customHeight="1">
      <c r="A237" t="inlineStr">
        <is>
          <t>A 45910-2021</t>
        </is>
      </c>
      <c r="B237" s="1" t="n">
        <v>44441</v>
      </c>
      <c r="C237" s="1" t="n">
        <v>45270</v>
      </c>
      <c r="D237" t="inlineStr">
        <is>
          <t>VÄSTMANLANDS LÄN</t>
        </is>
      </c>
      <c r="E237" t="inlineStr">
        <is>
          <t>KÖPING</t>
        </is>
      </c>
      <c r="G237" t="n">
        <v>5</v>
      </c>
      <c r="H237" t="n">
        <v>0</v>
      </c>
      <c r="I237" t="n">
        <v>0</v>
      </c>
      <c r="J237" t="n">
        <v>0</v>
      </c>
      <c r="K237" t="n">
        <v>0</v>
      </c>
      <c r="L237" t="n">
        <v>0</v>
      </c>
      <c r="M237" t="n">
        <v>0</v>
      </c>
      <c r="N237" t="n">
        <v>0</v>
      </c>
      <c r="O237" t="n">
        <v>0</v>
      </c>
      <c r="P237" t="n">
        <v>0</v>
      </c>
      <c r="Q237" t="n">
        <v>0</v>
      </c>
      <c r="R237" s="2" t="inlineStr"/>
    </row>
    <row r="238" ht="15" customHeight="1">
      <c r="A238" t="inlineStr">
        <is>
          <t>A 46343-2021</t>
        </is>
      </c>
      <c r="B238" s="1" t="n">
        <v>44442</v>
      </c>
      <c r="C238" s="1" t="n">
        <v>45270</v>
      </c>
      <c r="D238" t="inlineStr">
        <is>
          <t>VÄSTMANLANDS LÄN</t>
        </is>
      </c>
      <c r="E238" t="inlineStr">
        <is>
          <t>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46616-2021</t>
        </is>
      </c>
      <c r="B239" s="1" t="n">
        <v>44445</v>
      </c>
      <c r="C239" s="1" t="n">
        <v>45270</v>
      </c>
      <c r="D239" t="inlineStr">
        <is>
          <t>VÄSTMANLANDS LÄN</t>
        </is>
      </c>
      <c r="E239" t="inlineStr">
        <is>
          <t>KÖPING</t>
        </is>
      </c>
      <c r="G239" t="n">
        <v>1</v>
      </c>
      <c r="H239" t="n">
        <v>0</v>
      </c>
      <c r="I239" t="n">
        <v>0</v>
      </c>
      <c r="J239" t="n">
        <v>0</v>
      </c>
      <c r="K239" t="n">
        <v>0</v>
      </c>
      <c r="L239" t="n">
        <v>0</v>
      </c>
      <c r="M239" t="n">
        <v>0</v>
      </c>
      <c r="N239" t="n">
        <v>0</v>
      </c>
      <c r="O239" t="n">
        <v>0</v>
      </c>
      <c r="P239" t="n">
        <v>0</v>
      </c>
      <c r="Q239" t="n">
        <v>0</v>
      </c>
      <c r="R239" s="2" t="inlineStr"/>
    </row>
    <row r="240" ht="15" customHeight="1">
      <c r="A240" t="inlineStr">
        <is>
          <t>A 46661-2021</t>
        </is>
      </c>
      <c r="B240" s="1" t="n">
        <v>44445</v>
      </c>
      <c r="C240" s="1" t="n">
        <v>45270</v>
      </c>
      <c r="D240" t="inlineStr">
        <is>
          <t>VÄSTMANLANDS LÄN</t>
        </is>
      </c>
      <c r="E240" t="inlineStr">
        <is>
          <t>KÖPING</t>
        </is>
      </c>
      <c r="F240" t="inlineStr">
        <is>
          <t>Sveaskog</t>
        </is>
      </c>
      <c r="G240" t="n">
        <v>1.9</v>
      </c>
      <c r="H240" t="n">
        <v>0</v>
      </c>
      <c r="I240" t="n">
        <v>0</v>
      </c>
      <c r="J240" t="n">
        <v>0</v>
      </c>
      <c r="K240" t="n">
        <v>0</v>
      </c>
      <c r="L240" t="n">
        <v>0</v>
      </c>
      <c r="M240" t="n">
        <v>0</v>
      </c>
      <c r="N240" t="n">
        <v>0</v>
      </c>
      <c r="O240" t="n">
        <v>0</v>
      </c>
      <c r="P240" t="n">
        <v>0</v>
      </c>
      <c r="Q240" t="n">
        <v>0</v>
      </c>
      <c r="R240" s="2" t="inlineStr"/>
    </row>
    <row r="241" ht="15" customHeight="1">
      <c r="A241" t="inlineStr">
        <is>
          <t>A 46658-2021</t>
        </is>
      </c>
      <c r="B241" s="1" t="n">
        <v>44445</v>
      </c>
      <c r="C241" s="1" t="n">
        <v>45270</v>
      </c>
      <c r="D241" t="inlineStr">
        <is>
          <t>VÄSTMANLANDS LÄN</t>
        </is>
      </c>
      <c r="E241" t="inlineStr">
        <is>
          <t>KÖPING</t>
        </is>
      </c>
      <c r="F241" t="inlineStr">
        <is>
          <t>Sveaskog</t>
        </is>
      </c>
      <c r="G241" t="n">
        <v>4.3</v>
      </c>
      <c r="H241" t="n">
        <v>0</v>
      </c>
      <c r="I241" t="n">
        <v>0</v>
      </c>
      <c r="J241" t="n">
        <v>0</v>
      </c>
      <c r="K241" t="n">
        <v>0</v>
      </c>
      <c r="L241" t="n">
        <v>0</v>
      </c>
      <c r="M241" t="n">
        <v>0</v>
      </c>
      <c r="N241" t="n">
        <v>0</v>
      </c>
      <c r="O241" t="n">
        <v>0</v>
      </c>
      <c r="P241" t="n">
        <v>0</v>
      </c>
      <c r="Q241" t="n">
        <v>0</v>
      </c>
      <c r="R241" s="2" t="inlineStr"/>
    </row>
    <row r="242" ht="15" customHeight="1">
      <c r="A242" t="inlineStr">
        <is>
          <t>A 49717-2021</t>
        </is>
      </c>
      <c r="B242" s="1" t="n">
        <v>44455</v>
      </c>
      <c r="C242" s="1" t="n">
        <v>45270</v>
      </c>
      <c r="D242" t="inlineStr">
        <is>
          <t>VÄSTMANLANDS LÄN</t>
        </is>
      </c>
      <c r="E242" t="inlineStr">
        <is>
          <t>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51112-2021</t>
        </is>
      </c>
      <c r="B243" s="1" t="n">
        <v>44461</v>
      </c>
      <c r="C243" s="1" t="n">
        <v>45270</v>
      </c>
      <c r="D243" t="inlineStr">
        <is>
          <t>VÄSTMANLANDS LÄN</t>
        </is>
      </c>
      <c r="E243" t="inlineStr">
        <is>
          <t>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52799-2021</t>
        </is>
      </c>
      <c r="B244" s="1" t="n">
        <v>44467</v>
      </c>
      <c r="C244" s="1" t="n">
        <v>45270</v>
      </c>
      <c r="D244" t="inlineStr">
        <is>
          <t>VÄSTMANLANDS LÄN</t>
        </is>
      </c>
      <c r="E244" t="inlineStr">
        <is>
          <t>KÖPING</t>
        </is>
      </c>
      <c r="G244" t="n">
        <v>0.4</v>
      </c>
      <c r="H244" t="n">
        <v>0</v>
      </c>
      <c r="I244" t="n">
        <v>0</v>
      </c>
      <c r="J244" t="n">
        <v>0</v>
      </c>
      <c r="K244" t="n">
        <v>0</v>
      </c>
      <c r="L244" t="n">
        <v>0</v>
      </c>
      <c r="M244" t="n">
        <v>0</v>
      </c>
      <c r="N244" t="n">
        <v>0</v>
      </c>
      <c r="O244" t="n">
        <v>0</v>
      </c>
      <c r="P244" t="n">
        <v>0</v>
      </c>
      <c r="Q244" t="n">
        <v>0</v>
      </c>
      <c r="R244" s="2" t="inlineStr"/>
    </row>
    <row r="245" ht="15" customHeight="1">
      <c r="A245" t="inlineStr">
        <is>
          <t>A 53148-2021</t>
        </is>
      </c>
      <c r="B245" s="1" t="n">
        <v>44468</v>
      </c>
      <c r="C245" s="1" t="n">
        <v>45270</v>
      </c>
      <c r="D245" t="inlineStr">
        <is>
          <t>VÄSTMANLANDS LÄN</t>
        </is>
      </c>
      <c r="E245" t="inlineStr">
        <is>
          <t>KÖPING</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53996-2021</t>
        </is>
      </c>
      <c r="B246" s="1" t="n">
        <v>44470</v>
      </c>
      <c r="C246" s="1" t="n">
        <v>45270</v>
      </c>
      <c r="D246" t="inlineStr">
        <is>
          <t>VÄSTMANLANDS LÄN</t>
        </is>
      </c>
      <c r="E246" t="inlineStr">
        <is>
          <t>KÖPING</t>
        </is>
      </c>
      <c r="G246" t="n">
        <v>2</v>
      </c>
      <c r="H246" t="n">
        <v>0</v>
      </c>
      <c r="I246" t="n">
        <v>0</v>
      </c>
      <c r="J246" t="n">
        <v>0</v>
      </c>
      <c r="K246" t="n">
        <v>0</v>
      </c>
      <c r="L246" t="n">
        <v>0</v>
      </c>
      <c r="M246" t="n">
        <v>0</v>
      </c>
      <c r="N246" t="n">
        <v>0</v>
      </c>
      <c r="O246" t="n">
        <v>0</v>
      </c>
      <c r="P246" t="n">
        <v>0</v>
      </c>
      <c r="Q246" t="n">
        <v>0</v>
      </c>
      <c r="R246" s="2" t="inlineStr"/>
    </row>
    <row r="247" ht="15" customHeight="1">
      <c r="A247" t="inlineStr">
        <is>
          <t>A 54301-2021</t>
        </is>
      </c>
      <c r="B247" s="1" t="n">
        <v>44472</v>
      </c>
      <c r="C247" s="1" t="n">
        <v>45270</v>
      </c>
      <c r="D247" t="inlineStr">
        <is>
          <t>VÄSTMANLANDS LÄN</t>
        </is>
      </c>
      <c r="E247" t="inlineStr">
        <is>
          <t>KÖPING</t>
        </is>
      </c>
      <c r="G247" t="n">
        <v>2.6</v>
      </c>
      <c r="H247" t="n">
        <v>0</v>
      </c>
      <c r="I247" t="n">
        <v>0</v>
      </c>
      <c r="J247" t="n">
        <v>0</v>
      </c>
      <c r="K247" t="n">
        <v>0</v>
      </c>
      <c r="L247" t="n">
        <v>0</v>
      </c>
      <c r="M247" t="n">
        <v>0</v>
      </c>
      <c r="N247" t="n">
        <v>0</v>
      </c>
      <c r="O247" t="n">
        <v>0</v>
      </c>
      <c r="P247" t="n">
        <v>0</v>
      </c>
      <c r="Q247" t="n">
        <v>0</v>
      </c>
      <c r="R247" s="2" t="inlineStr"/>
    </row>
    <row r="248" ht="15" customHeight="1">
      <c r="A248" t="inlineStr">
        <is>
          <t>A 55835-2021</t>
        </is>
      </c>
      <c r="B248" s="1" t="n">
        <v>44476</v>
      </c>
      <c r="C248" s="1" t="n">
        <v>45270</v>
      </c>
      <c r="D248" t="inlineStr">
        <is>
          <t>VÄSTMANLANDS LÄN</t>
        </is>
      </c>
      <c r="E248" t="inlineStr">
        <is>
          <t>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56249-2021</t>
        </is>
      </c>
      <c r="B249" s="1" t="n">
        <v>44479</v>
      </c>
      <c r="C249" s="1" t="n">
        <v>45270</v>
      </c>
      <c r="D249" t="inlineStr">
        <is>
          <t>VÄSTMANLANDS LÄN</t>
        </is>
      </c>
      <c r="E249" t="inlineStr">
        <is>
          <t>KÖPING</t>
        </is>
      </c>
      <c r="G249" t="n">
        <v>0.2</v>
      </c>
      <c r="H249" t="n">
        <v>0</v>
      </c>
      <c r="I249" t="n">
        <v>0</v>
      </c>
      <c r="J249" t="n">
        <v>0</v>
      </c>
      <c r="K249" t="n">
        <v>0</v>
      </c>
      <c r="L249" t="n">
        <v>0</v>
      </c>
      <c r="M249" t="n">
        <v>0</v>
      </c>
      <c r="N249" t="n">
        <v>0</v>
      </c>
      <c r="O249" t="n">
        <v>0</v>
      </c>
      <c r="P249" t="n">
        <v>0</v>
      </c>
      <c r="Q249" t="n">
        <v>0</v>
      </c>
      <c r="R249" s="2" t="inlineStr"/>
    </row>
    <row r="250" ht="15" customHeight="1">
      <c r="A250" t="inlineStr">
        <is>
          <t>A 57769-2021</t>
        </is>
      </c>
      <c r="B250" s="1" t="n">
        <v>44484</v>
      </c>
      <c r="C250" s="1" t="n">
        <v>45270</v>
      </c>
      <c r="D250" t="inlineStr">
        <is>
          <t>VÄSTMANLANDS LÄN</t>
        </is>
      </c>
      <c r="E250" t="inlineStr">
        <is>
          <t>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57788-2021</t>
        </is>
      </c>
      <c r="B251" s="1" t="n">
        <v>44484</v>
      </c>
      <c r="C251" s="1" t="n">
        <v>45270</v>
      </c>
      <c r="D251" t="inlineStr">
        <is>
          <t>VÄSTMANLANDS LÄN</t>
        </is>
      </c>
      <c r="E251" t="inlineStr">
        <is>
          <t>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57789-2021</t>
        </is>
      </c>
      <c r="B252" s="1" t="n">
        <v>44484</v>
      </c>
      <c r="C252" s="1" t="n">
        <v>45270</v>
      </c>
      <c r="D252" t="inlineStr">
        <is>
          <t>VÄSTMANLANDS LÄN</t>
        </is>
      </c>
      <c r="E252" t="inlineStr">
        <is>
          <t>KÖPING</t>
        </is>
      </c>
      <c r="G252" t="n">
        <v>2.6</v>
      </c>
      <c r="H252" t="n">
        <v>0</v>
      </c>
      <c r="I252" t="n">
        <v>0</v>
      </c>
      <c r="J252" t="n">
        <v>0</v>
      </c>
      <c r="K252" t="n">
        <v>0</v>
      </c>
      <c r="L252" t="n">
        <v>0</v>
      </c>
      <c r="M252" t="n">
        <v>0</v>
      </c>
      <c r="N252" t="n">
        <v>0</v>
      </c>
      <c r="O252" t="n">
        <v>0</v>
      </c>
      <c r="P252" t="n">
        <v>0</v>
      </c>
      <c r="Q252" t="n">
        <v>0</v>
      </c>
      <c r="R252" s="2" t="inlineStr"/>
    </row>
    <row r="253" ht="15" customHeight="1">
      <c r="A253" t="inlineStr">
        <is>
          <t>A 58366-2021</t>
        </is>
      </c>
      <c r="B253" s="1" t="n">
        <v>44488</v>
      </c>
      <c r="C253" s="1" t="n">
        <v>45270</v>
      </c>
      <c r="D253" t="inlineStr">
        <is>
          <t>VÄSTMANLANDS LÄN</t>
        </is>
      </c>
      <c r="E253" t="inlineStr">
        <is>
          <t>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58371-2021</t>
        </is>
      </c>
      <c r="B254" s="1" t="n">
        <v>44488</v>
      </c>
      <c r="C254" s="1" t="n">
        <v>45270</v>
      </c>
      <c r="D254" t="inlineStr">
        <is>
          <t>VÄSTMANLANDS LÄN</t>
        </is>
      </c>
      <c r="E254" t="inlineStr">
        <is>
          <t>KÖPING</t>
        </is>
      </c>
      <c r="G254" t="n">
        <v>0.3</v>
      </c>
      <c r="H254" t="n">
        <v>0</v>
      </c>
      <c r="I254" t="n">
        <v>0</v>
      </c>
      <c r="J254" t="n">
        <v>0</v>
      </c>
      <c r="K254" t="n">
        <v>0</v>
      </c>
      <c r="L254" t="n">
        <v>0</v>
      </c>
      <c r="M254" t="n">
        <v>0</v>
      </c>
      <c r="N254" t="n">
        <v>0</v>
      </c>
      <c r="O254" t="n">
        <v>0</v>
      </c>
      <c r="P254" t="n">
        <v>0</v>
      </c>
      <c r="Q254" t="n">
        <v>0</v>
      </c>
      <c r="R254" s="2" t="inlineStr"/>
    </row>
    <row r="255" ht="15" customHeight="1">
      <c r="A255" t="inlineStr">
        <is>
          <t>A 58551-2021</t>
        </is>
      </c>
      <c r="B255" s="1" t="n">
        <v>44488</v>
      </c>
      <c r="C255" s="1" t="n">
        <v>45270</v>
      </c>
      <c r="D255" t="inlineStr">
        <is>
          <t>VÄSTMANLANDS LÄN</t>
        </is>
      </c>
      <c r="E255" t="inlineStr">
        <is>
          <t>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60627-2021</t>
        </is>
      </c>
      <c r="B256" s="1" t="n">
        <v>44496</v>
      </c>
      <c r="C256" s="1" t="n">
        <v>45270</v>
      </c>
      <c r="D256" t="inlineStr">
        <is>
          <t>VÄSTMANLANDS LÄN</t>
        </is>
      </c>
      <c r="E256" t="inlineStr">
        <is>
          <t>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61389-2021</t>
        </is>
      </c>
      <c r="B257" s="1" t="n">
        <v>44500</v>
      </c>
      <c r="C257" s="1" t="n">
        <v>45270</v>
      </c>
      <c r="D257" t="inlineStr">
        <is>
          <t>VÄSTMANLANDS LÄN</t>
        </is>
      </c>
      <c r="E257" t="inlineStr">
        <is>
          <t>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62150-2021</t>
        </is>
      </c>
      <c r="B258" s="1" t="n">
        <v>44502</v>
      </c>
      <c r="C258" s="1" t="n">
        <v>45270</v>
      </c>
      <c r="D258" t="inlineStr">
        <is>
          <t>VÄSTMANLANDS LÄN</t>
        </is>
      </c>
      <c r="E258" t="inlineStr">
        <is>
          <t>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63561-2021</t>
        </is>
      </c>
      <c r="B259" s="1" t="n">
        <v>44508</v>
      </c>
      <c r="C259" s="1" t="n">
        <v>45270</v>
      </c>
      <c r="D259" t="inlineStr">
        <is>
          <t>VÄSTMANLANDS LÄN</t>
        </is>
      </c>
      <c r="E259" t="inlineStr">
        <is>
          <t>KÖPING</t>
        </is>
      </c>
      <c r="G259" t="n">
        <v>3.3</v>
      </c>
      <c r="H259" t="n">
        <v>0</v>
      </c>
      <c r="I259" t="n">
        <v>0</v>
      </c>
      <c r="J259" t="n">
        <v>0</v>
      </c>
      <c r="K259" t="n">
        <v>0</v>
      </c>
      <c r="L259" t="n">
        <v>0</v>
      </c>
      <c r="M259" t="n">
        <v>0</v>
      </c>
      <c r="N259" t="n">
        <v>0</v>
      </c>
      <c r="O259" t="n">
        <v>0</v>
      </c>
      <c r="P259" t="n">
        <v>0</v>
      </c>
      <c r="Q259" t="n">
        <v>0</v>
      </c>
      <c r="R259" s="2" t="inlineStr"/>
    </row>
    <row r="260" ht="15" customHeight="1">
      <c r="A260" t="inlineStr">
        <is>
          <t>A 64341-2021</t>
        </is>
      </c>
      <c r="B260" s="1" t="n">
        <v>44511</v>
      </c>
      <c r="C260" s="1" t="n">
        <v>45270</v>
      </c>
      <c r="D260" t="inlineStr">
        <is>
          <t>VÄSTMANLANDS LÄN</t>
        </is>
      </c>
      <c r="E260" t="inlineStr">
        <is>
          <t>KÖPING</t>
        </is>
      </c>
      <c r="G260" t="n">
        <v>4.1</v>
      </c>
      <c r="H260" t="n">
        <v>0</v>
      </c>
      <c r="I260" t="n">
        <v>0</v>
      </c>
      <c r="J260" t="n">
        <v>0</v>
      </c>
      <c r="K260" t="n">
        <v>0</v>
      </c>
      <c r="L260" t="n">
        <v>0</v>
      </c>
      <c r="M260" t="n">
        <v>0</v>
      </c>
      <c r="N260" t="n">
        <v>0</v>
      </c>
      <c r="O260" t="n">
        <v>0</v>
      </c>
      <c r="P260" t="n">
        <v>0</v>
      </c>
      <c r="Q260" t="n">
        <v>0</v>
      </c>
      <c r="R260" s="2" t="inlineStr"/>
    </row>
    <row r="261" ht="15" customHeight="1">
      <c r="A261" t="inlineStr">
        <is>
          <t>A 65023-2021</t>
        </is>
      </c>
      <c r="B261" s="1" t="n">
        <v>44512</v>
      </c>
      <c r="C261" s="1" t="n">
        <v>45270</v>
      </c>
      <c r="D261" t="inlineStr">
        <is>
          <t>VÄSTMANLANDS LÄN</t>
        </is>
      </c>
      <c r="E261" t="inlineStr">
        <is>
          <t>KÖPING</t>
        </is>
      </c>
      <c r="G261" t="n">
        <v>2</v>
      </c>
      <c r="H261" t="n">
        <v>0</v>
      </c>
      <c r="I261" t="n">
        <v>0</v>
      </c>
      <c r="J261" t="n">
        <v>0</v>
      </c>
      <c r="K261" t="n">
        <v>0</v>
      </c>
      <c r="L261" t="n">
        <v>0</v>
      </c>
      <c r="M261" t="n">
        <v>0</v>
      </c>
      <c r="N261" t="n">
        <v>0</v>
      </c>
      <c r="O261" t="n">
        <v>0</v>
      </c>
      <c r="P261" t="n">
        <v>0</v>
      </c>
      <c r="Q261" t="n">
        <v>0</v>
      </c>
      <c r="R261" s="2" t="inlineStr"/>
    </row>
    <row r="262" ht="15" customHeight="1">
      <c r="A262" t="inlineStr">
        <is>
          <t>A 65582-2021</t>
        </is>
      </c>
      <c r="B262" s="1" t="n">
        <v>44516</v>
      </c>
      <c r="C262" s="1" t="n">
        <v>45270</v>
      </c>
      <c r="D262" t="inlineStr">
        <is>
          <t>VÄSTMANLANDS LÄN</t>
        </is>
      </c>
      <c r="E262" t="inlineStr">
        <is>
          <t>KÖPING</t>
        </is>
      </c>
      <c r="G262" t="n">
        <v>7.7</v>
      </c>
      <c r="H262" t="n">
        <v>0</v>
      </c>
      <c r="I262" t="n">
        <v>0</v>
      </c>
      <c r="J262" t="n">
        <v>0</v>
      </c>
      <c r="K262" t="n">
        <v>0</v>
      </c>
      <c r="L262" t="n">
        <v>0</v>
      </c>
      <c r="M262" t="n">
        <v>0</v>
      </c>
      <c r="N262" t="n">
        <v>0</v>
      </c>
      <c r="O262" t="n">
        <v>0</v>
      </c>
      <c r="P262" t="n">
        <v>0</v>
      </c>
      <c r="Q262" t="n">
        <v>0</v>
      </c>
      <c r="R262" s="2" t="inlineStr"/>
    </row>
    <row r="263" ht="15" customHeight="1">
      <c r="A263" t="inlineStr">
        <is>
          <t>A 65740-2021</t>
        </is>
      </c>
      <c r="B263" s="1" t="n">
        <v>44516</v>
      </c>
      <c r="C263" s="1" t="n">
        <v>45270</v>
      </c>
      <c r="D263" t="inlineStr">
        <is>
          <t>VÄSTMANLANDS LÄN</t>
        </is>
      </c>
      <c r="E263" t="inlineStr">
        <is>
          <t>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66997-2021</t>
        </is>
      </c>
      <c r="B264" s="1" t="n">
        <v>44522</v>
      </c>
      <c r="C264" s="1" t="n">
        <v>45270</v>
      </c>
      <c r="D264" t="inlineStr">
        <is>
          <t>VÄSTMANLANDS LÄN</t>
        </is>
      </c>
      <c r="E264" t="inlineStr">
        <is>
          <t>KÖPING</t>
        </is>
      </c>
      <c r="G264" t="n">
        <v>7.2</v>
      </c>
      <c r="H264" t="n">
        <v>0</v>
      </c>
      <c r="I264" t="n">
        <v>0</v>
      </c>
      <c r="J264" t="n">
        <v>0</v>
      </c>
      <c r="K264" t="n">
        <v>0</v>
      </c>
      <c r="L264" t="n">
        <v>0</v>
      </c>
      <c r="M264" t="n">
        <v>0</v>
      </c>
      <c r="N264" t="n">
        <v>0</v>
      </c>
      <c r="O264" t="n">
        <v>0</v>
      </c>
      <c r="P264" t="n">
        <v>0</v>
      </c>
      <c r="Q264" t="n">
        <v>0</v>
      </c>
      <c r="R264" s="2" t="inlineStr"/>
    </row>
    <row r="265" ht="15" customHeight="1">
      <c r="A265" t="inlineStr">
        <is>
          <t>A 67946-2021</t>
        </is>
      </c>
      <c r="B265" s="1" t="n">
        <v>44525</v>
      </c>
      <c r="C265" s="1" t="n">
        <v>45270</v>
      </c>
      <c r="D265" t="inlineStr">
        <is>
          <t>VÄSTMANLANDS LÄN</t>
        </is>
      </c>
      <c r="E265" t="inlineStr">
        <is>
          <t>KÖPING</t>
        </is>
      </c>
      <c r="G265" t="n">
        <v>1.8</v>
      </c>
      <c r="H265" t="n">
        <v>0</v>
      </c>
      <c r="I265" t="n">
        <v>0</v>
      </c>
      <c r="J265" t="n">
        <v>0</v>
      </c>
      <c r="K265" t="n">
        <v>0</v>
      </c>
      <c r="L265" t="n">
        <v>0</v>
      </c>
      <c r="M265" t="n">
        <v>0</v>
      </c>
      <c r="N265" t="n">
        <v>0</v>
      </c>
      <c r="O265" t="n">
        <v>0</v>
      </c>
      <c r="P265" t="n">
        <v>0</v>
      </c>
      <c r="Q265" t="n">
        <v>0</v>
      </c>
      <c r="R265" s="2" t="inlineStr"/>
    </row>
    <row r="266" ht="15" customHeight="1">
      <c r="A266" t="inlineStr">
        <is>
          <t>A 68714-2021</t>
        </is>
      </c>
      <c r="B266" s="1" t="n">
        <v>44529</v>
      </c>
      <c r="C266" s="1" t="n">
        <v>45270</v>
      </c>
      <c r="D266" t="inlineStr">
        <is>
          <t>VÄSTMANLANDS LÄN</t>
        </is>
      </c>
      <c r="E266" t="inlineStr">
        <is>
          <t>KÖPING</t>
        </is>
      </c>
      <c r="G266" t="n">
        <v>6.4</v>
      </c>
      <c r="H266" t="n">
        <v>0</v>
      </c>
      <c r="I266" t="n">
        <v>0</v>
      </c>
      <c r="J266" t="n">
        <v>0</v>
      </c>
      <c r="K266" t="n">
        <v>0</v>
      </c>
      <c r="L266" t="n">
        <v>0</v>
      </c>
      <c r="M266" t="n">
        <v>0</v>
      </c>
      <c r="N266" t="n">
        <v>0</v>
      </c>
      <c r="O266" t="n">
        <v>0</v>
      </c>
      <c r="P266" t="n">
        <v>0</v>
      </c>
      <c r="Q266" t="n">
        <v>0</v>
      </c>
      <c r="R266" s="2" t="inlineStr"/>
    </row>
    <row r="267" ht="15" customHeight="1">
      <c r="A267" t="inlineStr">
        <is>
          <t>A 68976-2021</t>
        </is>
      </c>
      <c r="B267" s="1" t="n">
        <v>44530</v>
      </c>
      <c r="C267" s="1" t="n">
        <v>45270</v>
      </c>
      <c r="D267" t="inlineStr">
        <is>
          <t>VÄSTMANLANDS LÄN</t>
        </is>
      </c>
      <c r="E267" t="inlineStr">
        <is>
          <t>KÖPING</t>
        </is>
      </c>
      <c r="G267" t="n">
        <v>13.1</v>
      </c>
      <c r="H267" t="n">
        <v>0</v>
      </c>
      <c r="I267" t="n">
        <v>0</v>
      </c>
      <c r="J267" t="n">
        <v>0</v>
      </c>
      <c r="K267" t="n">
        <v>0</v>
      </c>
      <c r="L267" t="n">
        <v>0</v>
      </c>
      <c r="M267" t="n">
        <v>0</v>
      </c>
      <c r="N267" t="n">
        <v>0</v>
      </c>
      <c r="O267" t="n">
        <v>0</v>
      </c>
      <c r="P267" t="n">
        <v>0</v>
      </c>
      <c r="Q267" t="n">
        <v>0</v>
      </c>
      <c r="R267" s="2" t="inlineStr"/>
    </row>
    <row r="268" ht="15" customHeight="1">
      <c r="A268" t="inlineStr">
        <is>
          <t>A 68954-2021</t>
        </is>
      </c>
      <c r="B268" s="1" t="n">
        <v>44530</v>
      </c>
      <c r="C268" s="1" t="n">
        <v>45270</v>
      </c>
      <c r="D268" t="inlineStr">
        <is>
          <t>VÄSTMANLANDS LÄN</t>
        </is>
      </c>
      <c r="E268" t="inlineStr">
        <is>
          <t>KÖPING</t>
        </is>
      </c>
      <c r="G268" t="n">
        <v>6.8</v>
      </c>
      <c r="H268" t="n">
        <v>0</v>
      </c>
      <c r="I268" t="n">
        <v>0</v>
      </c>
      <c r="J268" t="n">
        <v>0</v>
      </c>
      <c r="K268" t="n">
        <v>0</v>
      </c>
      <c r="L268" t="n">
        <v>0</v>
      </c>
      <c r="M268" t="n">
        <v>0</v>
      </c>
      <c r="N268" t="n">
        <v>0</v>
      </c>
      <c r="O268" t="n">
        <v>0</v>
      </c>
      <c r="P268" t="n">
        <v>0</v>
      </c>
      <c r="Q268" t="n">
        <v>0</v>
      </c>
      <c r="R268" s="2" t="inlineStr"/>
    </row>
    <row r="269" ht="15" customHeight="1">
      <c r="A269" t="inlineStr">
        <is>
          <t>A 69645-2021</t>
        </is>
      </c>
      <c r="B269" s="1" t="n">
        <v>44532</v>
      </c>
      <c r="C269" s="1" t="n">
        <v>45270</v>
      </c>
      <c r="D269" t="inlineStr">
        <is>
          <t>VÄSTMANLANDS LÄN</t>
        </is>
      </c>
      <c r="E269" t="inlineStr">
        <is>
          <t>KÖPING</t>
        </is>
      </c>
      <c r="G269" t="n">
        <v>4.6</v>
      </c>
      <c r="H269" t="n">
        <v>0</v>
      </c>
      <c r="I269" t="n">
        <v>0</v>
      </c>
      <c r="J269" t="n">
        <v>0</v>
      </c>
      <c r="K269" t="n">
        <v>0</v>
      </c>
      <c r="L269" t="n">
        <v>0</v>
      </c>
      <c r="M269" t="n">
        <v>0</v>
      </c>
      <c r="N269" t="n">
        <v>0</v>
      </c>
      <c r="O269" t="n">
        <v>0</v>
      </c>
      <c r="P269" t="n">
        <v>0</v>
      </c>
      <c r="Q269" t="n">
        <v>0</v>
      </c>
      <c r="R269" s="2" t="inlineStr"/>
    </row>
    <row r="270" ht="15" customHeight="1">
      <c r="A270" t="inlineStr">
        <is>
          <t>A 69656-2021</t>
        </is>
      </c>
      <c r="B270" s="1" t="n">
        <v>44532</v>
      </c>
      <c r="C270" s="1" t="n">
        <v>45270</v>
      </c>
      <c r="D270" t="inlineStr">
        <is>
          <t>VÄSTMANLANDS LÄN</t>
        </is>
      </c>
      <c r="E270" t="inlineStr">
        <is>
          <t>KÖPING</t>
        </is>
      </c>
      <c r="G270" t="n">
        <v>2.4</v>
      </c>
      <c r="H270" t="n">
        <v>0</v>
      </c>
      <c r="I270" t="n">
        <v>0</v>
      </c>
      <c r="J270" t="n">
        <v>0</v>
      </c>
      <c r="K270" t="n">
        <v>0</v>
      </c>
      <c r="L270" t="n">
        <v>0</v>
      </c>
      <c r="M270" t="n">
        <v>0</v>
      </c>
      <c r="N270" t="n">
        <v>0</v>
      </c>
      <c r="O270" t="n">
        <v>0</v>
      </c>
      <c r="P270" t="n">
        <v>0</v>
      </c>
      <c r="Q270" t="n">
        <v>0</v>
      </c>
      <c r="R270" s="2" t="inlineStr"/>
    </row>
    <row r="271" ht="15" customHeight="1">
      <c r="A271" t="inlineStr">
        <is>
          <t>A 70909-2021</t>
        </is>
      </c>
      <c r="B271" s="1" t="n">
        <v>44538</v>
      </c>
      <c r="C271" s="1" t="n">
        <v>45270</v>
      </c>
      <c r="D271" t="inlineStr">
        <is>
          <t>VÄSTMANLANDS LÄN</t>
        </is>
      </c>
      <c r="E271" t="inlineStr">
        <is>
          <t>KÖPING</t>
        </is>
      </c>
      <c r="G271" t="n">
        <v>3.6</v>
      </c>
      <c r="H271" t="n">
        <v>0</v>
      </c>
      <c r="I271" t="n">
        <v>0</v>
      </c>
      <c r="J271" t="n">
        <v>0</v>
      </c>
      <c r="K271" t="n">
        <v>0</v>
      </c>
      <c r="L271" t="n">
        <v>0</v>
      </c>
      <c r="M271" t="n">
        <v>0</v>
      </c>
      <c r="N271" t="n">
        <v>0</v>
      </c>
      <c r="O271" t="n">
        <v>0</v>
      </c>
      <c r="P271" t="n">
        <v>0</v>
      </c>
      <c r="Q271" t="n">
        <v>0</v>
      </c>
      <c r="R271" s="2" t="inlineStr"/>
    </row>
    <row r="272" ht="15" customHeight="1">
      <c r="A272" t="inlineStr">
        <is>
          <t>A 71717-2021</t>
        </is>
      </c>
      <c r="B272" s="1" t="n">
        <v>44539</v>
      </c>
      <c r="C272" s="1" t="n">
        <v>45270</v>
      </c>
      <c r="D272" t="inlineStr">
        <is>
          <t>VÄSTMANLANDS LÄN</t>
        </is>
      </c>
      <c r="E272" t="inlineStr">
        <is>
          <t>KÖPING</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71735-2021</t>
        </is>
      </c>
      <c r="B273" s="1" t="n">
        <v>44539</v>
      </c>
      <c r="C273" s="1" t="n">
        <v>45270</v>
      </c>
      <c r="D273" t="inlineStr">
        <is>
          <t>VÄSTMANLANDS LÄN</t>
        </is>
      </c>
      <c r="E273" t="inlineStr">
        <is>
          <t>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72460-2021</t>
        </is>
      </c>
      <c r="B274" s="1" t="n">
        <v>44545</v>
      </c>
      <c r="C274" s="1" t="n">
        <v>45270</v>
      </c>
      <c r="D274" t="inlineStr">
        <is>
          <t>VÄSTMANLANDS LÄN</t>
        </is>
      </c>
      <c r="E274" t="inlineStr">
        <is>
          <t>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72463-2021</t>
        </is>
      </c>
      <c r="B275" s="1" t="n">
        <v>44545</v>
      </c>
      <c r="C275" s="1" t="n">
        <v>45270</v>
      </c>
      <c r="D275" t="inlineStr">
        <is>
          <t>VÄSTMANLANDS LÄN</t>
        </is>
      </c>
      <c r="E275" t="inlineStr">
        <is>
          <t>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73293-2021</t>
        </is>
      </c>
      <c r="B276" s="1" t="n">
        <v>44550</v>
      </c>
      <c r="C276" s="1" t="n">
        <v>45270</v>
      </c>
      <c r="D276" t="inlineStr">
        <is>
          <t>VÄSTMANLANDS LÄN</t>
        </is>
      </c>
      <c r="E276" t="inlineStr">
        <is>
          <t>KÖPING</t>
        </is>
      </c>
      <c r="G276" t="n">
        <v>1.3</v>
      </c>
      <c r="H276" t="n">
        <v>0</v>
      </c>
      <c r="I276" t="n">
        <v>0</v>
      </c>
      <c r="J276" t="n">
        <v>0</v>
      </c>
      <c r="K276" t="n">
        <v>0</v>
      </c>
      <c r="L276" t="n">
        <v>0</v>
      </c>
      <c r="M276" t="n">
        <v>0</v>
      </c>
      <c r="N276" t="n">
        <v>0</v>
      </c>
      <c r="O276" t="n">
        <v>0</v>
      </c>
      <c r="P276" t="n">
        <v>0</v>
      </c>
      <c r="Q276" t="n">
        <v>0</v>
      </c>
      <c r="R276" s="2" t="inlineStr"/>
    </row>
    <row r="277" ht="15" customHeight="1">
      <c r="A277" t="inlineStr">
        <is>
          <t>A 73569-2021</t>
        </is>
      </c>
      <c r="B277" s="1" t="n">
        <v>44552</v>
      </c>
      <c r="C277" s="1" t="n">
        <v>45270</v>
      </c>
      <c r="D277" t="inlineStr">
        <is>
          <t>VÄSTMANLANDS LÄN</t>
        </is>
      </c>
      <c r="E277" t="inlineStr">
        <is>
          <t>KÖPING</t>
        </is>
      </c>
      <c r="G277" t="n">
        <v>4.3</v>
      </c>
      <c r="H277" t="n">
        <v>0</v>
      </c>
      <c r="I277" t="n">
        <v>0</v>
      </c>
      <c r="J277" t="n">
        <v>0</v>
      </c>
      <c r="K277" t="n">
        <v>0</v>
      </c>
      <c r="L277" t="n">
        <v>0</v>
      </c>
      <c r="M277" t="n">
        <v>0</v>
      </c>
      <c r="N277" t="n">
        <v>0</v>
      </c>
      <c r="O277" t="n">
        <v>0</v>
      </c>
      <c r="P277" t="n">
        <v>0</v>
      </c>
      <c r="Q277" t="n">
        <v>0</v>
      </c>
      <c r="R277" s="2" t="inlineStr"/>
    </row>
    <row r="278" ht="15" customHeight="1">
      <c r="A278" t="inlineStr">
        <is>
          <t>A 73890-2021</t>
        </is>
      </c>
      <c r="B278" s="1" t="n">
        <v>44553</v>
      </c>
      <c r="C278" s="1" t="n">
        <v>45270</v>
      </c>
      <c r="D278" t="inlineStr">
        <is>
          <t>VÄSTMANLANDS LÄN</t>
        </is>
      </c>
      <c r="E278" t="inlineStr">
        <is>
          <t>KÖPING</t>
        </is>
      </c>
      <c r="G278" t="n">
        <v>2.9</v>
      </c>
      <c r="H278" t="n">
        <v>0</v>
      </c>
      <c r="I278" t="n">
        <v>0</v>
      </c>
      <c r="J278" t="n">
        <v>0</v>
      </c>
      <c r="K278" t="n">
        <v>0</v>
      </c>
      <c r="L278" t="n">
        <v>0</v>
      </c>
      <c r="M278" t="n">
        <v>0</v>
      </c>
      <c r="N278" t="n">
        <v>0</v>
      </c>
      <c r="O278" t="n">
        <v>0</v>
      </c>
      <c r="P278" t="n">
        <v>0</v>
      </c>
      <c r="Q278" t="n">
        <v>0</v>
      </c>
      <c r="R278" s="2" t="inlineStr"/>
    </row>
    <row r="279" ht="15" customHeight="1">
      <c r="A279" t="inlineStr">
        <is>
          <t>A 73888-2021</t>
        </is>
      </c>
      <c r="B279" s="1" t="n">
        <v>44553</v>
      </c>
      <c r="C279" s="1" t="n">
        <v>45270</v>
      </c>
      <c r="D279" t="inlineStr">
        <is>
          <t>VÄSTMANLANDS LÄN</t>
        </is>
      </c>
      <c r="E279" t="inlineStr">
        <is>
          <t>KÖPING</t>
        </is>
      </c>
      <c r="G279" t="n">
        <v>2.4</v>
      </c>
      <c r="H279" t="n">
        <v>0</v>
      </c>
      <c r="I279" t="n">
        <v>0</v>
      </c>
      <c r="J279" t="n">
        <v>0</v>
      </c>
      <c r="K279" t="n">
        <v>0</v>
      </c>
      <c r="L279" t="n">
        <v>0</v>
      </c>
      <c r="M279" t="n">
        <v>0</v>
      </c>
      <c r="N279" t="n">
        <v>0</v>
      </c>
      <c r="O279" t="n">
        <v>0</v>
      </c>
      <c r="P279" t="n">
        <v>0</v>
      </c>
      <c r="Q279" t="n">
        <v>0</v>
      </c>
      <c r="R279" s="2" t="inlineStr"/>
    </row>
    <row r="280" ht="15" customHeight="1">
      <c r="A280" t="inlineStr">
        <is>
          <t>A 74279-2021</t>
        </is>
      </c>
      <c r="B280" s="1" t="n">
        <v>44558</v>
      </c>
      <c r="C280" s="1" t="n">
        <v>45270</v>
      </c>
      <c r="D280" t="inlineStr">
        <is>
          <t>VÄSTMANLANDS LÄN</t>
        </is>
      </c>
      <c r="E280" t="inlineStr">
        <is>
          <t>KÖPING</t>
        </is>
      </c>
      <c r="G280" t="n">
        <v>4.3</v>
      </c>
      <c r="H280" t="n">
        <v>0</v>
      </c>
      <c r="I280" t="n">
        <v>0</v>
      </c>
      <c r="J280" t="n">
        <v>0</v>
      </c>
      <c r="K280" t="n">
        <v>0</v>
      </c>
      <c r="L280" t="n">
        <v>0</v>
      </c>
      <c r="M280" t="n">
        <v>0</v>
      </c>
      <c r="N280" t="n">
        <v>0</v>
      </c>
      <c r="O280" t="n">
        <v>0</v>
      </c>
      <c r="P280" t="n">
        <v>0</v>
      </c>
      <c r="Q280" t="n">
        <v>0</v>
      </c>
      <c r="R280" s="2" t="inlineStr"/>
    </row>
    <row r="281" ht="15" customHeight="1">
      <c r="A281" t="inlineStr">
        <is>
          <t>A 1812-2022</t>
        </is>
      </c>
      <c r="B281" s="1" t="n">
        <v>44574</v>
      </c>
      <c r="C281" s="1" t="n">
        <v>45270</v>
      </c>
      <c r="D281" t="inlineStr">
        <is>
          <t>VÄSTMANLANDS LÄN</t>
        </is>
      </c>
      <c r="E281" t="inlineStr">
        <is>
          <t>KÖPING</t>
        </is>
      </c>
      <c r="G281" t="n">
        <v>4.4</v>
      </c>
      <c r="H281" t="n">
        <v>0</v>
      </c>
      <c r="I281" t="n">
        <v>0</v>
      </c>
      <c r="J281" t="n">
        <v>0</v>
      </c>
      <c r="K281" t="n">
        <v>0</v>
      </c>
      <c r="L281" t="n">
        <v>0</v>
      </c>
      <c r="M281" t="n">
        <v>0</v>
      </c>
      <c r="N281" t="n">
        <v>0</v>
      </c>
      <c r="O281" t="n">
        <v>0</v>
      </c>
      <c r="P281" t="n">
        <v>0</v>
      </c>
      <c r="Q281" t="n">
        <v>0</v>
      </c>
      <c r="R281" s="2" t="inlineStr"/>
    </row>
    <row r="282" ht="15" customHeight="1">
      <c r="A282" t="inlineStr">
        <is>
          <t>A 2854-2022</t>
        </is>
      </c>
      <c r="B282" s="1" t="n">
        <v>44581</v>
      </c>
      <c r="C282" s="1" t="n">
        <v>45270</v>
      </c>
      <c r="D282" t="inlineStr">
        <is>
          <t>VÄSTMANLANDS LÄN</t>
        </is>
      </c>
      <c r="E282" t="inlineStr">
        <is>
          <t>KÖPING</t>
        </is>
      </c>
      <c r="G282" t="n">
        <v>7.1</v>
      </c>
      <c r="H282" t="n">
        <v>0</v>
      </c>
      <c r="I282" t="n">
        <v>0</v>
      </c>
      <c r="J282" t="n">
        <v>0</v>
      </c>
      <c r="K282" t="n">
        <v>0</v>
      </c>
      <c r="L282" t="n">
        <v>0</v>
      </c>
      <c r="M282" t="n">
        <v>0</v>
      </c>
      <c r="N282" t="n">
        <v>0</v>
      </c>
      <c r="O282" t="n">
        <v>0</v>
      </c>
      <c r="P282" t="n">
        <v>0</v>
      </c>
      <c r="Q282" t="n">
        <v>0</v>
      </c>
      <c r="R282" s="2" t="inlineStr"/>
    </row>
    <row r="283" ht="15" customHeight="1">
      <c r="A283" t="inlineStr">
        <is>
          <t>A 3196-2022</t>
        </is>
      </c>
      <c r="B283" s="1" t="n">
        <v>44582</v>
      </c>
      <c r="C283" s="1" t="n">
        <v>45270</v>
      </c>
      <c r="D283" t="inlineStr">
        <is>
          <t>VÄSTMANLANDS LÄN</t>
        </is>
      </c>
      <c r="E283" t="inlineStr">
        <is>
          <t>KÖPING</t>
        </is>
      </c>
      <c r="G283" t="n">
        <v>3.7</v>
      </c>
      <c r="H283" t="n">
        <v>0</v>
      </c>
      <c r="I283" t="n">
        <v>0</v>
      </c>
      <c r="J283" t="n">
        <v>0</v>
      </c>
      <c r="K283" t="n">
        <v>0</v>
      </c>
      <c r="L283" t="n">
        <v>0</v>
      </c>
      <c r="M283" t="n">
        <v>0</v>
      </c>
      <c r="N283" t="n">
        <v>0</v>
      </c>
      <c r="O283" t="n">
        <v>0</v>
      </c>
      <c r="P283" t="n">
        <v>0</v>
      </c>
      <c r="Q283" t="n">
        <v>0</v>
      </c>
      <c r="R283" s="2" t="inlineStr"/>
    </row>
    <row r="284" ht="15" customHeight="1">
      <c r="A284" t="inlineStr">
        <is>
          <t>A 7370-2022</t>
        </is>
      </c>
      <c r="B284" s="1" t="n">
        <v>44606</v>
      </c>
      <c r="C284" s="1" t="n">
        <v>45270</v>
      </c>
      <c r="D284" t="inlineStr">
        <is>
          <t>VÄSTMANLANDS LÄN</t>
        </is>
      </c>
      <c r="E284" t="inlineStr">
        <is>
          <t>KÖPING</t>
        </is>
      </c>
      <c r="G284" t="n">
        <v>14.4</v>
      </c>
      <c r="H284" t="n">
        <v>0</v>
      </c>
      <c r="I284" t="n">
        <v>0</v>
      </c>
      <c r="J284" t="n">
        <v>0</v>
      </c>
      <c r="K284" t="n">
        <v>0</v>
      </c>
      <c r="L284" t="n">
        <v>0</v>
      </c>
      <c r="M284" t="n">
        <v>0</v>
      </c>
      <c r="N284" t="n">
        <v>0</v>
      </c>
      <c r="O284" t="n">
        <v>0</v>
      </c>
      <c r="P284" t="n">
        <v>0</v>
      </c>
      <c r="Q284" t="n">
        <v>0</v>
      </c>
      <c r="R284" s="2" t="inlineStr"/>
    </row>
    <row r="285" ht="15" customHeight="1">
      <c r="A285" t="inlineStr">
        <is>
          <t>A 8687-2022</t>
        </is>
      </c>
      <c r="B285" s="1" t="n">
        <v>44613</v>
      </c>
      <c r="C285" s="1" t="n">
        <v>45270</v>
      </c>
      <c r="D285" t="inlineStr">
        <is>
          <t>VÄSTMANLANDS LÄN</t>
        </is>
      </c>
      <c r="E285" t="inlineStr">
        <is>
          <t>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8845-2022</t>
        </is>
      </c>
      <c r="B286" s="1" t="n">
        <v>44614</v>
      </c>
      <c r="C286" s="1" t="n">
        <v>45270</v>
      </c>
      <c r="D286" t="inlineStr">
        <is>
          <t>VÄSTMANLANDS LÄN</t>
        </is>
      </c>
      <c r="E286" t="inlineStr">
        <is>
          <t>KÖPING</t>
        </is>
      </c>
      <c r="G286" t="n">
        <v>5.4</v>
      </c>
      <c r="H286" t="n">
        <v>0</v>
      </c>
      <c r="I286" t="n">
        <v>0</v>
      </c>
      <c r="J286" t="n">
        <v>0</v>
      </c>
      <c r="K286" t="n">
        <v>0</v>
      </c>
      <c r="L286" t="n">
        <v>0</v>
      </c>
      <c r="M286" t="n">
        <v>0</v>
      </c>
      <c r="N286" t="n">
        <v>0</v>
      </c>
      <c r="O286" t="n">
        <v>0</v>
      </c>
      <c r="P286" t="n">
        <v>0</v>
      </c>
      <c r="Q286" t="n">
        <v>0</v>
      </c>
      <c r="R286" s="2" t="inlineStr"/>
    </row>
    <row r="287" ht="15" customHeight="1">
      <c r="A287" t="inlineStr">
        <is>
          <t>A 9260-2022</t>
        </is>
      </c>
      <c r="B287" s="1" t="n">
        <v>44614</v>
      </c>
      <c r="C287" s="1" t="n">
        <v>45270</v>
      </c>
      <c r="D287" t="inlineStr">
        <is>
          <t>VÄSTMANLANDS LÄN</t>
        </is>
      </c>
      <c r="E287" t="inlineStr">
        <is>
          <t>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9032-2022</t>
        </is>
      </c>
      <c r="B288" s="1" t="n">
        <v>44615</v>
      </c>
      <c r="C288" s="1" t="n">
        <v>45270</v>
      </c>
      <c r="D288" t="inlineStr">
        <is>
          <t>VÄSTMANLANDS LÄN</t>
        </is>
      </c>
      <c r="E288" t="inlineStr">
        <is>
          <t>KÖPING</t>
        </is>
      </c>
      <c r="G288" t="n">
        <v>2</v>
      </c>
      <c r="H288" t="n">
        <v>0</v>
      </c>
      <c r="I288" t="n">
        <v>0</v>
      </c>
      <c r="J288" t="n">
        <v>0</v>
      </c>
      <c r="K288" t="n">
        <v>0</v>
      </c>
      <c r="L288" t="n">
        <v>0</v>
      </c>
      <c r="M288" t="n">
        <v>0</v>
      </c>
      <c r="N288" t="n">
        <v>0</v>
      </c>
      <c r="O288" t="n">
        <v>0</v>
      </c>
      <c r="P288" t="n">
        <v>0</v>
      </c>
      <c r="Q288" t="n">
        <v>0</v>
      </c>
      <c r="R288" s="2" t="inlineStr"/>
    </row>
    <row r="289" ht="15" customHeight="1">
      <c r="A289" t="inlineStr">
        <is>
          <t>A 10478-2022</t>
        </is>
      </c>
      <c r="B289" s="1" t="n">
        <v>44623</v>
      </c>
      <c r="C289" s="1" t="n">
        <v>45270</v>
      </c>
      <c r="D289" t="inlineStr">
        <is>
          <t>VÄSTMANLANDS LÄN</t>
        </is>
      </c>
      <c r="E289" t="inlineStr">
        <is>
          <t>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10512-2022</t>
        </is>
      </c>
      <c r="B290" s="1" t="n">
        <v>44623</v>
      </c>
      <c r="C290" s="1" t="n">
        <v>45270</v>
      </c>
      <c r="D290" t="inlineStr">
        <is>
          <t>VÄSTMANLANDS LÄN</t>
        </is>
      </c>
      <c r="E290" t="inlineStr">
        <is>
          <t>KÖPING</t>
        </is>
      </c>
      <c r="G290" t="n">
        <v>2.1</v>
      </c>
      <c r="H290" t="n">
        <v>0</v>
      </c>
      <c r="I290" t="n">
        <v>0</v>
      </c>
      <c r="J290" t="n">
        <v>0</v>
      </c>
      <c r="K290" t="n">
        <v>0</v>
      </c>
      <c r="L290" t="n">
        <v>0</v>
      </c>
      <c r="M290" t="n">
        <v>0</v>
      </c>
      <c r="N290" t="n">
        <v>0</v>
      </c>
      <c r="O290" t="n">
        <v>0</v>
      </c>
      <c r="P290" t="n">
        <v>0</v>
      </c>
      <c r="Q290" t="n">
        <v>0</v>
      </c>
      <c r="R290" s="2" t="inlineStr"/>
    </row>
    <row r="291" ht="15" customHeight="1">
      <c r="A291" t="inlineStr">
        <is>
          <t>A 10761-2022</t>
        </is>
      </c>
      <c r="B291" s="1" t="n">
        <v>44627</v>
      </c>
      <c r="C291" s="1" t="n">
        <v>45270</v>
      </c>
      <c r="D291" t="inlineStr">
        <is>
          <t>VÄSTMANLANDS LÄN</t>
        </is>
      </c>
      <c r="E291" t="inlineStr">
        <is>
          <t>KÖPING</t>
        </is>
      </c>
      <c r="G291" t="n">
        <v>2.1</v>
      </c>
      <c r="H291" t="n">
        <v>0</v>
      </c>
      <c r="I291" t="n">
        <v>0</v>
      </c>
      <c r="J291" t="n">
        <v>0</v>
      </c>
      <c r="K291" t="n">
        <v>0</v>
      </c>
      <c r="L291" t="n">
        <v>0</v>
      </c>
      <c r="M291" t="n">
        <v>0</v>
      </c>
      <c r="N291" t="n">
        <v>0</v>
      </c>
      <c r="O291" t="n">
        <v>0</v>
      </c>
      <c r="P291" t="n">
        <v>0</v>
      </c>
      <c r="Q291" t="n">
        <v>0</v>
      </c>
      <c r="R291" s="2" t="inlineStr"/>
    </row>
    <row r="292" ht="15" customHeight="1">
      <c r="A292" t="inlineStr">
        <is>
          <t>A 11034-2022</t>
        </is>
      </c>
      <c r="B292" s="1" t="n">
        <v>44628</v>
      </c>
      <c r="C292" s="1" t="n">
        <v>45270</v>
      </c>
      <c r="D292" t="inlineStr">
        <is>
          <t>VÄSTMANLANDS LÄN</t>
        </is>
      </c>
      <c r="E292" t="inlineStr">
        <is>
          <t>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11044-2022</t>
        </is>
      </c>
      <c r="B293" s="1" t="n">
        <v>44628</v>
      </c>
      <c r="C293" s="1" t="n">
        <v>45270</v>
      </c>
      <c r="D293" t="inlineStr">
        <is>
          <t>VÄSTMANLANDS LÄN</t>
        </is>
      </c>
      <c r="E293" t="inlineStr">
        <is>
          <t>KÖPING</t>
        </is>
      </c>
      <c r="G293" t="n">
        <v>3</v>
      </c>
      <c r="H293" t="n">
        <v>0</v>
      </c>
      <c r="I293" t="n">
        <v>0</v>
      </c>
      <c r="J293" t="n">
        <v>0</v>
      </c>
      <c r="K293" t="n">
        <v>0</v>
      </c>
      <c r="L293" t="n">
        <v>0</v>
      </c>
      <c r="M293" t="n">
        <v>0</v>
      </c>
      <c r="N293" t="n">
        <v>0</v>
      </c>
      <c r="O293" t="n">
        <v>0</v>
      </c>
      <c r="P293" t="n">
        <v>0</v>
      </c>
      <c r="Q293" t="n">
        <v>0</v>
      </c>
      <c r="R293" s="2" t="inlineStr"/>
    </row>
    <row r="294" ht="15" customHeight="1">
      <c r="A294" t="inlineStr">
        <is>
          <t>A 14667-2022</t>
        </is>
      </c>
      <c r="B294" s="1" t="n">
        <v>44655</v>
      </c>
      <c r="C294" s="1" t="n">
        <v>45270</v>
      </c>
      <c r="D294" t="inlineStr">
        <is>
          <t>VÄSTMANLANDS LÄN</t>
        </is>
      </c>
      <c r="E294" t="inlineStr">
        <is>
          <t>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14662-2022</t>
        </is>
      </c>
      <c r="B295" s="1" t="n">
        <v>44655</v>
      </c>
      <c r="C295" s="1" t="n">
        <v>45270</v>
      </c>
      <c r="D295" t="inlineStr">
        <is>
          <t>VÄSTMANLANDS LÄN</t>
        </is>
      </c>
      <c r="E295" t="inlineStr">
        <is>
          <t>KÖPING</t>
        </is>
      </c>
      <c r="G295" t="n">
        <v>2.5</v>
      </c>
      <c r="H295" t="n">
        <v>0</v>
      </c>
      <c r="I295" t="n">
        <v>0</v>
      </c>
      <c r="J295" t="n">
        <v>0</v>
      </c>
      <c r="K295" t="n">
        <v>0</v>
      </c>
      <c r="L295" t="n">
        <v>0</v>
      </c>
      <c r="M295" t="n">
        <v>0</v>
      </c>
      <c r="N295" t="n">
        <v>0</v>
      </c>
      <c r="O295" t="n">
        <v>0</v>
      </c>
      <c r="P295" t="n">
        <v>0</v>
      </c>
      <c r="Q295" t="n">
        <v>0</v>
      </c>
      <c r="R295" s="2" t="inlineStr"/>
    </row>
    <row r="296" ht="15" customHeight="1">
      <c r="A296" t="inlineStr">
        <is>
          <t>A 14663-2022</t>
        </is>
      </c>
      <c r="B296" s="1" t="n">
        <v>44655</v>
      </c>
      <c r="C296" s="1" t="n">
        <v>45270</v>
      </c>
      <c r="D296" t="inlineStr">
        <is>
          <t>VÄSTMANLANDS LÄN</t>
        </is>
      </c>
      <c r="E296" t="inlineStr">
        <is>
          <t>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14664-2022</t>
        </is>
      </c>
      <c r="B297" s="1" t="n">
        <v>44655</v>
      </c>
      <c r="C297" s="1" t="n">
        <v>45270</v>
      </c>
      <c r="D297" t="inlineStr">
        <is>
          <t>VÄSTMANLANDS LÄN</t>
        </is>
      </c>
      <c r="E297" t="inlineStr">
        <is>
          <t>KÖPING</t>
        </is>
      </c>
      <c r="G297" t="n">
        <v>1.2</v>
      </c>
      <c r="H297" t="n">
        <v>0</v>
      </c>
      <c r="I297" t="n">
        <v>0</v>
      </c>
      <c r="J297" t="n">
        <v>0</v>
      </c>
      <c r="K297" t="n">
        <v>0</v>
      </c>
      <c r="L297" t="n">
        <v>0</v>
      </c>
      <c r="M297" t="n">
        <v>0</v>
      </c>
      <c r="N297" t="n">
        <v>0</v>
      </c>
      <c r="O297" t="n">
        <v>0</v>
      </c>
      <c r="P297" t="n">
        <v>0</v>
      </c>
      <c r="Q297" t="n">
        <v>0</v>
      </c>
      <c r="R297" s="2" t="inlineStr"/>
    </row>
    <row r="298" ht="15" customHeight="1">
      <c r="A298" t="inlineStr">
        <is>
          <t>A 15165-2022</t>
        </is>
      </c>
      <c r="B298" s="1" t="n">
        <v>44658</v>
      </c>
      <c r="C298" s="1" t="n">
        <v>45270</v>
      </c>
      <c r="D298" t="inlineStr">
        <is>
          <t>VÄSTMANLANDS LÄN</t>
        </is>
      </c>
      <c r="E298" t="inlineStr">
        <is>
          <t>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15160-2022</t>
        </is>
      </c>
      <c r="B299" s="1" t="n">
        <v>44658</v>
      </c>
      <c r="C299" s="1" t="n">
        <v>45270</v>
      </c>
      <c r="D299" t="inlineStr">
        <is>
          <t>VÄSTMANLANDS LÄN</t>
        </is>
      </c>
      <c r="E299" t="inlineStr">
        <is>
          <t>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15158-2022</t>
        </is>
      </c>
      <c r="B300" s="1" t="n">
        <v>44658</v>
      </c>
      <c r="C300" s="1" t="n">
        <v>45270</v>
      </c>
      <c r="D300" t="inlineStr">
        <is>
          <t>VÄSTMANLANDS LÄN</t>
        </is>
      </c>
      <c r="E300" t="inlineStr">
        <is>
          <t>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15162-2022</t>
        </is>
      </c>
      <c r="B301" s="1" t="n">
        <v>44658</v>
      </c>
      <c r="C301" s="1" t="n">
        <v>45270</v>
      </c>
      <c r="D301" t="inlineStr">
        <is>
          <t>VÄSTMANLANDS LÄN</t>
        </is>
      </c>
      <c r="E301" t="inlineStr">
        <is>
          <t>KÖPING</t>
        </is>
      </c>
      <c r="G301" t="n">
        <v>4.6</v>
      </c>
      <c r="H301" t="n">
        <v>0</v>
      </c>
      <c r="I301" t="n">
        <v>0</v>
      </c>
      <c r="J301" t="n">
        <v>0</v>
      </c>
      <c r="K301" t="n">
        <v>0</v>
      </c>
      <c r="L301" t="n">
        <v>0</v>
      </c>
      <c r="M301" t="n">
        <v>0</v>
      </c>
      <c r="N301" t="n">
        <v>0</v>
      </c>
      <c r="O301" t="n">
        <v>0</v>
      </c>
      <c r="P301" t="n">
        <v>0</v>
      </c>
      <c r="Q301" t="n">
        <v>0</v>
      </c>
      <c r="R301" s="2" t="inlineStr"/>
    </row>
    <row r="302" ht="15" customHeight="1">
      <c r="A302" t="inlineStr">
        <is>
          <t>A 15716-2022</t>
        </is>
      </c>
      <c r="B302" s="1" t="n">
        <v>44663</v>
      </c>
      <c r="C302" s="1" t="n">
        <v>45270</v>
      </c>
      <c r="D302" t="inlineStr">
        <is>
          <t>VÄSTMANLANDS LÄN</t>
        </is>
      </c>
      <c r="E302" t="inlineStr">
        <is>
          <t>KÖPING</t>
        </is>
      </c>
      <c r="G302" t="n">
        <v>7</v>
      </c>
      <c r="H302" t="n">
        <v>0</v>
      </c>
      <c r="I302" t="n">
        <v>0</v>
      </c>
      <c r="J302" t="n">
        <v>0</v>
      </c>
      <c r="K302" t="n">
        <v>0</v>
      </c>
      <c r="L302" t="n">
        <v>0</v>
      </c>
      <c r="M302" t="n">
        <v>0</v>
      </c>
      <c r="N302" t="n">
        <v>0</v>
      </c>
      <c r="O302" t="n">
        <v>0</v>
      </c>
      <c r="P302" t="n">
        <v>0</v>
      </c>
      <c r="Q302" t="n">
        <v>0</v>
      </c>
      <c r="R302" s="2" t="inlineStr"/>
    </row>
    <row r="303" ht="15" customHeight="1">
      <c r="A303" t="inlineStr">
        <is>
          <t>A 16430-2022</t>
        </is>
      </c>
      <c r="B303" s="1" t="n">
        <v>44671</v>
      </c>
      <c r="C303" s="1" t="n">
        <v>45270</v>
      </c>
      <c r="D303" t="inlineStr">
        <is>
          <t>VÄSTMANLANDS LÄN</t>
        </is>
      </c>
      <c r="E303" t="inlineStr">
        <is>
          <t>KÖPING</t>
        </is>
      </c>
      <c r="G303" t="n">
        <v>3.3</v>
      </c>
      <c r="H303" t="n">
        <v>0</v>
      </c>
      <c r="I303" t="n">
        <v>0</v>
      </c>
      <c r="J303" t="n">
        <v>0</v>
      </c>
      <c r="K303" t="n">
        <v>0</v>
      </c>
      <c r="L303" t="n">
        <v>0</v>
      </c>
      <c r="M303" t="n">
        <v>0</v>
      </c>
      <c r="N303" t="n">
        <v>0</v>
      </c>
      <c r="O303" t="n">
        <v>0</v>
      </c>
      <c r="P303" t="n">
        <v>0</v>
      </c>
      <c r="Q303" t="n">
        <v>0</v>
      </c>
      <c r="R303" s="2" t="inlineStr"/>
    </row>
    <row r="304" ht="15" customHeight="1">
      <c r="A304" t="inlineStr">
        <is>
          <t>A 16693-2022</t>
        </is>
      </c>
      <c r="B304" s="1" t="n">
        <v>44673</v>
      </c>
      <c r="C304" s="1" t="n">
        <v>45270</v>
      </c>
      <c r="D304" t="inlineStr">
        <is>
          <t>VÄSTMANLANDS LÄN</t>
        </is>
      </c>
      <c r="E304" t="inlineStr">
        <is>
          <t>KÖPING</t>
        </is>
      </c>
      <c r="G304" t="n">
        <v>4.8</v>
      </c>
      <c r="H304" t="n">
        <v>0</v>
      </c>
      <c r="I304" t="n">
        <v>0</v>
      </c>
      <c r="J304" t="n">
        <v>0</v>
      </c>
      <c r="K304" t="n">
        <v>0</v>
      </c>
      <c r="L304" t="n">
        <v>0</v>
      </c>
      <c r="M304" t="n">
        <v>0</v>
      </c>
      <c r="N304" t="n">
        <v>0</v>
      </c>
      <c r="O304" t="n">
        <v>0</v>
      </c>
      <c r="P304" t="n">
        <v>0</v>
      </c>
      <c r="Q304" t="n">
        <v>0</v>
      </c>
      <c r="R304" s="2" t="inlineStr"/>
    </row>
    <row r="305" ht="15" customHeight="1">
      <c r="A305" t="inlineStr">
        <is>
          <t>A 17398-2022</t>
        </is>
      </c>
      <c r="B305" s="1" t="n">
        <v>44678</v>
      </c>
      <c r="C305" s="1" t="n">
        <v>45270</v>
      </c>
      <c r="D305" t="inlineStr">
        <is>
          <t>VÄSTMANLANDS LÄN</t>
        </is>
      </c>
      <c r="E305" t="inlineStr">
        <is>
          <t>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17345-2022</t>
        </is>
      </c>
      <c r="B306" s="1" t="n">
        <v>44678</v>
      </c>
      <c r="C306" s="1" t="n">
        <v>45270</v>
      </c>
      <c r="D306" t="inlineStr">
        <is>
          <t>VÄSTMANLANDS LÄN</t>
        </is>
      </c>
      <c r="E306" t="inlineStr">
        <is>
          <t>KÖPING</t>
        </is>
      </c>
      <c r="G306" t="n">
        <v>3.2</v>
      </c>
      <c r="H306" t="n">
        <v>0</v>
      </c>
      <c r="I306" t="n">
        <v>0</v>
      </c>
      <c r="J306" t="n">
        <v>0</v>
      </c>
      <c r="K306" t="n">
        <v>0</v>
      </c>
      <c r="L306" t="n">
        <v>0</v>
      </c>
      <c r="M306" t="n">
        <v>0</v>
      </c>
      <c r="N306" t="n">
        <v>0</v>
      </c>
      <c r="O306" t="n">
        <v>0</v>
      </c>
      <c r="P306" t="n">
        <v>0</v>
      </c>
      <c r="Q306" t="n">
        <v>0</v>
      </c>
      <c r="R306" s="2" t="inlineStr"/>
    </row>
    <row r="307" ht="15" customHeight="1">
      <c r="A307" t="inlineStr">
        <is>
          <t>A 17810-2022</t>
        </is>
      </c>
      <c r="B307" s="1" t="n">
        <v>44683</v>
      </c>
      <c r="C307" s="1" t="n">
        <v>45270</v>
      </c>
      <c r="D307" t="inlineStr">
        <is>
          <t>VÄSTMANLANDS LÄN</t>
        </is>
      </c>
      <c r="E307" t="inlineStr">
        <is>
          <t>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20798-2022</t>
        </is>
      </c>
      <c r="B308" s="1" t="n">
        <v>44701</v>
      </c>
      <c r="C308" s="1" t="n">
        <v>45270</v>
      </c>
      <c r="D308" t="inlineStr">
        <is>
          <t>VÄSTMANLANDS LÄN</t>
        </is>
      </c>
      <c r="E308" t="inlineStr">
        <is>
          <t>KÖPING</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20898-2022</t>
        </is>
      </c>
      <c r="B309" s="1" t="n">
        <v>44701</v>
      </c>
      <c r="C309" s="1" t="n">
        <v>45270</v>
      </c>
      <c r="D309" t="inlineStr">
        <is>
          <t>VÄSTMANLANDS LÄN</t>
        </is>
      </c>
      <c r="E309" t="inlineStr">
        <is>
          <t>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22182-2022</t>
        </is>
      </c>
      <c r="B310" s="1" t="n">
        <v>44712</v>
      </c>
      <c r="C310" s="1" t="n">
        <v>45270</v>
      </c>
      <c r="D310" t="inlineStr">
        <is>
          <t>VÄSTMANLANDS LÄN</t>
        </is>
      </c>
      <c r="E310" t="inlineStr">
        <is>
          <t>KÖPING</t>
        </is>
      </c>
      <c r="G310" t="n">
        <v>2.5</v>
      </c>
      <c r="H310" t="n">
        <v>0</v>
      </c>
      <c r="I310" t="n">
        <v>0</v>
      </c>
      <c r="J310" t="n">
        <v>0</v>
      </c>
      <c r="K310" t="n">
        <v>0</v>
      </c>
      <c r="L310" t="n">
        <v>0</v>
      </c>
      <c r="M310" t="n">
        <v>0</v>
      </c>
      <c r="N310" t="n">
        <v>0</v>
      </c>
      <c r="O310" t="n">
        <v>0</v>
      </c>
      <c r="P310" t="n">
        <v>0</v>
      </c>
      <c r="Q310" t="n">
        <v>0</v>
      </c>
      <c r="R310" s="2" t="inlineStr"/>
    </row>
    <row r="311" ht="15" customHeight="1">
      <c r="A311" t="inlineStr">
        <is>
          <t>A 23624-2022</t>
        </is>
      </c>
      <c r="B311" s="1" t="n">
        <v>44721</v>
      </c>
      <c r="C311" s="1" t="n">
        <v>45270</v>
      </c>
      <c r="D311" t="inlineStr">
        <is>
          <t>VÄSTMANLANDS LÄN</t>
        </is>
      </c>
      <c r="E311" t="inlineStr">
        <is>
          <t>KÖPING</t>
        </is>
      </c>
      <c r="G311" t="n">
        <v>14.1</v>
      </c>
      <c r="H311" t="n">
        <v>0</v>
      </c>
      <c r="I311" t="n">
        <v>0</v>
      </c>
      <c r="J311" t="n">
        <v>0</v>
      </c>
      <c r="K311" t="n">
        <v>0</v>
      </c>
      <c r="L311" t="n">
        <v>0</v>
      </c>
      <c r="M311" t="n">
        <v>0</v>
      </c>
      <c r="N311" t="n">
        <v>0</v>
      </c>
      <c r="O311" t="n">
        <v>0</v>
      </c>
      <c r="P311" t="n">
        <v>0</v>
      </c>
      <c r="Q311" t="n">
        <v>0</v>
      </c>
      <c r="R311" s="2" t="inlineStr"/>
    </row>
    <row r="312" ht="15" customHeight="1">
      <c r="A312" t="inlineStr">
        <is>
          <t>A 23791-2022</t>
        </is>
      </c>
      <c r="B312" s="1" t="n">
        <v>44722</v>
      </c>
      <c r="C312" s="1" t="n">
        <v>45270</v>
      </c>
      <c r="D312" t="inlineStr">
        <is>
          <t>VÄSTMANLANDS LÄN</t>
        </is>
      </c>
      <c r="E312" t="inlineStr">
        <is>
          <t>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23907-2022</t>
        </is>
      </c>
      <c r="B313" s="1" t="n">
        <v>44722</v>
      </c>
      <c r="C313" s="1" t="n">
        <v>45270</v>
      </c>
      <c r="D313" t="inlineStr">
        <is>
          <t>VÄSTMANLANDS LÄN</t>
        </is>
      </c>
      <c r="E313" t="inlineStr">
        <is>
          <t>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24073-2022</t>
        </is>
      </c>
      <c r="B314" s="1" t="n">
        <v>44725</v>
      </c>
      <c r="C314" s="1" t="n">
        <v>45270</v>
      </c>
      <c r="D314" t="inlineStr">
        <is>
          <t>VÄSTMANLANDS LÄN</t>
        </is>
      </c>
      <c r="E314" t="inlineStr">
        <is>
          <t>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24195-2022</t>
        </is>
      </c>
      <c r="B315" s="1" t="n">
        <v>44725</v>
      </c>
      <c r="C315" s="1" t="n">
        <v>45270</v>
      </c>
      <c r="D315" t="inlineStr">
        <is>
          <t>VÄSTMANLANDS LÄN</t>
        </is>
      </c>
      <c r="E315" t="inlineStr">
        <is>
          <t>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25322-2022</t>
        </is>
      </c>
      <c r="B316" s="1" t="n">
        <v>44731</v>
      </c>
      <c r="C316" s="1" t="n">
        <v>45270</v>
      </c>
      <c r="D316" t="inlineStr">
        <is>
          <t>VÄSTMANLANDS LÄN</t>
        </is>
      </c>
      <c r="E316" t="inlineStr">
        <is>
          <t>KÖPING</t>
        </is>
      </c>
      <c r="F316" t="inlineStr">
        <is>
          <t>Sveaskog</t>
        </is>
      </c>
      <c r="G316" t="n">
        <v>4.9</v>
      </c>
      <c r="H316" t="n">
        <v>0</v>
      </c>
      <c r="I316" t="n">
        <v>0</v>
      </c>
      <c r="J316" t="n">
        <v>0</v>
      </c>
      <c r="K316" t="n">
        <v>0</v>
      </c>
      <c r="L316" t="n">
        <v>0</v>
      </c>
      <c r="M316" t="n">
        <v>0</v>
      </c>
      <c r="N316" t="n">
        <v>0</v>
      </c>
      <c r="O316" t="n">
        <v>0</v>
      </c>
      <c r="P316" t="n">
        <v>0</v>
      </c>
      <c r="Q316" t="n">
        <v>0</v>
      </c>
      <c r="R316" s="2" t="inlineStr"/>
    </row>
    <row r="317" ht="15" customHeight="1">
      <c r="A317" t="inlineStr">
        <is>
          <t>A 25804-2022</t>
        </is>
      </c>
      <c r="B317" s="1" t="n">
        <v>44733</v>
      </c>
      <c r="C317" s="1" t="n">
        <v>45270</v>
      </c>
      <c r="D317" t="inlineStr">
        <is>
          <t>VÄSTMANLANDS LÄN</t>
        </is>
      </c>
      <c r="E317" t="inlineStr">
        <is>
          <t>KÖPING</t>
        </is>
      </c>
      <c r="G317" t="n">
        <v>2.4</v>
      </c>
      <c r="H317" t="n">
        <v>0</v>
      </c>
      <c r="I317" t="n">
        <v>0</v>
      </c>
      <c r="J317" t="n">
        <v>0</v>
      </c>
      <c r="K317" t="n">
        <v>0</v>
      </c>
      <c r="L317" t="n">
        <v>0</v>
      </c>
      <c r="M317" t="n">
        <v>0</v>
      </c>
      <c r="N317" t="n">
        <v>0</v>
      </c>
      <c r="O317" t="n">
        <v>0</v>
      </c>
      <c r="P317" t="n">
        <v>0</v>
      </c>
      <c r="Q317" t="n">
        <v>0</v>
      </c>
      <c r="R317" s="2" t="inlineStr"/>
    </row>
    <row r="318" ht="15" customHeight="1">
      <c r="A318" t="inlineStr">
        <is>
          <t>A 25789-2022</t>
        </is>
      </c>
      <c r="B318" s="1" t="n">
        <v>44733</v>
      </c>
      <c r="C318" s="1" t="n">
        <v>45270</v>
      </c>
      <c r="D318" t="inlineStr">
        <is>
          <t>VÄSTMANLANDS LÄN</t>
        </is>
      </c>
      <c r="E318" t="inlineStr">
        <is>
          <t>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25944-2022</t>
        </is>
      </c>
      <c r="B319" s="1" t="n">
        <v>44734</v>
      </c>
      <c r="C319" s="1" t="n">
        <v>45270</v>
      </c>
      <c r="D319" t="inlineStr">
        <is>
          <t>VÄSTMANLANDS LÄN</t>
        </is>
      </c>
      <c r="E319" t="inlineStr">
        <is>
          <t>KÖPING</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25971-2022</t>
        </is>
      </c>
      <c r="B320" s="1" t="n">
        <v>44734</v>
      </c>
      <c r="C320" s="1" t="n">
        <v>45270</v>
      </c>
      <c r="D320" t="inlineStr">
        <is>
          <t>VÄSTMANLANDS LÄN</t>
        </is>
      </c>
      <c r="E320" t="inlineStr">
        <is>
          <t>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27260-2022</t>
        </is>
      </c>
      <c r="B321" s="1" t="n">
        <v>44741</v>
      </c>
      <c r="C321" s="1" t="n">
        <v>45270</v>
      </c>
      <c r="D321" t="inlineStr">
        <is>
          <t>VÄSTMANLANDS LÄN</t>
        </is>
      </c>
      <c r="E321" t="inlineStr">
        <is>
          <t>KÖPING</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27261-2022</t>
        </is>
      </c>
      <c r="B322" s="1" t="n">
        <v>44741</v>
      </c>
      <c r="C322" s="1" t="n">
        <v>45270</v>
      </c>
      <c r="D322" t="inlineStr">
        <is>
          <t>VÄSTMANLANDS LÄN</t>
        </is>
      </c>
      <c r="E322" t="inlineStr">
        <is>
          <t>KÖPING</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27381-2022</t>
        </is>
      </c>
      <c r="B323" s="1" t="n">
        <v>44742</v>
      </c>
      <c r="C323" s="1" t="n">
        <v>45270</v>
      </c>
      <c r="D323" t="inlineStr">
        <is>
          <t>VÄSTMANLANDS LÄN</t>
        </is>
      </c>
      <c r="E323" t="inlineStr">
        <is>
          <t>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27749-2022</t>
        </is>
      </c>
      <c r="B324" s="1" t="n">
        <v>44743</v>
      </c>
      <c r="C324" s="1" t="n">
        <v>45270</v>
      </c>
      <c r="D324" t="inlineStr">
        <is>
          <t>VÄSTMANLANDS LÄN</t>
        </is>
      </c>
      <c r="E324" t="inlineStr">
        <is>
          <t>KÖPING</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29317-2022</t>
        </is>
      </c>
      <c r="B325" s="1" t="n">
        <v>44751</v>
      </c>
      <c r="C325" s="1" t="n">
        <v>45270</v>
      </c>
      <c r="D325" t="inlineStr">
        <is>
          <t>VÄSTMANLANDS LÄN</t>
        </is>
      </c>
      <c r="E325" t="inlineStr">
        <is>
          <t>KÖPING</t>
        </is>
      </c>
      <c r="G325" t="n">
        <v>2.1</v>
      </c>
      <c r="H325" t="n">
        <v>0</v>
      </c>
      <c r="I325" t="n">
        <v>0</v>
      </c>
      <c r="J325" t="n">
        <v>0</v>
      </c>
      <c r="K325" t="n">
        <v>0</v>
      </c>
      <c r="L325" t="n">
        <v>0</v>
      </c>
      <c r="M325" t="n">
        <v>0</v>
      </c>
      <c r="N325" t="n">
        <v>0</v>
      </c>
      <c r="O325" t="n">
        <v>0</v>
      </c>
      <c r="P325" t="n">
        <v>0</v>
      </c>
      <c r="Q325" t="n">
        <v>0</v>
      </c>
      <c r="R325" s="2" t="inlineStr"/>
    </row>
    <row r="326" ht="15" customHeight="1">
      <c r="A326" t="inlineStr">
        <is>
          <t>A 29448-2022</t>
        </is>
      </c>
      <c r="B326" s="1" t="n">
        <v>44753</v>
      </c>
      <c r="C326" s="1" t="n">
        <v>45270</v>
      </c>
      <c r="D326" t="inlineStr">
        <is>
          <t>VÄSTMANLANDS LÄN</t>
        </is>
      </c>
      <c r="E326" t="inlineStr">
        <is>
          <t>KÖPING</t>
        </is>
      </c>
      <c r="G326" t="n">
        <v>3.2</v>
      </c>
      <c r="H326" t="n">
        <v>0</v>
      </c>
      <c r="I326" t="n">
        <v>0</v>
      </c>
      <c r="J326" t="n">
        <v>0</v>
      </c>
      <c r="K326" t="n">
        <v>0</v>
      </c>
      <c r="L326" t="n">
        <v>0</v>
      </c>
      <c r="M326" t="n">
        <v>0</v>
      </c>
      <c r="N326" t="n">
        <v>0</v>
      </c>
      <c r="O326" t="n">
        <v>0</v>
      </c>
      <c r="P326" t="n">
        <v>0</v>
      </c>
      <c r="Q326" t="n">
        <v>0</v>
      </c>
      <c r="R326" s="2" t="inlineStr"/>
    </row>
    <row r="327" ht="15" customHeight="1">
      <c r="A327" t="inlineStr">
        <is>
          <t>A 29446-2022</t>
        </is>
      </c>
      <c r="B327" s="1" t="n">
        <v>44753</v>
      </c>
      <c r="C327" s="1" t="n">
        <v>45270</v>
      </c>
      <c r="D327" t="inlineStr">
        <is>
          <t>VÄSTMANLANDS LÄN</t>
        </is>
      </c>
      <c r="E327" t="inlineStr">
        <is>
          <t>KÖPING</t>
        </is>
      </c>
      <c r="G327" t="n">
        <v>2.8</v>
      </c>
      <c r="H327" t="n">
        <v>0</v>
      </c>
      <c r="I327" t="n">
        <v>0</v>
      </c>
      <c r="J327" t="n">
        <v>0</v>
      </c>
      <c r="K327" t="n">
        <v>0</v>
      </c>
      <c r="L327" t="n">
        <v>0</v>
      </c>
      <c r="M327" t="n">
        <v>0</v>
      </c>
      <c r="N327" t="n">
        <v>0</v>
      </c>
      <c r="O327" t="n">
        <v>0</v>
      </c>
      <c r="P327" t="n">
        <v>0</v>
      </c>
      <c r="Q327" t="n">
        <v>0</v>
      </c>
      <c r="R327" s="2" t="inlineStr"/>
    </row>
    <row r="328" ht="15" customHeight="1">
      <c r="A328" t="inlineStr">
        <is>
          <t>A 29445-2022</t>
        </is>
      </c>
      <c r="B328" s="1" t="n">
        <v>44753</v>
      </c>
      <c r="C328" s="1" t="n">
        <v>45270</v>
      </c>
      <c r="D328" t="inlineStr">
        <is>
          <t>VÄSTMANLANDS LÄN</t>
        </is>
      </c>
      <c r="E328" t="inlineStr">
        <is>
          <t>KÖPING</t>
        </is>
      </c>
      <c r="G328" t="n">
        <v>3.4</v>
      </c>
      <c r="H328" t="n">
        <v>0</v>
      </c>
      <c r="I328" t="n">
        <v>0</v>
      </c>
      <c r="J328" t="n">
        <v>0</v>
      </c>
      <c r="K328" t="n">
        <v>0</v>
      </c>
      <c r="L328" t="n">
        <v>0</v>
      </c>
      <c r="M328" t="n">
        <v>0</v>
      </c>
      <c r="N328" t="n">
        <v>0</v>
      </c>
      <c r="O328" t="n">
        <v>0</v>
      </c>
      <c r="P328" t="n">
        <v>0</v>
      </c>
      <c r="Q328" t="n">
        <v>0</v>
      </c>
      <c r="R328" s="2" t="inlineStr"/>
    </row>
    <row r="329" ht="15" customHeight="1">
      <c r="A329" t="inlineStr">
        <is>
          <t>A 29749-2022</t>
        </is>
      </c>
      <c r="B329" s="1" t="n">
        <v>44755</v>
      </c>
      <c r="C329" s="1" t="n">
        <v>45270</v>
      </c>
      <c r="D329" t="inlineStr">
        <is>
          <t>VÄSTMANLANDS LÄN</t>
        </is>
      </c>
      <c r="E329" t="inlineStr">
        <is>
          <t>KÖPING</t>
        </is>
      </c>
      <c r="G329" t="n">
        <v>1.4</v>
      </c>
      <c r="H329" t="n">
        <v>0</v>
      </c>
      <c r="I329" t="n">
        <v>0</v>
      </c>
      <c r="J329" t="n">
        <v>0</v>
      </c>
      <c r="K329" t="n">
        <v>0</v>
      </c>
      <c r="L329" t="n">
        <v>0</v>
      </c>
      <c r="M329" t="n">
        <v>0</v>
      </c>
      <c r="N329" t="n">
        <v>0</v>
      </c>
      <c r="O329" t="n">
        <v>0</v>
      </c>
      <c r="P329" t="n">
        <v>0</v>
      </c>
      <c r="Q329" t="n">
        <v>0</v>
      </c>
      <c r="R329" s="2" t="inlineStr"/>
    </row>
    <row r="330" ht="15" customHeight="1">
      <c r="A330" t="inlineStr">
        <is>
          <t>A 29752-2022</t>
        </is>
      </c>
      <c r="B330" s="1" t="n">
        <v>44755</v>
      </c>
      <c r="C330" s="1" t="n">
        <v>45270</v>
      </c>
      <c r="D330" t="inlineStr">
        <is>
          <t>VÄSTMANLANDS LÄN</t>
        </is>
      </c>
      <c r="E330" t="inlineStr">
        <is>
          <t>KÖPING</t>
        </is>
      </c>
      <c r="G330" t="n">
        <v>1.4</v>
      </c>
      <c r="H330" t="n">
        <v>0</v>
      </c>
      <c r="I330" t="n">
        <v>0</v>
      </c>
      <c r="J330" t="n">
        <v>0</v>
      </c>
      <c r="K330" t="n">
        <v>0</v>
      </c>
      <c r="L330" t="n">
        <v>0</v>
      </c>
      <c r="M330" t="n">
        <v>0</v>
      </c>
      <c r="N330" t="n">
        <v>0</v>
      </c>
      <c r="O330" t="n">
        <v>0</v>
      </c>
      <c r="P330" t="n">
        <v>0</v>
      </c>
      <c r="Q330" t="n">
        <v>0</v>
      </c>
      <c r="R330" s="2" t="inlineStr"/>
    </row>
    <row r="331" ht="15" customHeight="1">
      <c r="A331" t="inlineStr">
        <is>
          <t>A 29934-2022</t>
        </is>
      </c>
      <c r="B331" s="1" t="n">
        <v>44757</v>
      </c>
      <c r="C331" s="1" t="n">
        <v>45270</v>
      </c>
      <c r="D331" t="inlineStr">
        <is>
          <t>VÄSTMANLANDS LÄN</t>
        </is>
      </c>
      <c r="E331" t="inlineStr">
        <is>
          <t>KÖPING</t>
        </is>
      </c>
      <c r="G331" t="n">
        <v>5.1</v>
      </c>
      <c r="H331" t="n">
        <v>0</v>
      </c>
      <c r="I331" t="n">
        <v>0</v>
      </c>
      <c r="J331" t="n">
        <v>0</v>
      </c>
      <c r="K331" t="n">
        <v>0</v>
      </c>
      <c r="L331" t="n">
        <v>0</v>
      </c>
      <c r="M331" t="n">
        <v>0</v>
      </c>
      <c r="N331" t="n">
        <v>0</v>
      </c>
      <c r="O331" t="n">
        <v>0</v>
      </c>
      <c r="P331" t="n">
        <v>0</v>
      </c>
      <c r="Q331" t="n">
        <v>0</v>
      </c>
      <c r="R331" s="2" t="inlineStr"/>
    </row>
    <row r="332" ht="15" customHeight="1">
      <c r="A332" t="inlineStr">
        <is>
          <t>A 30079-2022</t>
        </is>
      </c>
      <c r="B332" s="1" t="n">
        <v>44757</v>
      </c>
      <c r="C332" s="1" t="n">
        <v>45270</v>
      </c>
      <c r="D332" t="inlineStr">
        <is>
          <t>VÄSTMANLANDS LÄN</t>
        </is>
      </c>
      <c r="E332" t="inlineStr">
        <is>
          <t>KÖPING</t>
        </is>
      </c>
      <c r="G332" t="n">
        <v>2.3</v>
      </c>
      <c r="H332" t="n">
        <v>0</v>
      </c>
      <c r="I332" t="n">
        <v>0</v>
      </c>
      <c r="J332" t="n">
        <v>0</v>
      </c>
      <c r="K332" t="n">
        <v>0</v>
      </c>
      <c r="L332" t="n">
        <v>0</v>
      </c>
      <c r="M332" t="n">
        <v>0</v>
      </c>
      <c r="N332" t="n">
        <v>0</v>
      </c>
      <c r="O332" t="n">
        <v>0</v>
      </c>
      <c r="P332" t="n">
        <v>0</v>
      </c>
      <c r="Q332" t="n">
        <v>0</v>
      </c>
      <c r="R332" s="2" t="inlineStr"/>
    </row>
    <row r="333" ht="15" customHeight="1">
      <c r="A333" t="inlineStr">
        <is>
          <t>A 30141-2022</t>
        </is>
      </c>
      <c r="B333" s="1" t="n">
        <v>44757</v>
      </c>
      <c r="C333" s="1" t="n">
        <v>45270</v>
      </c>
      <c r="D333" t="inlineStr">
        <is>
          <t>VÄSTMANLANDS LÄN</t>
        </is>
      </c>
      <c r="E333" t="inlineStr">
        <is>
          <t>KÖPING</t>
        </is>
      </c>
      <c r="G333" t="n">
        <v>1.2</v>
      </c>
      <c r="H333" t="n">
        <v>0</v>
      </c>
      <c r="I333" t="n">
        <v>0</v>
      </c>
      <c r="J333" t="n">
        <v>0</v>
      </c>
      <c r="K333" t="n">
        <v>0</v>
      </c>
      <c r="L333" t="n">
        <v>0</v>
      </c>
      <c r="M333" t="n">
        <v>0</v>
      </c>
      <c r="N333" t="n">
        <v>0</v>
      </c>
      <c r="O333" t="n">
        <v>0</v>
      </c>
      <c r="P333" t="n">
        <v>0</v>
      </c>
      <c r="Q333" t="n">
        <v>0</v>
      </c>
      <c r="R333" s="2" t="inlineStr"/>
    </row>
    <row r="334" ht="15" customHeight="1">
      <c r="A334" t="inlineStr">
        <is>
          <t>A 30147-2022</t>
        </is>
      </c>
      <c r="B334" s="1" t="n">
        <v>44757</v>
      </c>
      <c r="C334" s="1" t="n">
        <v>45270</v>
      </c>
      <c r="D334" t="inlineStr">
        <is>
          <t>VÄSTMANLANDS LÄN</t>
        </is>
      </c>
      <c r="E334" t="inlineStr">
        <is>
          <t>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31161-2022</t>
        </is>
      </c>
      <c r="B335" s="1" t="n">
        <v>44770</v>
      </c>
      <c r="C335" s="1" t="n">
        <v>45270</v>
      </c>
      <c r="D335" t="inlineStr">
        <is>
          <t>VÄSTMANLANDS LÄN</t>
        </is>
      </c>
      <c r="E335" t="inlineStr">
        <is>
          <t>KÖPING</t>
        </is>
      </c>
      <c r="G335" t="n">
        <v>6.1</v>
      </c>
      <c r="H335" t="n">
        <v>0</v>
      </c>
      <c r="I335" t="n">
        <v>0</v>
      </c>
      <c r="J335" t="n">
        <v>0</v>
      </c>
      <c r="K335" t="n">
        <v>0</v>
      </c>
      <c r="L335" t="n">
        <v>0</v>
      </c>
      <c r="M335" t="n">
        <v>0</v>
      </c>
      <c r="N335" t="n">
        <v>0</v>
      </c>
      <c r="O335" t="n">
        <v>0</v>
      </c>
      <c r="P335" t="n">
        <v>0</v>
      </c>
      <c r="Q335" t="n">
        <v>0</v>
      </c>
      <c r="R335" s="2" t="inlineStr"/>
    </row>
    <row r="336" ht="15" customHeight="1">
      <c r="A336" t="inlineStr">
        <is>
          <t>A 31193-2022</t>
        </is>
      </c>
      <c r="B336" s="1" t="n">
        <v>44770</v>
      </c>
      <c r="C336" s="1" t="n">
        <v>45270</v>
      </c>
      <c r="D336" t="inlineStr">
        <is>
          <t>VÄSTMANLANDS LÄN</t>
        </is>
      </c>
      <c r="E336" t="inlineStr">
        <is>
          <t>KÖPING</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31319-2022</t>
        </is>
      </c>
      <c r="B337" s="1" t="n">
        <v>44774</v>
      </c>
      <c r="C337" s="1" t="n">
        <v>45270</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33156-2022</t>
        </is>
      </c>
      <c r="B338" s="1" t="n">
        <v>44785</v>
      </c>
      <c r="C338" s="1" t="n">
        <v>45270</v>
      </c>
      <c r="D338" t="inlineStr">
        <is>
          <t>VÄSTMANLANDS LÄN</t>
        </is>
      </c>
      <c r="E338" t="inlineStr">
        <is>
          <t>KÖPING</t>
        </is>
      </c>
      <c r="F338" t="inlineStr">
        <is>
          <t>Sveaskog</t>
        </is>
      </c>
      <c r="G338" t="n">
        <v>2.7</v>
      </c>
      <c r="H338" t="n">
        <v>0</v>
      </c>
      <c r="I338" t="n">
        <v>0</v>
      </c>
      <c r="J338" t="n">
        <v>0</v>
      </c>
      <c r="K338" t="n">
        <v>0</v>
      </c>
      <c r="L338" t="n">
        <v>0</v>
      </c>
      <c r="M338" t="n">
        <v>0</v>
      </c>
      <c r="N338" t="n">
        <v>0</v>
      </c>
      <c r="O338" t="n">
        <v>0</v>
      </c>
      <c r="P338" t="n">
        <v>0</v>
      </c>
      <c r="Q338" t="n">
        <v>0</v>
      </c>
      <c r="R338" s="2" t="inlineStr"/>
    </row>
    <row r="339" ht="15" customHeight="1">
      <c r="A339" t="inlineStr">
        <is>
          <t>A 33433-2022</t>
        </is>
      </c>
      <c r="B339" s="1" t="n">
        <v>44788</v>
      </c>
      <c r="C339" s="1" t="n">
        <v>45270</v>
      </c>
      <c r="D339" t="inlineStr">
        <is>
          <t>VÄSTMANLANDS LÄN</t>
        </is>
      </c>
      <c r="E339" t="inlineStr">
        <is>
          <t>KÖPING</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35108-2022</t>
        </is>
      </c>
      <c r="B340" s="1" t="n">
        <v>44797</v>
      </c>
      <c r="C340" s="1" t="n">
        <v>45270</v>
      </c>
      <c r="D340" t="inlineStr">
        <is>
          <t>VÄSTMANLANDS LÄN</t>
        </is>
      </c>
      <c r="E340" t="inlineStr">
        <is>
          <t>KÖPING</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35144-2022</t>
        </is>
      </c>
      <c r="B341" s="1" t="n">
        <v>44797</v>
      </c>
      <c r="C341" s="1" t="n">
        <v>45270</v>
      </c>
      <c r="D341" t="inlineStr">
        <is>
          <t>VÄSTMANLANDS LÄN</t>
        </is>
      </c>
      <c r="E341" t="inlineStr">
        <is>
          <t>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36504-2022</t>
        </is>
      </c>
      <c r="B342" s="1" t="n">
        <v>44804</v>
      </c>
      <c r="C342" s="1" t="n">
        <v>45270</v>
      </c>
      <c r="D342" t="inlineStr">
        <is>
          <t>VÄSTMANLANDS LÄN</t>
        </is>
      </c>
      <c r="E342" t="inlineStr">
        <is>
          <t>KÖPING</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37447-2022</t>
        </is>
      </c>
      <c r="B343" s="1" t="n">
        <v>44809</v>
      </c>
      <c r="C343" s="1" t="n">
        <v>45270</v>
      </c>
      <c r="D343" t="inlineStr">
        <is>
          <t>VÄSTMANLANDS LÄN</t>
        </is>
      </c>
      <c r="E343" t="inlineStr">
        <is>
          <t>KÖPING</t>
        </is>
      </c>
      <c r="G343" t="n">
        <v>7.2</v>
      </c>
      <c r="H343" t="n">
        <v>0</v>
      </c>
      <c r="I343" t="n">
        <v>0</v>
      </c>
      <c r="J343" t="n">
        <v>0</v>
      </c>
      <c r="K343" t="n">
        <v>0</v>
      </c>
      <c r="L343" t="n">
        <v>0</v>
      </c>
      <c r="M343" t="n">
        <v>0</v>
      </c>
      <c r="N343" t="n">
        <v>0</v>
      </c>
      <c r="O343" t="n">
        <v>0</v>
      </c>
      <c r="P343" t="n">
        <v>0</v>
      </c>
      <c r="Q343" t="n">
        <v>0</v>
      </c>
      <c r="R343" s="2" t="inlineStr"/>
    </row>
    <row r="344" ht="15" customHeight="1">
      <c r="A344" t="inlineStr">
        <is>
          <t>A 37660-2022</t>
        </is>
      </c>
      <c r="B344" s="1" t="n">
        <v>44810</v>
      </c>
      <c r="C344" s="1" t="n">
        <v>45270</v>
      </c>
      <c r="D344" t="inlineStr">
        <is>
          <t>VÄSTMANLANDS LÄN</t>
        </is>
      </c>
      <c r="E344" t="inlineStr">
        <is>
          <t>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37730-2022</t>
        </is>
      </c>
      <c r="B345" s="1" t="n">
        <v>44810</v>
      </c>
      <c r="C345" s="1" t="n">
        <v>45270</v>
      </c>
      <c r="D345" t="inlineStr">
        <is>
          <t>VÄSTMANLANDS LÄN</t>
        </is>
      </c>
      <c r="E345" t="inlineStr">
        <is>
          <t>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37751-2022</t>
        </is>
      </c>
      <c r="B346" s="1" t="n">
        <v>44810</v>
      </c>
      <c r="C346" s="1" t="n">
        <v>45270</v>
      </c>
      <c r="D346" t="inlineStr">
        <is>
          <t>VÄSTMANLANDS LÄN</t>
        </is>
      </c>
      <c r="E346" t="inlineStr">
        <is>
          <t>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37776-2022</t>
        </is>
      </c>
      <c r="B347" s="1" t="n">
        <v>44810</v>
      </c>
      <c r="C347" s="1" t="n">
        <v>45270</v>
      </c>
      <c r="D347" t="inlineStr">
        <is>
          <t>VÄSTMANLANDS LÄN</t>
        </is>
      </c>
      <c r="E347" t="inlineStr">
        <is>
          <t>KÖPING</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41059-2022</t>
        </is>
      </c>
      <c r="B348" s="1" t="n">
        <v>44825</v>
      </c>
      <c r="C348" s="1" t="n">
        <v>45270</v>
      </c>
      <c r="D348" t="inlineStr">
        <is>
          <t>VÄSTMANLANDS LÄN</t>
        </is>
      </c>
      <c r="E348" t="inlineStr">
        <is>
          <t>KÖPING</t>
        </is>
      </c>
      <c r="G348" t="n">
        <v>1.4</v>
      </c>
      <c r="H348" t="n">
        <v>0</v>
      </c>
      <c r="I348" t="n">
        <v>0</v>
      </c>
      <c r="J348" t="n">
        <v>0</v>
      </c>
      <c r="K348" t="n">
        <v>0</v>
      </c>
      <c r="L348" t="n">
        <v>0</v>
      </c>
      <c r="M348" t="n">
        <v>0</v>
      </c>
      <c r="N348" t="n">
        <v>0</v>
      </c>
      <c r="O348" t="n">
        <v>0</v>
      </c>
      <c r="P348" t="n">
        <v>0</v>
      </c>
      <c r="Q348" t="n">
        <v>0</v>
      </c>
      <c r="R348" s="2" t="inlineStr"/>
    </row>
    <row r="349" ht="15" customHeight="1">
      <c r="A349" t="inlineStr">
        <is>
          <t>A 41032-2022</t>
        </is>
      </c>
      <c r="B349" s="1" t="n">
        <v>44825</v>
      </c>
      <c r="C349" s="1" t="n">
        <v>45270</v>
      </c>
      <c r="D349" t="inlineStr">
        <is>
          <t>VÄSTMANLANDS LÄN</t>
        </is>
      </c>
      <c r="E349" t="inlineStr">
        <is>
          <t>KÖPING</t>
        </is>
      </c>
      <c r="G349" t="n">
        <v>3.2</v>
      </c>
      <c r="H349" t="n">
        <v>0</v>
      </c>
      <c r="I349" t="n">
        <v>0</v>
      </c>
      <c r="J349" t="n">
        <v>0</v>
      </c>
      <c r="K349" t="n">
        <v>0</v>
      </c>
      <c r="L349" t="n">
        <v>0</v>
      </c>
      <c r="M349" t="n">
        <v>0</v>
      </c>
      <c r="N349" t="n">
        <v>0</v>
      </c>
      <c r="O349" t="n">
        <v>0</v>
      </c>
      <c r="P349" t="n">
        <v>0</v>
      </c>
      <c r="Q349" t="n">
        <v>0</v>
      </c>
      <c r="R349" s="2" t="inlineStr"/>
    </row>
    <row r="350" ht="15" customHeight="1">
      <c r="A350" t="inlineStr">
        <is>
          <t>A 41052-2022</t>
        </is>
      </c>
      <c r="B350" s="1" t="n">
        <v>44825</v>
      </c>
      <c r="C350" s="1" t="n">
        <v>45270</v>
      </c>
      <c r="D350" t="inlineStr">
        <is>
          <t>VÄSTMANLANDS LÄN</t>
        </is>
      </c>
      <c r="E350" t="inlineStr">
        <is>
          <t>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41064-2022</t>
        </is>
      </c>
      <c r="B351" s="1" t="n">
        <v>44825</v>
      </c>
      <c r="C351" s="1" t="n">
        <v>45270</v>
      </c>
      <c r="D351" t="inlineStr">
        <is>
          <t>VÄSTMANLANDS LÄN</t>
        </is>
      </c>
      <c r="E351" t="inlineStr">
        <is>
          <t>KÖPING</t>
        </is>
      </c>
      <c r="G351" t="n">
        <v>5.6</v>
      </c>
      <c r="H351" t="n">
        <v>0</v>
      </c>
      <c r="I351" t="n">
        <v>0</v>
      </c>
      <c r="J351" t="n">
        <v>0</v>
      </c>
      <c r="K351" t="n">
        <v>0</v>
      </c>
      <c r="L351" t="n">
        <v>0</v>
      </c>
      <c r="M351" t="n">
        <v>0</v>
      </c>
      <c r="N351" t="n">
        <v>0</v>
      </c>
      <c r="O351" t="n">
        <v>0</v>
      </c>
      <c r="P351" t="n">
        <v>0</v>
      </c>
      <c r="Q351" t="n">
        <v>0</v>
      </c>
      <c r="R351" s="2" t="inlineStr"/>
    </row>
    <row r="352" ht="15" customHeight="1">
      <c r="A352" t="inlineStr">
        <is>
          <t>A 41160-2022</t>
        </is>
      </c>
      <c r="B352" s="1" t="n">
        <v>44825</v>
      </c>
      <c r="C352" s="1" t="n">
        <v>45270</v>
      </c>
      <c r="D352" t="inlineStr">
        <is>
          <t>VÄSTMANLANDS LÄN</t>
        </is>
      </c>
      <c r="E352" t="inlineStr">
        <is>
          <t>KÖPING</t>
        </is>
      </c>
      <c r="G352" t="n">
        <v>1.7</v>
      </c>
      <c r="H352" t="n">
        <v>0</v>
      </c>
      <c r="I352" t="n">
        <v>0</v>
      </c>
      <c r="J352" t="n">
        <v>0</v>
      </c>
      <c r="K352" t="n">
        <v>0</v>
      </c>
      <c r="L352" t="n">
        <v>0</v>
      </c>
      <c r="M352" t="n">
        <v>0</v>
      </c>
      <c r="N352" t="n">
        <v>0</v>
      </c>
      <c r="O352" t="n">
        <v>0</v>
      </c>
      <c r="P352" t="n">
        <v>0</v>
      </c>
      <c r="Q352" t="n">
        <v>0</v>
      </c>
      <c r="R352" s="2" t="inlineStr"/>
    </row>
    <row r="353" ht="15" customHeight="1">
      <c r="A353" t="inlineStr">
        <is>
          <t>A 41583-2022</t>
        </is>
      </c>
      <c r="B353" s="1" t="n">
        <v>44827</v>
      </c>
      <c r="C353" s="1" t="n">
        <v>45270</v>
      </c>
      <c r="D353" t="inlineStr">
        <is>
          <t>VÄSTMANLANDS LÄN</t>
        </is>
      </c>
      <c r="E353" t="inlineStr">
        <is>
          <t>KÖPING</t>
        </is>
      </c>
      <c r="F353" t="inlineStr">
        <is>
          <t>Sveaskog</t>
        </is>
      </c>
      <c r="G353" t="n">
        <v>2</v>
      </c>
      <c r="H353" t="n">
        <v>0</v>
      </c>
      <c r="I353" t="n">
        <v>0</v>
      </c>
      <c r="J353" t="n">
        <v>0</v>
      </c>
      <c r="K353" t="n">
        <v>0</v>
      </c>
      <c r="L353" t="n">
        <v>0</v>
      </c>
      <c r="M353" t="n">
        <v>0</v>
      </c>
      <c r="N353" t="n">
        <v>0</v>
      </c>
      <c r="O353" t="n">
        <v>0</v>
      </c>
      <c r="P353" t="n">
        <v>0</v>
      </c>
      <c r="Q353" t="n">
        <v>0</v>
      </c>
      <c r="R353" s="2" t="inlineStr"/>
    </row>
    <row r="354" ht="15" customHeight="1">
      <c r="A354" t="inlineStr">
        <is>
          <t>A 42491-2022</t>
        </is>
      </c>
      <c r="B354" s="1" t="n">
        <v>44831</v>
      </c>
      <c r="C354" s="1" t="n">
        <v>45270</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43303-2022</t>
        </is>
      </c>
      <c r="B355" s="1" t="n">
        <v>44834</v>
      </c>
      <c r="C355" s="1" t="n">
        <v>45270</v>
      </c>
      <c r="D355" t="inlineStr">
        <is>
          <t>VÄSTMANLANDS LÄN</t>
        </is>
      </c>
      <c r="E355" t="inlineStr">
        <is>
          <t>KÖPING</t>
        </is>
      </c>
      <c r="G355" t="n">
        <v>2.6</v>
      </c>
      <c r="H355" t="n">
        <v>0</v>
      </c>
      <c r="I355" t="n">
        <v>0</v>
      </c>
      <c r="J355" t="n">
        <v>0</v>
      </c>
      <c r="K355" t="n">
        <v>0</v>
      </c>
      <c r="L355" t="n">
        <v>0</v>
      </c>
      <c r="M355" t="n">
        <v>0</v>
      </c>
      <c r="N355" t="n">
        <v>0</v>
      </c>
      <c r="O355" t="n">
        <v>0</v>
      </c>
      <c r="P355" t="n">
        <v>0</v>
      </c>
      <c r="Q355" t="n">
        <v>0</v>
      </c>
      <c r="R355" s="2" t="inlineStr"/>
    </row>
    <row r="356" ht="15" customHeight="1">
      <c r="A356" t="inlineStr">
        <is>
          <t>A 43567-2022</t>
        </is>
      </c>
      <c r="B356" s="1" t="n">
        <v>44837</v>
      </c>
      <c r="C356" s="1" t="n">
        <v>45270</v>
      </c>
      <c r="D356" t="inlineStr">
        <is>
          <t>VÄSTMANLANDS LÄN</t>
        </is>
      </c>
      <c r="E356" t="inlineStr">
        <is>
          <t>KÖPING</t>
        </is>
      </c>
      <c r="G356" t="n">
        <v>4.5</v>
      </c>
      <c r="H356" t="n">
        <v>0</v>
      </c>
      <c r="I356" t="n">
        <v>0</v>
      </c>
      <c r="J356" t="n">
        <v>0</v>
      </c>
      <c r="K356" t="n">
        <v>0</v>
      </c>
      <c r="L356" t="n">
        <v>0</v>
      </c>
      <c r="M356" t="n">
        <v>0</v>
      </c>
      <c r="N356" t="n">
        <v>0</v>
      </c>
      <c r="O356" t="n">
        <v>0</v>
      </c>
      <c r="P356" t="n">
        <v>0</v>
      </c>
      <c r="Q356" t="n">
        <v>0</v>
      </c>
      <c r="R356" s="2" t="inlineStr"/>
    </row>
    <row r="357" ht="15" customHeight="1">
      <c r="A357" t="inlineStr">
        <is>
          <t>A 44408-2022</t>
        </is>
      </c>
      <c r="B357" s="1" t="n">
        <v>44839</v>
      </c>
      <c r="C357" s="1" t="n">
        <v>45270</v>
      </c>
      <c r="D357" t="inlineStr">
        <is>
          <t>VÄSTMANLANDS LÄN</t>
        </is>
      </c>
      <c r="E357" t="inlineStr">
        <is>
          <t>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44370-2022</t>
        </is>
      </c>
      <c r="B358" s="1" t="n">
        <v>44839</v>
      </c>
      <c r="C358" s="1" t="n">
        <v>45270</v>
      </c>
      <c r="D358" t="inlineStr">
        <is>
          <t>VÄSTMANLANDS LÄN</t>
        </is>
      </c>
      <c r="E358" t="inlineStr">
        <is>
          <t>KÖPING</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44906-2022</t>
        </is>
      </c>
      <c r="B359" s="1" t="n">
        <v>44840</v>
      </c>
      <c r="C359" s="1" t="n">
        <v>45270</v>
      </c>
      <c r="D359" t="inlineStr">
        <is>
          <t>VÄSTMANLANDS LÄN</t>
        </is>
      </c>
      <c r="E359" t="inlineStr">
        <is>
          <t>KÖPING</t>
        </is>
      </c>
      <c r="G359" t="n">
        <v>3.6</v>
      </c>
      <c r="H359" t="n">
        <v>0</v>
      </c>
      <c r="I359" t="n">
        <v>0</v>
      </c>
      <c r="J359" t="n">
        <v>0</v>
      </c>
      <c r="K359" t="n">
        <v>0</v>
      </c>
      <c r="L359" t="n">
        <v>0</v>
      </c>
      <c r="M359" t="n">
        <v>0</v>
      </c>
      <c r="N359" t="n">
        <v>0</v>
      </c>
      <c r="O359" t="n">
        <v>0</v>
      </c>
      <c r="P359" t="n">
        <v>0</v>
      </c>
      <c r="Q359" t="n">
        <v>0</v>
      </c>
      <c r="R359" s="2" t="inlineStr"/>
    </row>
    <row r="360" ht="15" customHeight="1">
      <c r="A360" t="inlineStr">
        <is>
          <t>A 46123-2022</t>
        </is>
      </c>
      <c r="B360" s="1" t="n">
        <v>44847</v>
      </c>
      <c r="C360" s="1" t="n">
        <v>45270</v>
      </c>
      <c r="D360" t="inlineStr">
        <is>
          <t>VÄSTMANLANDS LÄN</t>
        </is>
      </c>
      <c r="E360" t="inlineStr">
        <is>
          <t>KÖPING</t>
        </is>
      </c>
      <c r="G360" t="n">
        <v>4.2</v>
      </c>
      <c r="H360" t="n">
        <v>0</v>
      </c>
      <c r="I360" t="n">
        <v>0</v>
      </c>
      <c r="J360" t="n">
        <v>0</v>
      </c>
      <c r="K360" t="n">
        <v>0</v>
      </c>
      <c r="L360" t="n">
        <v>0</v>
      </c>
      <c r="M360" t="n">
        <v>0</v>
      </c>
      <c r="N360" t="n">
        <v>0</v>
      </c>
      <c r="O360" t="n">
        <v>0</v>
      </c>
      <c r="P360" t="n">
        <v>0</v>
      </c>
      <c r="Q360" t="n">
        <v>0</v>
      </c>
      <c r="R360" s="2" t="inlineStr"/>
    </row>
    <row r="361" ht="15" customHeight="1">
      <c r="A361" t="inlineStr">
        <is>
          <t>A 46114-2022</t>
        </is>
      </c>
      <c r="B361" s="1" t="n">
        <v>44847</v>
      </c>
      <c r="C361" s="1" t="n">
        <v>45270</v>
      </c>
      <c r="D361" t="inlineStr">
        <is>
          <t>VÄSTMANLANDS LÄN</t>
        </is>
      </c>
      <c r="E361" t="inlineStr">
        <is>
          <t>KÖPING</t>
        </is>
      </c>
      <c r="G361" t="n">
        <v>1.1</v>
      </c>
      <c r="H361" t="n">
        <v>0</v>
      </c>
      <c r="I361" t="n">
        <v>0</v>
      </c>
      <c r="J361" t="n">
        <v>0</v>
      </c>
      <c r="K361" t="n">
        <v>0</v>
      </c>
      <c r="L361" t="n">
        <v>0</v>
      </c>
      <c r="M361" t="n">
        <v>0</v>
      </c>
      <c r="N361" t="n">
        <v>0</v>
      </c>
      <c r="O361" t="n">
        <v>0</v>
      </c>
      <c r="P361" t="n">
        <v>0</v>
      </c>
      <c r="Q361" t="n">
        <v>0</v>
      </c>
      <c r="R361" s="2" t="inlineStr"/>
    </row>
    <row r="362" ht="15" customHeight="1">
      <c r="A362" t="inlineStr">
        <is>
          <t>A 46124-2022</t>
        </is>
      </c>
      <c r="B362" s="1" t="n">
        <v>44847</v>
      </c>
      <c r="C362" s="1" t="n">
        <v>45270</v>
      </c>
      <c r="D362" t="inlineStr">
        <is>
          <t>VÄSTMANLANDS LÄN</t>
        </is>
      </c>
      <c r="E362" t="inlineStr">
        <is>
          <t>KÖPING</t>
        </is>
      </c>
      <c r="G362" t="n">
        <v>8</v>
      </c>
      <c r="H362" t="n">
        <v>0</v>
      </c>
      <c r="I362" t="n">
        <v>0</v>
      </c>
      <c r="J362" t="n">
        <v>0</v>
      </c>
      <c r="K362" t="n">
        <v>0</v>
      </c>
      <c r="L362" t="n">
        <v>0</v>
      </c>
      <c r="M362" t="n">
        <v>0</v>
      </c>
      <c r="N362" t="n">
        <v>0</v>
      </c>
      <c r="O362" t="n">
        <v>0</v>
      </c>
      <c r="P362" t="n">
        <v>0</v>
      </c>
      <c r="Q362" t="n">
        <v>0</v>
      </c>
      <c r="R362" s="2" t="inlineStr"/>
    </row>
    <row r="363" ht="15" customHeight="1">
      <c r="A363" t="inlineStr">
        <is>
          <t>A 46126-2022</t>
        </is>
      </c>
      <c r="B363" s="1" t="n">
        <v>44847</v>
      </c>
      <c r="C363" s="1" t="n">
        <v>45270</v>
      </c>
      <c r="D363" t="inlineStr">
        <is>
          <t>VÄSTMANLANDS LÄN</t>
        </is>
      </c>
      <c r="E363" t="inlineStr">
        <is>
          <t>KÖPING</t>
        </is>
      </c>
      <c r="G363" t="n">
        <v>17.5</v>
      </c>
      <c r="H363" t="n">
        <v>0</v>
      </c>
      <c r="I363" t="n">
        <v>0</v>
      </c>
      <c r="J363" t="n">
        <v>0</v>
      </c>
      <c r="K363" t="n">
        <v>0</v>
      </c>
      <c r="L363" t="n">
        <v>0</v>
      </c>
      <c r="M363" t="n">
        <v>0</v>
      </c>
      <c r="N363" t="n">
        <v>0</v>
      </c>
      <c r="O363" t="n">
        <v>0</v>
      </c>
      <c r="P363" t="n">
        <v>0</v>
      </c>
      <c r="Q363" t="n">
        <v>0</v>
      </c>
      <c r="R363" s="2" t="inlineStr"/>
    </row>
    <row r="364" ht="15" customHeight="1">
      <c r="A364" t="inlineStr">
        <is>
          <t>A 47923-2022</t>
        </is>
      </c>
      <c r="B364" s="1" t="n">
        <v>44855</v>
      </c>
      <c r="C364" s="1" t="n">
        <v>45270</v>
      </c>
      <c r="D364" t="inlineStr">
        <is>
          <t>VÄSTMANLANDS LÄN</t>
        </is>
      </c>
      <c r="E364" t="inlineStr">
        <is>
          <t>KÖPING</t>
        </is>
      </c>
      <c r="G364" t="n">
        <v>4.8</v>
      </c>
      <c r="H364" t="n">
        <v>0</v>
      </c>
      <c r="I364" t="n">
        <v>0</v>
      </c>
      <c r="J364" t="n">
        <v>0</v>
      </c>
      <c r="K364" t="n">
        <v>0</v>
      </c>
      <c r="L364" t="n">
        <v>0</v>
      </c>
      <c r="M364" t="n">
        <v>0</v>
      </c>
      <c r="N364" t="n">
        <v>0</v>
      </c>
      <c r="O364" t="n">
        <v>0</v>
      </c>
      <c r="P364" t="n">
        <v>0</v>
      </c>
      <c r="Q364" t="n">
        <v>0</v>
      </c>
      <c r="R364" s="2" t="inlineStr"/>
    </row>
    <row r="365" ht="15" customHeight="1">
      <c r="A365" t="inlineStr">
        <is>
          <t>A 51339-2022</t>
        </is>
      </c>
      <c r="B365" s="1" t="n">
        <v>44866</v>
      </c>
      <c r="C365" s="1" t="n">
        <v>45270</v>
      </c>
      <c r="D365" t="inlineStr">
        <is>
          <t>VÄSTMANLANDS LÄN</t>
        </is>
      </c>
      <c r="E365" t="inlineStr">
        <is>
          <t>KÖPING</t>
        </is>
      </c>
      <c r="G365" t="n">
        <v>3.7</v>
      </c>
      <c r="H365" t="n">
        <v>0</v>
      </c>
      <c r="I365" t="n">
        <v>0</v>
      </c>
      <c r="J365" t="n">
        <v>0</v>
      </c>
      <c r="K365" t="n">
        <v>0</v>
      </c>
      <c r="L365" t="n">
        <v>0</v>
      </c>
      <c r="M365" t="n">
        <v>0</v>
      </c>
      <c r="N365" t="n">
        <v>0</v>
      </c>
      <c r="O365" t="n">
        <v>0</v>
      </c>
      <c r="P365" t="n">
        <v>0</v>
      </c>
      <c r="Q365" t="n">
        <v>0</v>
      </c>
      <c r="R365" s="2" t="inlineStr"/>
    </row>
    <row r="366" ht="15" customHeight="1">
      <c r="A366" t="inlineStr">
        <is>
          <t>A 51203-2022</t>
        </is>
      </c>
      <c r="B366" s="1" t="n">
        <v>44868</v>
      </c>
      <c r="C366" s="1" t="n">
        <v>45270</v>
      </c>
      <c r="D366" t="inlineStr">
        <is>
          <t>VÄSTMANLANDS LÄN</t>
        </is>
      </c>
      <c r="E366" t="inlineStr">
        <is>
          <t>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54868-2022</t>
        </is>
      </c>
      <c r="B367" s="1" t="n">
        <v>44885</v>
      </c>
      <c r="C367" s="1" t="n">
        <v>45270</v>
      </c>
      <c r="D367" t="inlineStr">
        <is>
          <t>VÄSTMANLANDS LÄN</t>
        </is>
      </c>
      <c r="E367" t="inlineStr">
        <is>
          <t>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55389-2022</t>
        </is>
      </c>
      <c r="B368" s="1" t="n">
        <v>44887</v>
      </c>
      <c r="C368" s="1" t="n">
        <v>45270</v>
      </c>
      <c r="D368" t="inlineStr">
        <is>
          <t>VÄSTMANLANDS LÄN</t>
        </is>
      </c>
      <c r="E368" t="inlineStr">
        <is>
          <t>KÖPING</t>
        </is>
      </c>
      <c r="G368" t="n">
        <v>4.8</v>
      </c>
      <c r="H368" t="n">
        <v>0</v>
      </c>
      <c r="I368" t="n">
        <v>0</v>
      </c>
      <c r="J368" t="n">
        <v>0</v>
      </c>
      <c r="K368" t="n">
        <v>0</v>
      </c>
      <c r="L368" t="n">
        <v>0</v>
      </c>
      <c r="M368" t="n">
        <v>0</v>
      </c>
      <c r="N368" t="n">
        <v>0</v>
      </c>
      <c r="O368" t="n">
        <v>0</v>
      </c>
      <c r="P368" t="n">
        <v>0</v>
      </c>
      <c r="Q368" t="n">
        <v>0</v>
      </c>
      <c r="R368" s="2" t="inlineStr"/>
    </row>
    <row r="369" ht="15" customHeight="1">
      <c r="A369" t="inlineStr">
        <is>
          <t>A 55720-2022</t>
        </is>
      </c>
      <c r="B369" s="1" t="n">
        <v>44888</v>
      </c>
      <c r="C369" s="1" t="n">
        <v>45270</v>
      </c>
      <c r="D369" t="inlineStr">
        <is>
          <t>VÄSTMANLANDS LÄN</t>
        </is>
      </c>
      <c r="E369" t="inlineStr">
        <is>
          <t>KÖPING</t>
        </is>
      </c>
      <c r="G369" t="n">
        <v>3.2</v>
      </c>
      <c r="H369" t="n">
        <v>0</v>
      </c>
      <c r="I369" t="n">
        <v>0</v>
      </c>
      <c r="J369" t="n">
        <v>0</v>
      </c>
      <c r="K369" t="n">
        <v>0</v>
      </c>
      <c r="L369" t="n">
        <v>0</v>
      </c>
      <c r="M369" t="n">
        <v>0</v>
      </c>
      <c r="N369" t="n">
        <v>0</v>
      </c>
      <c r="O369" t="n">
        <v>0</v>
      </c>
      <c r="P369" t="n">
        <v>0</v>
      </c>
      <c r="Q369" t="n">
        <v>0</v>
      </c>
      <c r="R369" s="2" t="inlineStr"/>
    </row>
    <row r="370" ht="15" customHeight="1">
      <c r="A370" t="inlineStr">
        <is>
          <t>A 56292-2022</t>
        </is>
      </c>
      <c r="B370" s="1" t="n">
        <v>44890</v>
      </c>
      <c r="C370" s="1" t="n">
        <v>45270</v>
      </c>
      <c r="D370" t="inlineStr">
        <is>
          <t>VÄSTMANLANDS LÄN</t>
        </is>
      </c>
      <c r="E370" t="inlineStr">
        <is>
          <t>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56283-2022</t>
        </is>
      </c>
      <c r="B371" s="1" t="n">
        <v>44890</v>
      </c>
      <c r="C371" s="1" t="n">
        <v>45270</v>
      </c>
      <c r="D371" t="inlineStr">
        <is>
          <t>VÄSTMANLANDS LÄN</t>
        </is>
      </c>
      <c r="E371" t="inlineStr">
        <is>
          <t>KÖPING</t>
        </is>
      </c>
      <c r="G371" t="n">
        <v>3.4</v>
      </c>
      <c r="H371" t="n">
        <v>0</v>
      </c>
      <c r="I371" t="n">
        <v>0</v>
      </c>
      <c r="J371" t="n">
        <v>0</v>
      </c>
      <c r="K371" t="n">
        <v>0</v>
      </c>
      <c r="L371" t="n">
        <v>0</v>
      </c>
      <c r="M371" t="n">
        <v>0</v>
      </c>
      <c r="N371" t="n">
        <v>0</v>
      </c>
      <c r="O371" t="n">
        <v>0</v>
      </c>
      <c r="P371" t="n">
        <v>0</v>
      </c>
      <c r="Q371" t="n">
        <v>0</v>
      </c>
      <c r="R371" s="2" t="inlineStr"/>
    </row>
    <row r="372" ht="15" customHeight="1">
      <c r="A372" t="inlineStr">
        <is>
          <t>A 56823-2022</t>
        </is>
      </c>
      <c r="B372" s="1" t="n">
        <v>44894</v>
      </c>
      <c r="C372" s="1" t="n">
        <v>45270</v>
      </c>
      <c r="D372" t="inlineStr">
        <is>
          <t>VÄSTMANLANDS LÄN</t>
        </is>
      </c>
      <c r="E372" t="inlineStr">
        <is>
          <t>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56809-2022</t>
        </is>
      </c>
      <c r="B373" s="1" t="n">
        <v>44894</v>
      </c>
      <c r="C373" s="1" t="n">
        <v>45270</v>
      </c>
      <c r="D373" t="inlineStr">
        <is>
          <t>VÄSTMANLANDS LÄN</t>
        </is>
      </c>
      <c r="E373" t="inlineStr">
        <is>
          <t>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56979-2022</t>
        </is>
      </c>
      <c r="B374" s="1" t="n">
        <v>44894</v>
      </c>
      <c r="C374" s="1" t="n">
        <v>45270</v>
      </c>
      <c r="D374" t="inlineStr">
        <is>
          <t>VÄSTMANLANDS LÄN</t>
        </is>
      </c>
      <c r="E374" t="inlineStr">
        <is>
          <t>KÖPING</t>
        </is>
      </c>
      <c r="G374" t="n">
        <v>4.8</v>
      </c>
      <c r="H374" t="n">
        <v>0</v>
      </c>
      <c r="I374" t="n">
        <v>0</v>
      </c>
      <c r="J374" t="n">
        <v>0</v>
      </c>
      <c r="K374" t="n">
        <v>0</v>
      </c>
      <c r="L374" t="n">
        <v>0</v>
      </c>
      <c r="M374" t="n">
        <v>0</v>
      </c>
      <c r="N374" t="n">
        <v>0</v>
      </c>
      <c r="O374" t="n">
        <v>0</v>
      </c>
      <c r="P374" t="n">
        <v>0</v>
      </c>
      <c r="Q374" t="n">
        <v>0</v>
      </c>
      <c r="R374" s="2" t="inlineStr"/>
    </row>
    <row r="375" ht="15" customHeight="1">
      <c r="A375" t="inlineStr">
        <is>
          <t>A 56846-2022</t>
        </is>
      </c>
      <c r="B375" s="1" t="n">
        <v>44894</v>
      </c>
      <c r="C375" s="1" t="n">
        <v>45270</v>
      </c>
      <c r="D375" t="inlineStr">
        <is>
          <t>VÄSTMANLANDS LÄN</t>
        </is>
      </c>
      <c r="E375" t="inlineStr">
        <is>
          <t>KÖPING</t>
        </is>
      </c>
      <c r="G375" t="n">
        <v>4.7</v>
      </c>
      <c r="H375" t="n">
        <v>0</v>
      </c>
      <c r="I375" t="n">
        <v>0</v>
      </c>
      <c r="J375" t="n">
        <v>0</v>
      </c>
      <c r="K375" t="n">
        <v>0</v>
      </c>
      <c r="L375" t="n">
        <v>0</v>
      </c>
      <c r="M375" t="n">
        <v>0</v>
      </c>
      <c r="N375" t="n">
        <v>0</v>
      </c>
      <c r="O375" t="n">
        <v>0</v>
      </c>
      <c r="P375" t="n">
        <v>0</v>
      </c>
      <c r="Q375" t="n">
        <v>0</v>
      </c>
      <c r="R375" s="2" t="inlineStr"/>
    </row>
    <row r="376" ht="15" customHeight="1">
      <c r="A376" t="inlineStr">
        <is>
          <t>A 57514-2022</t>
        </is>
      </c>
      <c r="B376" s="1" t="n">
        <v>44896</v>
      </c>
      <c r="C376" s="1" t="n">
        <v>45270</v>
      </c>
      <c r="D376" t="inlineStr">
        <is>
          <t>VÄSTMANLANDS LÄN</t>
        </is>
      </c>
      <c r="E376" t="inlineStr">
        <is>
          <t>KÖPING</t>
        </is>
      </c>
      <c r="G376" t="n">
        <v>4.3</v>
      </c>
      <c r="H376" t="n">
        <v>0</v>
      </c>
      <c r="I376" t="n">
        <v>0</v>
      </c>
      <c r="J376" t="n">
        <v>0</v>
      </c>
      <c r="K376" t="n">
        <v>0</v>
      </c>
      <c r="L376" t="n">
        <v>0</v>
      </c>
      <c r="M376" t="n">
        <v>0</v>
      </c>
      <c r="N376" t="n">
        <v>0</v>
      </c>
      <c r="O376" t="n">
        <v>0</v>
      </c>
      <c r="P376" t="n">
        <v>0</v>
      </c>
      <c r="Q376" t="n">
        <v>0</v>
      </c>
      <c r="R376" s="2" t="inlineStr"/>
    </row>
    <row r="377" ht="15" customHeight="1">
      <c r="A377" t="inlineStr">
        <is>
          <t>A 57760-2022</t>
        </is>
      </c>
      <c r="B377" s="1" t="n">
        <v>44897</v>
      </c>
      <c r="C377" s="1" t="n">
        <v>45270</v>
      </c>
      <c r="D377" t="inlineStr">
        <is>
          <t>VÄSTMANLANDS LÄN</t>
        </is>
      </c>
      <c r="E377" t="inlineStr">
        <is>
          <t>KÖPING</t>
        </is>
      </c>
      <c r="G377" t="n">
        <v>6</v>
      </c>
      <c r="H377" t="n">
        <v>0</v>
      </c>
      <c r="I377" t="n">
        <v>0</v>
      </c>
      <c r="J377" t="n">
        <v>0</v>
      </c>
      <c r="K377" t="n">
        <v>0</v>
      </c>
      <c r="L377" t="n">
        <v>0</v>
      </c>
      <c r="M377" t="n">
        <v>0</v>
      </c>
      <c r="N377" t="n">
        <v>0</v>
      </c>
      <c r="O377" t="n">
        <v>0</v>
      </c>
      <c r="P377" t="n">
        <v>0</v>
      </c>
      <c r="Q377" t="n">
        <v>0</v>
      </c>
      <c r="R377" s="2" t="inlineStr"/>
    </row>
    <row r="378" ht="15" customHeight="1">
      <c r="A378" t="inlineStr">
        <is>
          <t>A 57641-2022</t>
        </is>
      </c>
      <c r="B378" s="1" t="n">
        <v>44897</v>
      </c>
      <c r="C378" s="1" t="n">
        <v>45270</v>
      </c>
      <c r="D378" t="inlineStr">
        <is>
          <t>VÄSTMANLANDS LÄN</t>
        </is>
      </c>
      <c r="E378" t="inlineStr">
        <is>
          <t>KÖPING</t>
        </is>
      </c>
      <c r="G378" t="n">
        <v>3.4</v>
      </c>
      <c r="H378" t="n">
        <v>0</v>
      </c>
      <c r="I378" t="n">
        <v>0</v>
      </c>
      <c r="J378" t="n">
        <v>0</v>
      </c>
      <c r="K378" t="n">
        <v>0</v>
      </c>
      <c r="L378" t="n">
        <v>0</v>
      </c>
      <c r="M378" t="n">
        <v>0</v>
      </c>
      <c r="N378" t="n">
        <v>0</v>
      </c>
      <c r="O378" t="n">
        <v>0</v>
      </c>
      <c r="P378" t="n">
        <v>0</v>
      </c>
      <c r="Q378" t="n">
        <v>0</v>
      </c>
      <c r="R378" s="2" t="inlineStr"/>
    </row>
    <row r="379" ht="15" customHeight="1">
      <c r="A379" t="inlineStr">
        <is>
          <t>A 58105-2022</t>
        </is>
      </c>
      <c r="B379" s="1" t="n">
        <v>44900</v>
      </c>
      <c r="C379" s="1" t="n">
        <v>45270</v>
      </c>
      <c r="D379" t="inlineStr">
        <is>
          <t>VÄSTMANLANDS LÄN</t>
        </is>
      </c>
      <c r="E379" t="inlineStr">
        <is>
          <t>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58106-2022</t>
        </is>
      </c>
      <c r="B380" s="1" t="n">
        <v>44900</v>
      </c>
      <c r="C380" s="1" t="n">
        <v>45270</v>
      </c>
      <c r="D380" t="inlineStr">
        <is>
          <t>VÄSTMANLANDS LÄN</t>
        </is>
      </c>
      <c r="E380" t="inlineStr">
        <is>
          <t>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59500-2022</t>
        </is>
      </c>
      <c r="B381" s="1" t="n">
        <v>44907</v>
      </c>
      <c r="C381" s="1" t="n">
        <v>45270</v>
      </c>
      <c r="D381" t="inlineStr">
        <is>
          <t>VÄSTMANLANDS LÄN</t>
        </is>
      </c>
      <c r="E381" t="inlineStr">
        <is>
          <t>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59735-2022</t>
        </is>
      </c>
      <c r="B382" s="1" t="n">
        <v>44908</v>
      </c>
      <c r="C382" s="1" t="n">
        <v>45270</v>
      </c>
      <c r="D382" t="inlineStr">
        <is>
          <t>VÄSTMANLANDS LÄN</t>
        </is>
      </c>
      <c r="E382" t="inlineStr">
        <is>
          <t>KÖPING</t>
        </is>
      </c>
      <c r="G382" t="n">
        <v>3.9</v>
      </c>
      <c r="H382" t="n">
        <v>0</v>
      </c>
      <c r="I382" t="n">
        <v>0</v>
      </c>
      <c r="J382" t="n">
        <v>0</v>
      </c>
      <c r="K382" t="n">
        <v>0</v>
      </c>
      <c r="L382" t="n">
        <v>0</v>
      </c>
      <c r="M382" t="n">
        <v>0</v>
      </c>
      <c r="N382" t="n">
        <v>0</v>
      </c>
      <c r="O382" t="n">
        <v>0</v>
      </c>
      <c r="P382" t="n">
        <v>0</v>
      </c>
      <c r="Q382" t="n">
        <v>0</v>
      </c>
      <c r="R382" s="2" t="inlineStr"/>
    </row>
    <row r="383" ht="15" customHeight="1">
      <c r="A383" t="inlineStr">
        <is>
          <t>A 60481-2022</t>
        </is>
      </c>
      <c r="B383" s="1" t="n">
        <v>44911</v>
      </c>
      <c r="C383" s="1" t="n">
        <v>45270</v>
      </c>
      <c r="D383" t="inlineStr">
        <is>
          <t>VÄSTMANLANDS LÄN</t>
        </is>
      </c>
      <c r="E383" t="inlineStr">
        <is>
          <t>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60485-2022</t>
        </is>
      </c>
      <c r="B384" s="1" t="n">
        <v>44911</v>
      </c>
      <c r="C384" s="1" t="n">
        <v>45270</v>
      </c>
      <c r="D384" t="inlineStr">
        <is>
          <t>VÄSTMANLANDS LÄN</t>
        </is>
      </c>
      <c r="E384" t="inlineStr">
        <is>
          <t>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60479-2022</t>
        </is>
      </c>
      <c r="B385" s="1" t="n">
        <v>44911</v>
      </c>
      <c r="C385" s="1" t="n">
        <v>45270</v>
      </c>
      <c r="D385" t="inlineStr">
        <is>
          <t>VÄSTMANLANDS LÄN</t>
        </is>
      </c>
      <c r="E385" t="inlineStr">
        <is>
          <t>KÖPING</t>
        </is>
      </c>
      <c r="G385" t="n">
        <v>2.3</v>
      </c>
      <c r="H385" t="n">
        <v>0</v>
      </c>
      <c r="I385" t="n">
        <v>0</v>
      </c>
      <c r="J385" t="n">
        <v>0</v>
      </c>
      <c r="K385" t="n">
        <v>0</v>
      </c>
      <c r="L385" t="n">
        <v>0</v>
      </c>
      <c r="M385" t="n">
        <v>0</v>
      </c>
      <c r="N385" t="n">
        <v>0</v>
      </c>
      <c r="O385" t="n">
        <v>0</v>
      </c>
      <c r="P385" t="n">
        <v>0</v>
      </c>
      <c r="Q385" t="n">
        <v>0</v>
      </c>
      <c r="R385" s="2" t="inlineStr"/>
    </row>
    <row r="386" ht="15" customHeight="1">
      <c r="A386" t="inlineStr">
        <is>
          <t>A 60894-2022</t>
        </is>
      </c>
      <c r="B386" s="1" t="n">
        <v>44914</v>
      </c>
      <c r="C386" s="1" t="n">
        <v>45270</v>
      </c>
      <c r="D386" t="inlineStr">
        <is>
          <t>VÄSTMANLANDS LÄN</t>
        </is>
      </c>
      <c r="E386" t="inlineStr">
        <is>
          <t>KÖPING</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61000-2022</t>
        </is>
      </c>
      <c r="B387" s="1" t="n">
        <v>44914</v>
      </c>
      <c r="C387" s="1" t="n">
        <v>45270</v>
      </c>
      <c r="D387" t="inlineStr">
        <is>
          <t>VÄSTMANLANDS LÄN</t>
        </is>
      </c>
      <c r="E387" t="inlineStr">
        <is>
          <t>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60924-2022</t>
        </is>
      </c>
      <c r="B388" s="1" t="n">
        <v>44914</v>
      </c>
      <c r="C388" s="1" t="n">
        <v>45270</v>
      </c>
      <c r="D388" t="inlineStr">
        <is>
          <t>VÄSTMANLANDS LÄN</t>
        </is>
      </c>
      <c r="E388" t="inlineStr">
        <is>
          <t>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61083-2022</t>
        </is>
      </c>
      <c r="B389" s="1" t="n">
        <v>44915</v>
      </c>
      <c r="C389" s="1" t="n">
        <v>45270</v>
      </c>
      <c r="D389" t="inlineStr">
        <is>
          <t>VÄSTMANLANDS LÄN</t>
        </is>
      </c>
      <c r="E389" t="inlineStr">
        <is>
          <t>KÖPING</t>
        </is>
      </c>
      <c r="G389" t="n">
        <v>6.7</v>
      </c>
      <c r="H389" t="n">
        <v>0</v>
      </c>
      <c r="I389" t="n">
        <v>0</v>
      </c>
      <c r="J389" t="n">
        <v>0</v>
      </c>
      <c r="K389" t="n">
        <v>0</v>
      </c>
      <c r="L389" t="n">
        <v>0</v>
      </c>
      <c r="M389" t="n">
        <v>0</v>
      </c>
      <c r="N389" t="n">
        <v>0</v>
      </c>
      <c r="O389" t="n">
        <v>0</v>
      </c>
      <c r="P389" t="n">
        <v>0</v>
      </c>
      <c r="Q389" t="n">
        <v>0</v>
      </c>
      <c r="R389" s="2" t="inlineStr"/>
    </row>
    <row r="390" ht="15" customHeight="1">
      <c r="A390" t="inlineStr">
        <is>
          <t>A 61059-2022</t>
        </is>
      </c>
      <c r="B390" s="1" t="n">
        <v>44915</v>
      </c>
      <c r="C390" s="1" t="n">
        <v>45270</v>
      </c>
      <c r="D390" t="inlineStr">
        <is>
          <t>VÄSTMANLANDS LÄN</t>
        </is>
      </c>
      <c r="E390" t="inlineStr">
        <is>
          <t>KÖPING</t>
        </is>
      </c>
      <c r="G390" t="n">
        <v>1.8</v>
      </c>
      <c r="H390" t="n">
        <v>0</v>
      </c>
      <c r="I390" t="n">
        <v>0</v>
      </c>
      <c r="J390" t="n">
        <v>0</v>
      </c>
      <c r="K390" t="n">
        <v>0</v>
      </c>
      <c r="L390" t="n">
        <v>0</v>
      </c>
      <c r="M390" t="n">
        <v>0</v>
      </c>
      <c r="N390" t="n">
        <v>0</v>
      </c>
      <c r="O390" t="n">
        <v>0</v>
      </c>
      <c r="P390" t="n">
        <v>0</v>
      </c>
      <c r="Q390" t="n">
        <v>0</v>
      </c>
      <c r="R390" s="2" t="inlineStr"/>
    </row>
    <row r="391" ht="15" customHeight="1">
      <c r="A391" t="inlineStr">
        <is>
          <t>A 61070-2022</t>
        </is>
      </c>
      <c r="B391" s="1" t="n">
        <v>44915</v>
      </c>
      <c r="C391" s="1" t="n">
        <v>45270</v>
      </c>
      <c r="D391" t="inlineStr">
        <is>
          <t>VÄSTMANLANDS LÄN</t>
        </is>
      </c>
      <c r="E391" t="inlineStr">
        <is>
          <t>KÖPING</t>
        </is>
      </c>
      <c r="G391" t="n">
        <v>2.5</v>
      </c>
      <c r="H391" t="n">
        <v>0</v>
      </c>
      <c r="I391" t="n">
        <v>0</v>
      </c>
      <c r="J391" t="n">
        <v>0</v>
      </c>
      <c r="K391" t="n">
        <v>0</v>
      </c>
      <c r="L391" t="n">
        <v>0</v>
      </c>
      <c r="M391" t="n">
        <v>0</v>
      </c>
      <c r="N391" t="n">
        <v>0</v>
      </c>
      <c r="O391" t="n">
        <v>0</v>
      </c>
      <c r="P391" t="n">
        <v>0</v>
      </c>
      <c r="Q391" t="n">
        <v>0</v>
      </c>
      <c r="R391" s="2" t="inlineStr"/>
    </row>
    <row r="392" ht="15" customHeight="1">
      <c r="A392" t="inlineStr">
        <is>
          <t>A 61072-2022</t>
        </is>
      </c>
      <c r="B392" s="1" t="n">
        <v>44915</v>
      </c>
      <c r="C392" s="1" t="n">
        <v>45270</v>
      </c>
      <c r="D392" t="inlineStr">
        <is>
          <t>VÄSTMANLANDS LÄN</t>
        </is>
      </c>
      <c r="E392" t="inlineStr">
        <is>
          <t>KÖPING</t>
        </is>
      </c>
      <c r="G392" t="n">
        <v>2.4</v>
      </c>
      <c r="H392" t="n">
        <v>0</v>
      </c>
      <c r="I392" t="n">
        <v>0</v>
      </c>
      <c r="J392" t="n">
        <v>0</v>
      </c>
      <c r="K392" t="n">
        <v>0</v>
      </c>
      <c r="L392" t="n">
        <v>0</v>
      </c>
      <c r="M392" t="n">
        <v>0</v>
      </c>
      <c r="N392" t="n">
        <v>0</v>
      </c>
      <c r="O392" t="n">
        <v>0</v>
      </c>
      <c r="P392" t="n">
        <v>0</v>
      </c>
      <c r="Q392" t="n">
        <v>0</v>
      </c>
      <c r="R392" s="2" t="inlineStr"/>
    </row>
    <row r="393" ht="15" customHeight="1">
      <c r="A393" t="inlineStr">
        <is>
          <t>A 61897-2022</t>
        </is>
      </c>
      <c r="B393" s="1" t="n">
        <v>44917</v>
      </c>
      <c r="C393" s="1" t="n">
        <v>45270</v>
      </c>
      <c r="D393" t="inlineStr">
        <is>
          <t>VÄSTMANLANDS LÄN</t>
        </is>
      </c>
      <c r="E393" t="inlineStr">
        <is>
          <t>KÖPING</t>
        </is>
      </c>
      <c r="G393" t="n">
        <v>8.1</v>
      </c>
      <c r="H393" t="n">
        <v>0</v>
      </c>
      <c r="I393" t="n">
        <v>0</v>
      </c>
      <c r="J393" t="n">
        <v>0</v>
      </c>
      <c r="K393" t="n">
        <v>0</v>
      </c>
      <c r="L393" t="n">
        <v>0</v>
      </c>
      <c r="M393" t="n">
        <v>0</v>
      </c>
      <c r="N393" t="n">
        <v>0</v>
      </c>
      <c r="O393" t="n">
        <v>0</v>
      </c>
      <c r="P393" t="n">
        <v>0</v>
      </c>
      <c r="Q393" t="n">
        <v>0</v>
      </c>
      <c r="R393" s="2" t="inlineStr"/>
    </row>
    <row r="394" ht="15" customHeight="1">
      <c r="A394" t="inlineStr">
        <is>
          <t>A 71-2023</t>
        </is>
      </c>
      <c r="B394" s="1" t="n">
        <v>44928</v>
      </c>
      <c r="C394" s="1" t="n">
        <v>45270</v>
      </c>
      <c r="D394" t="inlineStr">
        <is>
          <t>VÄSTMANLANDS LÄN</t>
        </is>
      </c>
      <c r="E394" t="inlineStr">
        <is>
          <t>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1034-2023</t>
        </is>
      </c>
      <c r="B395" s="1" t="n">
        <v>44935</v>
      </c>
      <c r="C395" s="1" t="n">
        <v>45270</v>
      </c>
      <c r="D395" t="inlineStr">
        <is>
          <t>VÄSTMANLANDS LÄN</t>
        </is>
      </c>
      <c r="E395" t="inlineStr">
        <is>
          <t>KÖPING</t>
        </is>
      </c>
      <c r="G395" t="n">
        <v>5.4</v>
      </c>
      <c r="H395" t="n">
        <v>0</v>
      </c>
      <c r="I395" t="n">
        <v>0</v>
      </c>
      <c r="J395" t="n">
        <v>0</v>
      </c>
      <c r="K395" t="n">
        <v>0</v>
      </c>
      <c r="L395" t="n">
        <v>0</v>
      </c>
      <c r="M395" t="n">
        <v>0</v>
      </c>
      <c r="N395" t="n">
        <v>0</v>
      </c>
      <c r="O395" t="n">
        <v>0</v>
      </c>
      <c r="P395" t="n">
        <v>0</v>
      </c>
      <c r="Q395" t="n">
        <v>0</v>
      </c>
      <c r="R395" s="2" t="inlineStr"/>
    </row>
    <row r="396" ht="15" customHeight="1">
      <c r="A396" t="inlineStr">
        <is>
          <t>A 1290-2023</t>
        </is>
      </c>
      <c r="B396" s="1" t="n">
        <v>44936</v>
      </c>
      <c r="C396" s="1" t="n">
        <v>45270</v>
      </c>
      <c r="D396" t="inlineStr">
        <is>
          <t>VÄSTMANLANDS LÄN</t>
        </is>
      </c>
      <c r="E396" t="inlineStr">
        <is>
          <t>KÖPING</t>
        </is>
      </c>
      <c r="G396" t="n">
        <v>6</v>
      </c>
      <c r="H396" t="n">
        <v>0</v>
      </c>
      <c r="I396" t="n">
        <v>0</v>
      </c>
      <c r="J396" t="n">
        <v>0</v>
      </c>
      <c r="K396" t="n">
        <v>0</v>
      </c>
      <c r="L396" t="n">
        <v>0</v>
      </c>
      <c r="M396" t="n">
        <v>0</v>
      </c>
      <c r="N396" t="n">
        <v>0</v>
      </c>
      <c r="O396" t="n">
        <v>0</v>
      </c>
      <c r="P396" t="n">
        <v>0</v>
      </c>
      <c r="Q396" t="n">
        <v>0</v>
      </c>
      <c r="R396" s="2" t="inlineStr"/>
    </row>
    <row r="397" ht="15" customHeight="1">
      <c r="A397" t="inlineStr">
        <is>
          <t>A 2868-2023</t>
        </is>
      </c>
      <c r="B397" s="1" t="n">
        <v>44945</v>
      </c>
      <c r="C397" s="1" t="n">
        <v>45270</v>
      </c>
      <c r="D397" t="inlineStr">
        <is>
          <t>VÄSTMANLANDS LÄN</t>
        </is>
      </c>
      <c r="E397" t="inlineStr">
        <is>
          <t>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4687-2023</t>
        </is>
      </c>
      <c r="B398" s="1" t="n">
        <v>44957</v>
      </c>
      <c r="C398" s="1" t="n">
        <v>45270</v>
      </c>
      <c r="D398" t="inlineStr">
        <is>
          <t>VÄSTMANLANDS LÄN</t>
        </is>
      </c>
      <c r="E398" t="inlineStr">
        <is>
          <t>KÖPING</t>
        </is>
      </c>
      <c r="G398" t="n">
        <v>4.6</v>
      </c>
      <c r="H398" t="n">
        <v>0</v>
      </c>
      <c r="I398" t="n">
        <v>0</v>
      </c>
      <c r="J398" t="n">
        <v>0</v>
      </c>
      <c r="K398" t="n">
        <v>0</v>
      </c>
      <c r="L398" t="n">
        <v>0</v>
      </c>
      <c r="M398" t="n">
        <v>0</v>
      </c>
      <c r="N398" t="n">
        <v>0</v>
      </c>
      <c r="O398" t="n">
        <v>0</v>
      </c>
      <c r="P398" t="n">
        <v>0</v>
      </c>
      <c r="Q398" t="n">
        <v>0</v>
      </c>
      <c r="R398" s="2" t="inlineStr"/>
    </row>
    <row r="399" ht="15" customHeight="1">
      <c r="A399" t="inlineStr">
        <is>
          <t>A 6051-2023</t>
        </is>
      </c>
      <c r="B399" s="1" t="n">
        <v>44964</v>
      </c>
      <c r="C399" s="1" t="n">
        <v>45270</v>
      </c>
      <c r="D399" t="inlineStr">
        <is>
          <t>VÄSTMANLANDS LÄN</t>
        </is>
      </c>
      <c r="E399" t="inlineStr">
        <is>
          <t>KÖPING</t>
        </is>
      </c>
      <c r="G399" t="n">
        <v>3.2</v>
      </c>
      <c r="H399" t="n">
        <v>0</v>
      </c>
      <c r="I399" t="n">
        <v>0</v>
      </c>
      <c r="J399" t="n">
        <v>0</v>
      </c>
      <c r="K399" t="n">
        <v>0</v>
      </c>
      <c r="L399" t="n">
        <v>0</v>
      </c>
      <c r="M399" t="n">
        <v>0</v>
      </c>
      <c r="N399" t="n">
        <v>0</v>
      </c>
      <c r="O399" t="n">
        <v>0</v>
      </c>
      <c r="P399" t="n">
        <v>0</v>
      </c>
      <c r="Q399" t="n">
        <v>0</v>
      </c>
      <c r="R399" s="2" t="inlineStr"/>
    </row>
    <row r="400" ht="15" customHeight="1">
      <c r="A400" t="inlineStr">
        <is>
          <t>A 6667-2023</t>
        </is>
      </c>
      <c r="B400" s="1" t="n">
        <v>44966</v>
      </c>
      <c r="C400" s="1" t="n">
        <v>45270</v>
      </c>
      <c r="D400" t="inlineStr">
        <is>
          <t>VÄSTMANLANDS LÄN</t>
        </is>
      </c>
      <c r="E400" t="inlineStr">
        <is>
          <t>KÖPING</t>
        </is>
      </c>
      <c r="G400" t="n">
        <v>11.9</v>
      </c>
      <c r="H400" t="n">
        <v>0</v>
      </c>
      <c r="I400" t="n">
        <v>0</v>
      </c>
      <c r="J400" t="n">
        <v>0</v>
      </c>
      <c r="K400" t="n">
        <v>0</v>
      </c>
      <c r="L400" t="n">
        <v>0</v>
      </c>
      <c r="M400" t="n">
        <v>0</v>
      </c>
      <c r="N400" t="n">
        <v>0</v>
      </c>
      <c r="O400" t="n">
        <v>0</v>
      </c>
      <c r="P400" t="n">
        <v>0</v>
      </c>
      <c r="Q400" t="n">
        <v>0</v>
      </c>
      <c r="R400" s="2" t="inlineStr"/>
    </row>
    <row r="401" ht="15" customHeight="1">
      <c r="A401" t="inlineStr">
        <is>
          <t>A 6946-2023</t>
        </is>
      </c>
      <c r="B401" s="1" t="n">
        <v>44967</v>
      </c>
      <c r="C401" s="1" t="n">
        <v>45270</v>
      </c>
      <c r="D401" t="inlineStr">
        <is>
          <t>VÄSTMANLANDS LÄN</t>
        </is>
      </c>
      <c r="E401" t="inlineStr">
        <is>
          <t>KÖPING</t>
        </is>
      </c>
      <c r="F401" t="inlineStr">
        <is>
          <t>Sveaskog</t>
        </is>
      </c>
      <c r="G401" t="n">
        <v>7.5</v>
      </c>
      <c r="H401" t="n">
        <v>0</v>
      </c>
      <c r="I401" t="n">
        <v>0</v>
      </c>
      <c r="J401" t="n">
        <v>0</v>
      </c>
      <c r="K401" t="n">
        <v>0</v>
      </c>
      <c r="L401" t="n">
        <v>0</v>
      </c>
      <c r="M401" t="n">
        <v>0</v>
      </c>
      <c r="N401" t="n">
        <v>0</v>
      </c>
      <c r="O401" t="n">
        <v>0</v>
      </c>
      <c r="P401" t="n">
        <v>0</v>
      </c>
      <c r="Q401" t="n">
        <v>0</v>
      </c>
      <c r="R401" s="2" t="inlineStr"/>
    </row>
    <row r="402" ht="15" customHeight="1">
      <c r="A402" t="inlineStr">
        <is>
          <t>A 6948-2023</t>
        </is>
      </c>
      <c r="B402" s="1" t="n">
        <v>44967</v>
      </c>
      <c r="C402" s="1" t="n">
        <v>45270</v>
      </c>
      <c r="D402" t="inlineStr">
        <is>
          <t>VÄSTMANLANDS LÄN</t>
        </is>
      </c>
      <c r="E402" t="inlineStr">
        <is>
          <t>KÖPING</t>
        </is>
      </c>
      <c r="F402" t="inlineStr">
        <is>
          <t>Sveaskog</t>
        </is>
      </c>
      <c r="G402" t="n">
        <v>0.5</v>
      </c>
      <c r="H402" t="n">
        <v>0</v>
      </c>
      <c r="I402" t="n">
        <v>0</v>
      </c>
      <c r="J402" t="n">
        <v>0</v>
      </c>
      <c r="K402" t="n">
        <v>0</v>
      </c>
      <c r="L402" t="n">
        <v>0</v>
      </c>
      <c r="M402" t="n">
        <v>0</v>
      </c>
      <c r="N402" t="n">
        <v>0</v>
      </c>
      <c r="O402" t="n">
        <v>0</v>
      </c>
      <c r="P402" t="n">
        <v>0</v>
      </c>
      <c r="Q402" t="n">
        <v>0</v>
      </c>
      <c r="R402" s="2" t="inlineStr"/>
    </row>
    <row r="403" ht="15" customHeight="1">
      <c r="A403" t="inlineStr">
        <is>
          <t>A 6949-2023</t>
        </is>
      </c>
      <c r="B403" s="1" t="n">
        <v>44967</v>
      </c>
      <c r="C403" s="1" t="n">
        <v>45270</v>
      </c>
      <c r="D403" t="inlineStr">
        <is>
          <t>VÄSTMANLANDS LÄN</t>
        </is>
      </c>
      <c r="E403" t="inlineStr">
        <is>
          <t>KÖPING</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7965-2023</t>
        </is>
      </c>
      <c r="B404" s="1" t="n">
        <v>44970</v>
      </c>
      <c r="C404" s="1" t="n">
        <v>45270</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8461-2023</t>
        </is>
      </c>
      <c r="B405" s="1" t="n">
        <v>44977</v>
      </c>
      <c r="C405" s="1" t="n">
        <v>45270</v>
      </c>
      <c r="D405" t="inlineStr">
        <is>
          <t>VÄSTMANLANDS LÄN</t>
        </is>
      </c>
      <c r="E405" t="inlineStr">
        <is>
          <t>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8476-2023</t>
        </is>
      </c>
      <c r="B406" s="1" t="n">
        <v>44977</v>
      </c>
      <c r="C406" s="1" t="n">
        <v>45270</v>
      </c>
      <c r="D406" t="inlineStr">
        <is>
          <t>VÄSTMANLANDS LÄN</t>
        </is>
      </c>
      <c r="E406" t="inlineStr">
        <is>
          <t>KÖPING</t>
        </is>
      </c>
      <c r="G406" t="n">
        <v>7.2</v>
      </c>
      <c r="H406" t="n">
        <v>0</v>
      </c>
      <c r="I406" t="n">
        <v>0</v>
      </c>
      <c r="J406" t="n">
        <v>0</v>
      </c>
      <c r="K406" t="n">
        <v>0</v>
      </c>
      <c r="L406" t="n">
        <v>0</v>
      </c>
      <c r="M406" t="n">
        <v>0</v>
      </c>
      <c r="N406" t="n">
        <v>0</v>
      </c>
      <c r="O406" t="n">
        <v>0</v>
      </c>
      <c r="P406" t="n">
        <v>0</v>
      </c>
      <c r="Q406" t="n">
        <v>0</v>
      </c>
      <c r="R406" s="2" t="inlineStr"/>
    </row>
    <row r="407" ht="15" customHeight="1">
      <c r="A407" t="inlineStr">
        <is>
          <t>A 10749-2023</t>
        </is>
      </c>
      <c r="B407" s="1" t="n">
        <v>44985</v>
      </c>
      <c r="C407" s="1" t="n">
        <v>45270</v>
      </c>
      <c r="D407" t="inlineStr">
        <is>
          <t>VÄSTMANLANDS LÄN</t>
        </is>
      </c>
      <c r="E407" t="inlineStr">
        <is>
          <t>KÖPING</t>
        </is>
      </c>
      <c r="G407" t="n">
        <v>2.4</v>
      </c>
      <c r="H407" t="n">
        <v>0</v>
      </c>
      <c r="I407" t="n">
        <v>0</v>
      </c>
      <c r="J407" t="n">
        <v>0</v>
      </c>
      <c r="K407" t="n">
        <v>0</v>
      </c>
      <c r="L407" t="n">
        <v>0</v>
      </c>
      <c r="M407" t="n">
        <v>0</v>
      </c>
      <c r="N407" t="n">
        <v>0</v>
      </c>
      <c r="O407" t="n">
        <v>0</v>
      </c>
      <c r="P407" t="n">
        <v>0</v>
      </c>
      <c r="Q407" t="n">
        <v>0</v>
      </c>
      <c r="R407" s="2" t="inlineStr"/>
    </row>
    <row r="408" ht="15" customHeight="1">
      <c r="A408" t="inlineStr">
        <is>
          <t>A 10750-2023</t>
        </is>
      </c>
      <c r="B408" s="1" t="n">
        <v>44985</v>
      </c>
      <c r="C408" s="1" t="n">
        <v>45270</v>
      </c>
      <c r="D408" t="inlineStr">
        <is>
          <t>VÄSTMANLANDS LÄN</t>
        </is>
      </c>
      <c r="E408" t="inlineStr">
        <is>
          <t>KÖPING</t>
        </is>
      </c>
      <c r="G408" t="n">
        <v>5.9</v>
      </c>
      <c r="H408" t="n">
        <v>0</v>
      </c>
      <c r="I408" t="n">
        <v>0</v>
      </c>
      <c r="J408" t="n">
        <v>0</v>
      </c>
      <c r="K408" t="n">
        <v>0</v>
      </c>
      <c r="L408" t="n">
        <v>0</v>
      </c>
      <c r="M408" t="n">
        <v>0</v>
      </c>
      <c r="N408" t="n">
        <v>0</v>
      </c>
      <c r="O408" t="n">
        <v>0</v>
      </c>
      <c r="P408" t="n">
        <v>0</v>
      </c>
      <c r="Q408" t="n">
        <v>0</v>
      </c>
      <c r="R408" s="2" t="inlineStr"/>
    </row>
    <row r="409" ht="15" customHeight="1">
      <c r="A409" t="inlineStr">
        <is>
          <t>A 11220-2023</t>
        </is>
      </c>
      <c r="B409" s="1" t="n">
        <v>44988</v>
      </c>
      <c r="C409" s="1" t="n">
        <v>45270</v>
      </c>
      <c r="D409" t="inlineStr">
        <is>
          <t>VÄSTMANLANDS LÄN</t>
        </is>
      </c>
      <c r="E409" t="inlineStr">
        <is>
          <t>KÖPING</t>
        </is>
      </c>
      <c r="G409" t="n">
        <v>7</v>
      </c>
      <c r="H409" t="n">
        <v>0</v>
      </c>
      <c r="I409" t="n">
        <v>0</v>
      </c>
      <c r="J409" t="n">
        <v>0</v>
      </c>
      <c r="K409" t="n">
        <v>0</v>
      </c>
      <c r="L409" t="n">
        <v>0</v>
      </c>
      <c r="M409" t="n">
        <v>0</v>
      </c>
      <c r="N409" t="n">
        <v>0</v>
      </c>
      <c r="O409" t="n">
        <v>0</v>
      </c>
      <c r="P409" t="n">
        <v>0</v>
      </c>
      <c r="Q409" t="n">
        <v>0</v>
      </c>
      <c r="R409" s="2" t="inlineStr"/>
    </row>
    <row r="410" ht="15" customHeight="1">
      <c r="A410" t="inlineStr">
        <is>
          <t>A 11384-2023</t>
        </is>
      </c>
      <c r="B410" s="1" t="n">
        <v>44988</v>
      </c>
      <c r="C410" s="1" t="n">
        <v>45270</v>
      </c>
      <c r="D410" t="inlineStr">
        <is>
          <t>VÄSTMANLANDS LÄN</t>
        </is>
      </c>
      <c r="E410" t="inlineStr">
        <is>
          <t>KÖPING</t>
        </is>
      </c>
      <c r="G410" t="n">
        <v>10</v>
      </c>
      <c r="H410" t="n">
        <v>0</v>
      </c>
      <c r="I410" t="n">
        <v>0</v>
      </c>
      <c r="J410" t="n">
        <v>0</v>
      </c>
      <c r="K410" t="n">
        <v>0</v>
      </c>
      <c r="L410" t="n">
        <v>0</v>
      </c>
      <c r="M410" t="n">
        <v>0</v>
      </c>
      <c r="N410" t="n">
        <v>0</v>
      </c>
      <c r="O410" t="n">
        <v>0</v>
      </c>
      <c r="P410" t="n">
        <v>0</v>
      </c>
      <c r="Q410" t="n">
        <v>0</v>
      </c>
      <c r="R410" s="2" t="inlineStr"/>
    </row>
    <row r="411" ht="15" customHeight="1">
      <c r="A411" t="inlineStr">
        <is>
          <t>A 12503-2023</t>
        </is>
      </c>
      <c r="B411" s="1" t="n">
        <v>44999</v>
      </c>
      <c r="C411" s="1" t="n">
        <v>45270</v>
      </c>
      <c r="D411" t="inlineStr">
        <is>
          <t>VÄSTMANLANDS LÄN</t>
        </is>
      </c>
      <c r="E411" t="inlineStr">
        <is>
          <t>KÖPING</t>
        </is>
      </c>
      <c r="G411" t="n">
        <v>6.2</v>
      </c>
      <c r="H411" t="n">
        <v>0</v>
      </c>
      <c r="I411" t="n">
        <v>0</v>
      </c>
      <c r="J411" t="n">
        <v>0</v>
      </c>
      <c r="K411" t="n">
        <v>0</v>
      </c>
      <c r="L411" t="n">
        <v>0</v>
      </c>
      <c r="M411" t="n">
        <v>0</v>
      </c>
      <c r="N411" t="n">
        <v>0</v>
      </c>
      <c r="O411" t="n">
        <v>0</v>
      </c>
      <c r="P411" t="n">
        <v>0</v>
      </c>
      <c r="Q411" t="n">
        <v>0</v>
      </c>
      <c r="R411" s="2" t="inlineStr"/>
    </row>
    <row r="412" ht="15" customHeight="1">
      <c r="A412" t="inlineStr">
        <is>
          <t>A 13414-2023</t>
        </is>
      </c>
      <c r="B412" s="1" t="n">
        <v>45005</v>
      </c>
      <c r="C412" s="1" t="n">
        <v>45270</v>
      </c>
      <c r="D412" t="inlineStr">
        <is>
          <t>VÄSTMANLANDS LÄN</t>
        </is>
      </c>
      <c r="E412" t="inlineStr">
        <is>
          <t>KÖPING</t>
        </is>
      </c>
      <c r="G412" t="n">
        <v>12.4</v>
      </c>
      <c r="H412" t="n">
        <v>0</v>
      </c>
      <c r="I412" t="n">
        <v>0</v>
      </c>
      <c r="J412" t="n">
        <v>0</v>
      </c>
      <c r="K412" t="n">
        <v>0</v>
      </c>
      <c r="L412" t="n">
        <v>0</v>
      </c>
      <c r="M412" t="n">
        <v>0</v>
      </c>
      <c r="N412" t="n">
        <v>0</v>
      </c>
      <c r="O412" t="n">
        <v>0</v>
      </c>
      <c r="P412" t="n">
        <v>0</v>
      </c>
      <c r="Q412" t="n">
        <v>0</v>
      </c>
      <c r="R412" s="2" t="inlineStr"/>
    </row>
    <row r="413" ht="15" customHeight="1">
      <c r="A413" t="inlineStr">
        <is>
          <t>A 13544-2023</t>
        </is>
      </c>
      <c r="B413" s="1" t="n">
        <v>45006</v>
      </c>
      <c r="C413" s="1" t="n">
        <v>45270</v>
      </c>
      <c r="D413" t="inlineStr">
        <is>
          <t>VÄSTMANLANDS LÄN</t>
        </is>
      </c>
      <c r="E413" t="inlineStr">
        <is>
          <t>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14230-2023</t>
        </is>
      </c>
      <c r="B414" s="1" t="n">
        <v>45009</v>
      </c>
      <c r="C414" s="1" t="n">
        <v>45270</v>
      </c>
      <c r="D414" t="inlineStr">
        <is>
          <t>VÄSTMANLANDS LÄN</t>
        </is>
      </c>
      <c r="E414" t="inlineStr">
        <is>
          <t>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15768-2023</t>
        </is>
      </c>
      <c r="B415" s="1" t="n">
        <v>45021</v>
      </c>
      <c r="C415" s="1" t="n">
        <v>45270</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15811-2023</t>
        </is>
      </c>
      <c r="B416" s="1" t="n">
        <v>45021</v>
      </c>
      <c r="C416" s="1" t="n">
        <v>45270</v>
      </c>
      <c r="D416" t="inlineStr">
        <is>
          <t>VÄSTMANLANDS LÄN</t>
        </is>
      </c>
      <c r="E416" t="inlineStr">
        <is>
          <t>KÖPING</t>
        </is>
      </c>
      <c r="G416" t="n">
        <v>1.5</v>
      </c>
      <c r="H416" t="n">
        <v>0</v>
      </c>
      <c r="I416" t="n">
        <v>0</v>
      </c>
      <c r="J416" t="n">
        <v>0</v>
      </c>
      <c r="K416" t="n">
        <v>0</v>
      </c>
      <c r="L416" t="n">
        <v>0</v>
      </c>
      <c r="M416" t="n">
        <v>0</v>
      </c>
      <c r="N416" t="n">
        <v>0</v>
      </c>
      <c r="O416" t="n">
        <v>0</v>
      </c>
      <c r="P416" t="n">
        <v>0</v>
      </c>
      <c r="Q416" t="n">
        <v>0</v>
      </c>
      <c r="R416" s="2" t="inlineStr"/>
    </row>
    <row r="417" ht="15" customHeight="1">
      <c r="A417" t="inlineStr">
        <is>
          <t>A 15657-2023</t>
        </is>
      </c>
      <c r="B417" s="1" t="n">
        <v>45021</v>
      </c>
      <c r="C417" s="1" t="n">
        <v>45270</v>
      </c>
      <c r="D417" t="inlineStr">
        <is>
          <t>VÄSTMANLANDS LÄN</t>
        </is>
      </c>
      <c r="E417" t="inlineStr">
        <is>
          <t>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17204-2023</t>
        </is>
      </c>
      <c r="B418" s="1" t="n">
        <v>45034</v>
      </c>
      <c r="C418" s="1" t="n">
        <v>45270</v>
      </c>
      <c r="D418" t="inlineStr">
        <is>
          <t>VÄSTMANLANDS LÄN</t>
        </is>
      </c>
      <c r="E418" t="inlineStr">
        <is>
          <t>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17302-2023</t>
        </is>
      </c>
      <c r="B419" s="1" t="n">
        <v>45035</v>
      </c>
      <c r="C419" s="1" t="n">
        <v>45270</v>
      </c>
      <c r="D419" t="inlineStr">
        <is>
          <t>VÄSTMANLANDS LÄN</t>
        </is>
      </c>
      <c r="E419" t="inlineStr">
        <is>
          <t>KÖPING</t>
        </is>
      </c>
      <c r="G419" t="n">
        <v>3</v>
      </c>
      <c r="H419" t="n">
        <v>0</v>
      </c>
      <c r="I419" t="n">
        <v>0</v>
      </c>
      <c r="J419" t="n">
        <v>0</v>
      </c>
      <c r="K419" t="n">
        <v>0</v>
      </c>
      <c r="L419" t="n">
        <v>0</v>
      </c>
      <c r="M419" t="n">
        <v>0</v>
      </c>
      <c r="N419" t="n">
        <v>0</v>
      </c>
      <c r="O419" t="n">
        <v>0</v>
      </c>
      <c r="P419" t="n">
        <v>0</v>
      </c>
      <c r="Q419" t="n">
        <v>0</v>
      </c>
      <c r="R419" s="2" t="inlineStr"/>
    </row>
    <row r="420" ht="15" customHeight="1">
      <c r="A420" t="inlineStr">
        <is>
          <t>A 17295-2023</t>
        </is>
      </c>
      <c r="B420" s="1" t="n">
        <v>45035</v>
      </c>
      <c r="C420" s="1" t="n">
        <v>45270</v>
      </c>
      <c r="D420" t="inlineStr">
        <is>
          <t>VÄSTMANLANDS LÄN</t>
        </is>
      </c>
      <c r="E420" t="inlineStr">
        <is>
          <t>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17402-2023</t>
        </is>
      </c>
      <c r="B421" s="1" t="n">
        <v>45035</v>
      </c>
      <c r="C421" s="1" t="n">
        <v>45270</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17380-2023</t>
        </is>
      </c>
      <c r="B422" s="1" t="n">
        <v>45035</v>
      </c>
      <c r="C422" s="1" t="n">
        <v>45270</v>
      </c>
      <c r="D422" t="inlineStr">
        <is>
          <t>VÄSTMANLANDS LÄN</t>
        </is>
      </c>
      <c r="E422" t="inlineStr">
        <is>
          <t>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18077-2023</t>
        </is>
      </c>
      <c r="B423" s="1" t="n">
        <v>45040</v>
      </c>
      <c r="C423" s="1" t="n">
        <v>45270</v>
      </c>
      <c r="D423" t="inlineStr">
        <is>
          <t>VÄSTMANLANDS LÄN</t>
        </is>
      </c>
      <c r="E423" t="inlineStr">
        <is>
          <t>KÖPING</t>
        </is>
      </c>
      <c r="G423" t="n">
        <v>4.2</v>
      </c>
      <c r="H423" t="n">
        <v>0</v>
      </c>
      <c r="I423" t="n">
        <v>0</v>
      </c>
      <c r="J423" t="n">
        <v>0</v>
      </c>
      <c r="K423" t="n">
        <v>0</v>
      </c>
      <c r="L423" t="n">
        <v>0</v>
      </c>
      <c r="M423" t="n">
        <v>0</v>
      </c>
      <c r="N423" t="n">
        <v>0</v>
      </c>
      <c r="O423" t="n">
        <v>0</v>
      </c>
      <c r="P423" t="n">
        <v>0</v>
      </c>
      <c r="Q423" t="n">
        <v>0</v>
      </c>
      <c r="R423" s="2" t="inlineStr"/>
    </row>
    <row r="424" ht="15" customHeight="1">
      <c r="A424" t="inlineStr">
        <is>
          <t>A 19576-2023</t>
        </is>
      </c>
      <c r="B424" s="1" t="n">
        <v>45050</v>
      </c>
      <c r="C424" s="1" t="n">
        <v>45270</v>
      </c>
      <c r="D424" t="inlineStr">
        <is>
          <t>VÄSTMANLANDS LÄN</t>
        </is>
      </c>
      <c r="E424" t="inlineStr">
        <is>
          <t>KÖPING</t>
        </is>
      </c>
      <c r="G424" t="n">
        <v>2</v>
      </c>
      <c r="H424" t="n">
        <v>0</v>
      </c>
      <c r="I424" t="n">
        <v>0</v>
      </c>
      <c r="J424" t="n">
        <v>0</v>
      </c>
      <c r="K424" t="n">
        <v>0</v>
      </c>
      <c r="L424" t="n">
        <v>0</v>
      </c>
      <c r="M424" t="n">
        <v>0</v>
      </c>
      <c r="N424" t="n">
        <v>0</v>
      </c>
      <c r="O424" t="n">
        <v>0</v>
      </c>
      <c r="P424" t="n">
        <v>0</v>
      </c>
      <c r="Q424" t="n">
        <v>0</v>
      </c>
      <c r="R424" s="2" t="inlineStr"/>
    </row>
    <row r="425" ht="15" customHeight="1">
      <c r="A425" t="inlineStr">
        <is>
          <t>A 19563-2023</t>
        </is>
      </c>
      <c r="B425" s="1" t="n">
        <v>45050</v>
      </c>
      <c r="C425" s="1" t="n">
        <v>45270</v>
      </c>
      <c r="D425" t="inlineStr">
        <is>
          <t>VÄSTMANLANDS LÄN</t>
        </is>
      </c>
      <c r="E425" t="inlineStr">
        <is>
          <t>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19568-2023</t>
        </is>
      </c>
      <c r="B426" s="1" t="n">
        <v>45050</v>
      </c>
      <c r="C426" s="1" t="n">
        <v>45270</v>
      </c>
      <c r="D426" t="inlineStr">
        <is>
          <t>VÄSTMANLANDS LÄN</t>
        </is>
      </c>
      <c r="E426" t="inlineStr">
        <is>
          <t>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19575-2023</t>
        </is>
      </c>
      <c r="B427" s="1" t="n">
        <v>45050</v>
      </c>
      <c r="C427" s="1" t="n">
        <v>45270</v>
      </c>
      <c r="D427" t="inlineStr">
        <is>
          <t>VÄSTMANLANDS LÄN</t>
        </is>
      </c>
      <c r="E427" t="inlineStr">
        <is>
          <t>KÖPING</t>
        </is>
      </c>
      <c r="G427" t="n">
        <v>3.9</v>
      </c>
      <c r="H427" t="n">
        <v>0</v>
      </c>
      <c r="I427" t="n">
        <v>0</v>
      </c>
      <c r="J427" t="n">
        <v>0</v>
      </c>
      <c r="K427" t="n">
        <v>0</v>
      </c>
      <c r="L427" t="n">
        <v>0</v>
      </c>
      <c r="M427" t="n">
        <v>0</v>
      </c>
      <c r="N427" t="n">
        <v>0</v>
      </c>
      <c r="O427" t="n">
        <v>0</v>
      </c>
      <c r="P427" t="n">
        <v>0</v>
      </c>
      <c r="Q427" t="n">
        <v>0</v>
      </c>
      <c r="R427" s="2" t="inlineStr"/>
    </row>
    <row r="428" ht="15" customHeight="1">
      <c r="A428" t="inlineStr">
        <is>
          <t>A 19477-2023</t>
        </is>
      </c>
      <c r="B428" s="1" t="n">
        <v>45050</v>
      </c>
      <c r="C428" s="1" t="n">
        <v>45270</v>
      </c>
      <c r="D428" t="inlineStr">
        <is>
          <t>VÄSTMANLANDS LÄN</t>
        </is>
      </c>
      <c r="E428" t="inlineStr">
        <is>
          <t>KÖPING</t>
        </is>
      </c>
      <c r="G428" t="n">
        <v>5.1</v>
      </c>
      <c r="H428" t="n">
        <v>0</v>
      </c>
      <c r="I428" t="n">
        <v>0</v>
      </c>
      <c r="J428" t="n">
        <v>0</v>
      </c>
      <c r="K428" t="n">
        <v>0</v>
      </c>
      <c r="L428" t="n">
        <v>0</v>
      </c>
      <c r="M428" t="n">
        <v>0</v>
      </c>
      <c r="N428" t="n">
        <v>0</v>
      </c>
      <c r="O428" t="n">
        <v>0</v>
      </c>
      <c r="P428" t="n">
        <v>0</v>
      </c>
      <c r="Q428" t="n">
        <v>0</v>
      </c>
      <c r="R428" s="2" t="inlineStr"/>
    </row>
    <row r="429" ht="15" customHeight="1">
      <c r="A429" t="inlineStr">
        <is>
          <t>A 20148-2023</t>
        </is>
      </c>
      <c r="B429" s="1" t="n">
        <v>45051</v>
      </c>
      <c r="C429" s="1" t="n">
        <v>45270</v>
      </c>
      <c r="D429" t="inlineStr">
        <is>
          <t>VÄSTMANLANDS LÄN</t>
        </is>
      </c>
      <c r="E429" t="inlineStr">
        <is>
          <t>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20158-2023</t>
        </is>
      </c>
      <c r="B430" s="1" t="n">
        <v>45051</v>
      </c>
      <c r="C430" s="1" t="n">
        <v>45270</v>
      </c>
      <c r="D430" t="inlineStr">
        <is>
          <t>VÄSTMANLANDS LÄN</t>
        </is>
      </c>
      <c r="E430" t="inlineStr">
        <is>
          <t>KÖPING</t>
        </is>
      </c>
      <c r="G430" t="n">
        <v>3.1</v>
      </c>
      <c r="H430" t="n">
        <v>0</v>
      </c>
      <c r="I430" t="n">
        <v>0</v>
      </c>
      <c r="J430" t="n">
        <v>0</v>
      </c>
      <c r="K430" t="n">
        <v>0</v>
      </c>
      <c r="L430" t="n">
        <v>0</v>
      </c>
      <c r="M430" t="n">
        <v>0</v>
      </c>
      <c r="N430" t="n">
        <v>0</v>
      </c>
      <c r="O430" t="n">
        <v>0</v>
      </c>
      <c r="P430" t="n">
        <v>0</v>
      </c>
      <c r="Q430" t="n">
        <v>0</v>
      </c>
      <c r="R430" s="2" t="inlineStr"/>
    </row>
    <row r="431" ht="15" customHeight="1">
      <c r="A431" t="inlineStr">
        <is>
          <t>A 20151-2023</t>
        </is>
      </c>
      <c r="B431" s="1" t="n">
        <v>45051</v>
      </c>
      <c r="C431" s="1" t="n">
        <v>45270</v>
      </c>
      <c r="D431" t="inlineStr">
        <is>
          <t>VÄSTMANLANDS LÄN</t>
        </is>
      </c>
      <c r="E431" t="inlineStr">
        <is>
          <t>KÖPING</t>
        </is>
      </c>
      <c r="G431" t="n">
        <v>4.7</v>
      </c>
      <c r="H431" t="n">
        <v>0</v>
      </c>
      <c r="I431" t="n">
        <v>0</v>
      </c>
      <c r="J431" t="n">
        <v>0</v>
      </c>
      <c r="K431" t="n">
        <v>0</v>
      </c>
      <c r="L431" t="n">
        <v>0</v>
      </c>
      <c r="M431" t="n">
        <v>0</v>
      </c>
      <c r="N431" t="n">
        <v>0</v>
      </c>
      <c r="O431" t="n">
        <v>0</v>
      </c>
      <c r="P431" t="n">
        <v>0</v>
      </c>
      <c r="Q431" t="n">
        <v>0</v>
      </c>
      <c r="R431" s="2" t="inlineStr"/>
    </row>
    <row r="432" ht="15" customHeight="1">
      <c r="A432" t="inlineStr">
        <is>
          <t>A 20155-2023</t>
        </is>
      </c>
      <c r="B432" s="1" t="n">
        <v>45051</v>
      </c>
      <c r="C432" s="1" t="n">
        <v>45270</v>
      </c>
      <c r="D432" t="inlineStr">
        <is>
          <t>VÄSTMANLANDS LÄN</t>
        </is>
      </c>
      <c r="E432" t="inlineStr">
        <is>
          <t>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20812-2023</t>
        </is>
      </c>
      <c r="B433" s="1" t="n">
        <v>45058</v>
      </c>
      <c r="C433" s="1" t="n">
        <v>45270</v>
      </c>
      <c r="D433" t="inlineStr">
        <is>
          <t>VÄSTMANLANDS LÄN</t>
        </is>
      </c>
      <c r="E433" t="inlineStr">
        <is>
          <t>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21971-2023</t>
        </is>
      </c>
      <c r="B434" s="1" t="n">
        <v>45068</v>
      </c>
      <c r="C434" s="1" t="n">
        <v>45270</v>
      </c>
      <c r="D434" t="inlineStr">
        <is>
          <t>VÄSTMANLANDS LÄN</t>
        </is>
      </c>
      <c r="E434" t="inlineStr">
        <is>
          <t>KÖPING</t>
        </is>
      </c>
      <c r="G434" t="n">
        <v>3.3</v>
      </c>
      <c r="H434" t="n">
        <v>0</v>
      </c>
      <c r="I434" t="n">
        <v>0</v>
      </c>
      <c r="J434" t="n">
        <v>0</v>
      </c>
      <c r="K434" t="n">
        <v>0</v>
      </c>
      <c r="L434" t="n">
        <v>0</v>
      </c>
      <c r="M434" t="n">
        <v>0</v>
      </c>
      <c r="N434" t="n">
        <v>0</v>
      </c>
      <c r="O434" t="n">
        <v>0</v>
      </c>
      <c r="P434" t="n">
        <v>0</v>
      </c>
      <c r="Q434" t="n">
        <v>0</v>
      </c>
      <c r="R434" s="2" t="inlineStr"/>
    </row>
    <row r="435" ht="15" customHeight="1">
      <c r="A435" t="inlineStr">
        <is>
          <t>A 21903-2023</t>
        </is>
      </c>
      <c r="B435" s="1" t="n">
        <v>45068</v>
      </c>
      <c r="C435" s="1" t="n">
        <v>45270</v>
      </c>
      <c r="D435" t="inlineStr">
        <is>
          <t>VÄSTMANLANDS LÄN</t>
        </is>
      </c>
      <c r="E435" t="inlineStr">
        <is>
          <t>KÖPING</t>
        </is>
      </c>
      <c r="G435" t="n">
        <v>4.6</v>
      </c>
      <c r="H435" t="n">
        <v>0</v>
      </c>
      <c r="I435" t="n">
        <v>0</v>
      </c>
      <c r="J435" t="n">
        <v>0</v>
      </c>
      <c r="K435" t="n">
        <v>0</v>
      </c>
      <c r="L435" t="n">
        <v>0</v>
      </c>
      <c r="M435" t="n">
        <v>0</v>
      </c>
      <c r="N435" t="n">
        <v>0</v>
      </c>
      <c r="O435" t="n">
        <v>0</v>
      </c>
      <c r="P435" t="n">
        <v>0</v>
      </c>
      <c r="Q435" t="n">
        <v>0</v>
      </c>
      <c r="R435" s="2" t="inlineStr"/>
    </row>
    <row r="436" ht="15" customHeight="1">
      <c r="A436" t="inlineStr">
        <is>
          <t>A 22115-2023</t>
        </is>
      </c>
      <c r="B436" s="1" t="n">
        <v>45069</v>
      </c>
      <c r="C436" s="1" t="n">
        <v>45270</v>
      </c>
      <c r="D436" t="inlineStr">
        <is>
          <t>VÄSTMANLANDS LÄN</t>
        </is>
      </c>
      <c r="E436" t="inlineStr">
        <is>
          <t>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22118-2023</t>
        </is>
      </c>
      <c r="B437" s="1" t="n">
        <v>45069</v>
      </c>
      <c r="C437" s="1" t="n">
        <v>45270</v>
      </c>
      <c r="D437" t="inlineStr">
        <is>
          <t>VÄSTMANLANDS LÄN</t>
        </is>
      </c>
      <c r="E437" t="inlineStr">
        <is>
          <t>KÖPING</t>
        </is>
      </c>
      <c r="G437" t="n">
        <v>5.5</v>
      </c>
      <c r="H437" t="n">
        <v>0</v>
      </c>
      <c r="I437" t="n">
        <v>0</v>
      </c>
      <c r="J437" t="n">
        <v>0</v>
      </c>
      <c r="K437" t="n">
        <v>0</v>
      </c>
      <c r="L437" t="n">
        <v>0</v>
      </c>
      <c r="M437" t="n">
        <v>0</v>
      </c>
      <c r="N437" t="n">
        <v>0</v>
      </c>
      <c r="O437" t="n">
        <v>0</v>
      </c>
      <c r="P437" t="n">
        <v>0</v>
      </c>
      <c r="Q437" t="n">
        <v>0</v>
      </c>
      <c r="R437" s="2" t="inlineStr"/>
    </row>
    <row r="438" ht="15" customHeight="1">
      <c r="A438" t="inlineStr">
        <is>
          <t>A 23386-2023</t>
        </is>
      </c>
      <c r="B438" s="1" t="n">
        <v>45076</v>
      </c>
      <c r="C438" s="1" t="n">
        <v>45270</v>
      </c>
      <c r="D438" t="inlineStr">
        <is>
          <t>VÄSTMANLANDS LÄN</t>
        </is>
      </c>
      <c r="E438" t="inlineStr">
        <is>
          <t>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23390-2023</t>
        </is>
      </c>
      <c r="B439" s="1" t="n">
        <v>45076</v>
      </c>
      <c r="C439" s="1" t="n">
        <v>45270</v>
      </c>
      <c r="D439" t="inlineStr">
        <is>
          <t>VÄSTMANLANDS LÄN</t>
        </is>
      </c>
      <c r="E439" t="inlineStr">
        <is>
          <t>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23387-2023</t>
        </is>
      </c>
      <c r="B440" s="1" t="n">
        <v>45076</v>
      </c>
      <c r="C440" s="1" t="n">
        <v>45270</v>
      </c>
      <c r="D440" t="inlineStr">
        <is>
          <t>VÄSTMANLANDS LÄN</t>
        </is>
      </c>
      <c r="E440" t="inlineStr">
        <is>
          <t>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23389-2023</t>
        </is>
      </c>
      <c r="B441" s="1" t="n">
        <v>45076</v>
      </c>
      <c r="C441" s="1" t="n">
        <v>45270</v>
      </c>
      <c r="D441" t="inlineStr">
        <is>
          <t>VÄSTMANLANDS LÄN</t>
        </is>
      </c>
      <c r="E441" t="inlineStr">
        <is>
          <t>KÖPING</t>
        </is>
      </c>
      <c r="G441" t="n">
        <v>5.6</v>
      </c>
      <c r="H441" t="n">
        <v>0</v>
      </c>
      <c r="I441" t="n">
        <v>0</v>
      </c>
      <c r="J441" t="n">
        <v>0</v>
      </c>
      <c r="K441" t="n">
        <v>0</v>
      </c>
      <c r="L441" t="n">
        <v>0</v>
      </c>
      <c r="M441" t="n">
        <v>0</v>
      </c>
      <c r="N441" t="n">
        <v>0</v>
      </c>
      <c r="O441" t="n">
        <v>0</v>
      </c>
      <c r="P441" t="n">
        <v>0</v>
      </c>
      <c r="Q441" t="n">
        <v>0</v>
      </c>
      <c r="R441" s="2" t="inlineStr"/>
    </row>
    <row r="442" ht="15" customHeight="1">
      <c r="A442" t="inlineStr">
        <is>
          <t>A 23658-2023</t>
        </is>
      </c>
      <c r="B442" s="1" t="n">
        <v>45077</v>
      </c>
      <c r="C442" s="1" t="n">
        <v>45270</v>
      </c>
      <c r="D442" t="inlineStr">
        <is>
          <t>VÄSTMANLANDS LÄN</t>
        </is>
      </c>
      <c r="E442" t="inlineStr">
        <is>
          <t>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23656-2023</t>
        </is>
      </c>
      <c r="B443" s="1" t="n">
        <v>45077</v>
      </c>
      <c r="C443" s="1" t="n">
        <v>45270</v>
      </c>
      <c r="D443" t="inlineStr">
        <is>
          <t>VÄSTMANLANDS LÄN</t>
        </is>
      </c>
      <c r="E443" t="inlineStr">
        <is>
          <t>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23825-2023</t>
        </is>
      </c>
      <c r="B444" s="1" t="n">
        <v>45078</v>
      </c>
      <c r="C444" s="1" t="n">
        <v>45270</v>
      </c>
      <c r="D444" t="inlineStr">
        <is>
          <t>VÄSTMANLANDS LÄN</t>
        </is>
      </c>
      <c r="E444" t="inlineStr">
        <is>
          <t>KÖPING</t>
        </is>
      </c>
      <c r="G444" t="n">
        <v>1.6</v>
      </c>
      <c r="H444" t="n">
        <v>0</v>
      </c>
      <c r="I444" t="n">
        <v>0</v>
      </c>
      <c r="J444" t="n">
        <v>0</v>
      </c>
      <c r="K444" t="n">
        <v>0</v>
      </c>
      <c r="L444" t="n">
        <v>0</v>
      </c>
      <c r="M444" t="n">
        <v>0</v>
      </c>
      <c r="N444" t="n">
        <v>0</v>
      </c>
      <c r="O444" t="n">
        <v>0</v>
      </c>
      <c r="P444" t="n">
        <v>0</v>
      </c>
      <c r="Q444" t="n">
        <v>0</v>
      </c>
      <c r="R444" s="2" t="inlineStr"/>
    </row>
    <row r="445" ht="15" customHeight="1">
      <c r="A445" t="inlineStr">
        <is>
          <t>A 25804-2023</t>
        </is>
      </c>
      <c r="B445" s="1" t="n">
        <v>45090</v>
      </c>
      <c r="C445" s="1" t="n">
        <v>45270</v>
      </c>
      <c r="D445" t="inlineStr">
        <is>
          <t>VÄSTMANLANDS LÄN</t>
        </is>
      </c>
      <c r="E445" t="inlineStr">
        <is>
          <t>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27230-2023</t>
        </is>
      </c>
      <c r="B446" s="1" t="n">
        <v>45096</v>
      </c>
      <c r="C446" s="1" t="n">
        <v>45270</v>
      </c>
      <c r="D446" t="inlineStr">
        <is>
          <t>VÄSTMANLANDS LÄN</t>
        </is>
      </c>
      <c r="E446" t="inlineStr">
        <is>
          <t>KÖPING</t>
        </is>
      </c>
      <c r="G446" t="n">
        <v>4.7</v>
      </c>
      <c r="H446" t="n">
        <v>0</v>
      </c>
      <c r="I446" t="n">
        <v>0</v>
      </c>
      <c r="J446" t="n">
        <v>0</v>
      </c>
      <c r="K446" t="n">
        <v>0</v>
      </c>
      <c r="L446" t="n">
        <v>0</v>
      </c>
      <c r="M446" t="n">
        <v>0</v>
      </c>
      <c r="N446" t="n">
        <v>0</v>
      </c>
      <c r="O446" t="n">
        <v>0</v>
      </c>
      <c r="P446" t="n">
        <v>0</v>
      </c>
      <c r="Q446" t="n">
        <v>0</v>
      </c>
      <c r="R446" s="2" t="inlineStr"/>
    </row>
    <row r="447" ht="15" customHeight="1">
      <c r="A447" t="inlineStr">
        <is>
          <t>A 27891-2023</t>
        </is>
      </c>
      <c r="B447" s="1" t="n">
        <v>45098</v>
      </c>
      <c r="C447" s="1" t="n">
        <v>45270</v>
      </c>
      <c r="D447" t="inlineStr">
        <is>
          <t>VÄSTMANLANDS LÄN</t>
        </is>
      </c>
      <c r="E447" t="inlineStr">
        <is>
          <t>KÖPING</t>
        </is>
      </c>
      <c r="G447" t="n">
        <v>4.5</v>
      </c>
      <c r="H447" t="n">
        <v>0</v>
      </c>
      <c r="I447" t="n">
        <v>0</v>
      </c>
      <c r="J447" t="n">
        <v>0</v>
      </c>
      <c r="K447" t="n">
        <v>0</v>
      </c>
      <c r="L447" t="n">
        <v>0</v>
      </c>
      <c r="M447" t="n">
        <v>0</v>
      </c>
      <c r="N447" t="n">
        <v>0</v>
      </c>
      <c r="O447" t="n">
        <v>0</v>
      </c>
      <c r="P447" t="n">
        <v>0</v>
      </c>
      <c r="Q447" t="n">
        <v>0</v>
      </c>
      <c r="R447" s="2" t="inlineStr"/>
    </row>
    <row r="448" ht="15" customHeight="1">
      <c r="A448" t="inlineStr">
        <is>
          <t>A 28230-2023</t>
        </is>
      </c>
      <c r="B448" s="1" t="n">
        <v>45099</v>
      </c>
      <c r="C448" s="1" t="n">
        <v>45270</v>
      </c>
      <c r="D448" t="inlineStr">
        <is>
          <t>VÄSTMANLANDS LÄN</t>
        </is>
      </c>
      <c r="E448" t="inlineStr">
        <is>
          <t>KÖPING</t>
        </is>
      </c>
      <c r="G448" t="n">
        <v>6.7</v>
      </c>
      <c r="H448" t="n">
        <v>0</v>
      </c>
      <c r="I448" t="n">
        <v>0</v>
      </c>
      <c r="J448" t="n">
        <v>0</v>
      </c>
      <c r="K448" t="n">
        <v>0</v>
      </c>
      <c r="L448" t="n">
        <v>0</v>
      </c>
      <c r="M448" t="n">
        <v>0</v>
      </c>
      <c r="N448" t="n">
        <v>0</v>
      </c>
      <c r="O448" t="n">
        <v>0</v>
      </c>
      <c r="P448" t="n">
        <v>0</v>
      </c>
      <c r="Q448" t="n">
        <v>0</v>
      </c>
      <c r="R448" s="2" t="inlineStr"/>
    </row>
    <row r="449" ht="15" customHeight="1">
      <c r="A449" t="inlineStr">
        <is>
          <t>A 28237-2023</t>
        </is>
      </c>
      <c r="B449" s="1" t="n">
        <v>45099</v>
      </c>
      <c r="C449" s="1" t="n">
        <v>45270</v>
      </c>
      <c r="D449" t="inlineStr">
        <is>
          <t>VÄSTMANLANDS LÄN</t>
        </is>
      </c>
      <c r="E449" t="inlineStr">
        <is>
          <t>KÖPING</t>
        </is>
      </c>
      <c r="G449" t="n">
        <v>0.8</v>
      </c>
      <c r="H449" t="n">
        <v>0</v>
      </c>
      <c r="I449" t="n">
        <v>0</v>
      </c>
      <c r="J449" t="n">
        <v>0</v>
      </c>
      <c r="K449" t="n">
        <v>0</v>
      </c>
      <c r="L449" t="n">
        <v>0</v>
      </c>
      <c r="M449" t="n">
        <v>0</v>
      </c>
      <c r="N449" t="n">
        <v>0</v>
      </c>
      <c r="O449" t="n">
        <v>0</v>
      </c>
      <c r="P449" t="n">
        <v>0</v>
      </c>
      <c r="Q449" t="n">
        <v>0</v>
      </c>
      <c r="R449" s="2" t="inlineStr"/>
    </row>
    <row r="450" ht="15" customHeight="1">
      <c r="A450" t="inlineStr">
        <is>
          <t>A 29456-2023</t>
        </is>
      </c>
      <c r="B450" s="1" t="n">
        <v>45106</v>
      </c>
      <c r="C450" s="1" t="n">
        <v>45270</v>
      </c>
      <c r="D450" t="inlineStr">
        <is>
          <t>VÄSTMANLANDS LÄN</t>
        </is>
      </c>
      <c r="E450" t="inlineStr">
        <is>
          <t>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31169-2023</t>
        </is>
      </c>
      <c r="B451" s="1" t="n">
        <v>45113</v>
      </c>
      <c r="C451" s="1" t="n">
        <v>45270</v>
      </c>
      <c r="D451" t="inlineStr">
        <is>
          <t>VÄSTMANLANDS LÄN</t>
        </is>
      </c>
      <c r="E451" t="inlineStr">
        <is>
          <t>KÖPING</t>
        </is>
      </c>
      <c r="G451" t="n">
        <v>5.9</v>
      </c>
      <c r="H451" t="n">
        <v>0</v>
      </c>
      <c r="I451" t="n">
        <v>0</v>
      </c>
      <c r="J451" t="n">
        <v>0</v>
      </c>
      <c r="K451" t="n">
        <v>0</v>
      </c>
      <c r="L451" t="n">
        <v>0</v>
      </c>
      <c r="M451" t="n">
        <v>0</v>
      </c>
      <c r="N451" t="n">
        <v>0</v>
      </c>
      <c r="O451" t="n">
        <v>0</v>
      </c>
      <c r="P451" t="n">
        <v>0</v>
      </c>
      <c r="Q451" t="n">
        <v>0</v>
      </c>
      <c r="R451" s="2" t="inlineStr"/>
    </row>
    <row r="452" ht="15" customHeight="1">
      <c r="A452" t="inlineStr">
        <is>
          <t>A 31227-2023</t>
        </is>
      </c>
      <c r="B452" s="1" t="n">
        <v>45114</v>
      </c>
      <c r="C452" s="1" t="n">
        <v>45270</v>
      </c>
      <c r="D452" t="inlineStr">
        <is>
          <t>VÄSTMANLANDS LÄN</t>
        </is>
      </c>
      <c r="E452" t="inlineStr">
        <is>
          <t>KÖPING</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31231-2023</t>
        </is>
      </c>
      <c r="B453" s="1" t="n">
        <v>45114</v>
      </c>
      <c r="C453" s="1" t="n">
        <v>45270</v>
      </c>
      <c r="D453" t="inlineStr">
        <is>
          <t>VÄSTMANLANDS LÄN</t>
        </is>
      </c>
      <c r="E453" t="inlineStr">
        <is>
          <t>KÖPING</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34290-2023</t>
        </is>
      </c>
      <c r="B454" s="1" t="n">
        <v>45138</v>
      </c>
      <c r="C454" s="1" t="n">
        <v>45270</v>
      </c>
      <c r="D454" t="inlineStr">
        <is>
          <t>VÄSTMANLANDS LÄN</t>
        </is>
      </c>
      <c r="E454" t="inlineStr">
        <is>
          <t>KÖPING</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34291-2023</t>
        </is>
      </c>
      <c r="B455" s="1" t="n">
        <v>45138</v>
      </c>
      <c r="C455" s="1" t="n">
        <v>45270</v>
      </c>
      <c r="D455" t="inlineStr">
        <is>
          <t>VÄSTMANLANDS LÄN</t>
        </is>
      </c>
      <c r="E455" t="inlineStr">
        <is>
          <t>KÖPING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35716-2023</t>
        </is>
      </c>
      <c r="B456" s="1" t="n">
        <v>45147</v>
      </c>
      <c r="C456" s="1" t="n">
        <v>45270</v>
      </c>
      <c r="D456" t="inlineStr">
        <is>
          <t>VÄSTMANLANDS LÄN</t>
        </is>
      </c>
      <c r="E456" t="inlineStr">
        <is>
          <t>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36161-2023</t>
        </is>
      </c>
      <c r="B457" s="1" t="n">
        <v>45149</v>
      </c>
      <c r="C457" s="1" t="n">
        <v>45270</v>
      </c>
      <c r="D457" t="inlineStr">
        <is>
          <t>VÄSTMANLANDS LÄN</t>
        </is>
      </c>
      <c r="E457" t="inlineStr">
        <is>
          <t>KÖPING</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36165-2023</t>
        </is>
      </c>
      <c r="B458" s="1" t="n">
        <v>45149</v>
      </c>
      <c r="C458" s="1" t="n">
        <v>45270</v>
      </c>
      <c r="D458" t="inlineStr">
        <is>
          <t>VÄSTMANLANDS LÄN</t>
        </is>
      </c>
      <c r="E458" t="inlineStr">
        <is>
          <t>KÖPING</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36279-2023</t>
        </is>
      </c>
      <c r="B459" s="1" t="n">
        <v>45152</v>
      </c>
      <c r="C459" s="1" t="n">
        <v>45270</v>
      </c>
      <c r="D459" t="inlineStr">
        <is>
          <t>VÄSTMANLANDS LÄN</t>
        </is>
      </c>
      <c r="E459" t="inlineStr">
        <is>
          <t>KÖPING</t>
        </is>
      </c>
      <c r="F459" t="inlineStr">
        <is>
          <t>Sveaskog</t>
        </is>
      </c>
      <c r="G459" t="n">
        <v>2.9</v>
      </c>
      <c r="H459" t="n">
        <v>0</v>
      </c>
      <c r="I459" t="n">
        <v>0</v>
      </c>
      <c r="J459" t="n">
        <v>0</v>
      </c>
      <c r="K459" t="n">
        <v>0</v>
      </c>
      <c r="L459" t="n">
        <v>0</v>
      </c>
      <c r="M459" t="n">
        <v>0</v>
      </c>
      <c r="N459" t="n">
        <v>0</v>
      </c>
      <c r="O459" t="n">
        <v>0</v>
      </c>
      <c r="P459" t="n">
        <v>0</v>
      </c>
      <c r="Q459" t="n">
        <v>0</v>
      </c>
      <c r="R459" s="2" t="inlineStr"/>
    </row>
    <row r="460" ht="15" customHeight="1">
      <c r="A460" t="inlineStr">
        <is>
          <t>A 36405-2023</t>
        </is>
      </c>
      <c r="B460" s="1" t="n">
        <v>45152</v>
      </c>
      <c r="C460" s="1" t="n">
        <v>45270</v>
      </c>
      <c r="D460" t="inlineStr">
        <is>
          <t>VÄSTMANLANDS LÄN</t>
        </is>
      </c>
      <c r="E460" t="inlineStr">
        <is>
          <t>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36409-2023</t>
        </is>
      </c>
      <c r="B461" s="1" t="n">
        <v>45152</v>
      </c>
      <c r="C461" s="1" t="n">
        <v>45270</v>
      </c>
      <c r="D461" t="inlineStr">
        <is>
          <t>VÄSTMANLANDS LÄN</t>
        </is>
      </c>
      <c r="E461" t="inlineStr">
        <is>
          <t>KÖPING</t>
        </is>
      </c>
      <c r="G461" t="n">
        <v>3.4</v>
      </c>
      <c r="H461" t="n">
        <v>0</v>
      </c>
      <c r="I461" t="n">
        <v>0</v>
      </c>
      <c r="J461" t="n">
        <v>0</v>
      </c>
      <c r="K461" t="n">
        <v>0</v>
      </c>
      <c r="L461" t="n">
        <v>0</v>
      </c>
      <c r="M461" t="n">
        <v>0</v>
      </c>
      <c r="N461" t="n">
        <v>0</v>
      </c>
      <c r="O461" t="n">
        <v>0</v>
      </c>
      <c r="P461" t="n">
        <v>0</v>
      </c>
      <c r="Q461" t="n">
        <v>0</v>
      </c>
      <c r="R461" s="2" t="inlineStr"/>
    </row>
    <row r="462" ht="15" customHeight="1">
      <c r="A462" t="inlineStr">
        <is>
          <t>A 36658-2023</t>
        </is>
      </c>
      <c r="B462" s="1" t="n">
        <v>45153</v>
      </c>
      <c r="C462" s="1" t="n">
        <v>45270</v>
      </c>
      <c r="D462" t="inlineStr">
        <is>
          <t>VÄSTMANLANDS LÄN</t>
        </is>
      </c>
      <c r="E462" t="inlineStr">
        <is>
          <t>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36712-2023</t>
        </is>
      </c>
      <c r="B463" s="1" t="n">
        <v>45153</v>
      </c>
      <c r="C463" s="1" t="n">
        <v>45270</v>
      </c>
      <c r="D463" t="inlineStr">
        <is>
          <t>VÄSTMANLANDS LÄN</t>
        </is>
      </c>
      <c r="E463" t="inlineStr">
        <is>
          <t>KÖPING</t>
        </is>
      </c>
      <c r="F463" t="inlineStr">
        <is>
          <t>Sveaskog</t>
        </is>
      </c>
      <c r="G463" t="n">
        <v>6.9</v>
      </c>
      <c r="H463" t="n">
        <v>0</v>
      </c>
      <c r="I463" t="n">
        <v>0</v>
      </c>
      <c r="J463" t="n">
        <v>0</v>
      </c>
      <c r="K463" t="n">
        <v>0</v>
      </c>
      <c r="L463" t="n">
        <v>0</v>
      </c>
      <c r="M463" t="n">
        <v>0</v>
      </c>
      <c r="N463" t="n">
        <v>0</v>
      </c>
      <c r="O463" t="n">
        <v>0</v>
      </c>
      <c r="P463" t="n">
        <v>0</v>
      </c>
      <c r="Q463" t="n">
        <v>0</v>
      </c>
      <c r="R463" s="2" t="inlineStr"/>
    </row>
    <row r="464" ht="15" customHeight="1">
      <c r="A464" t="inlineStr">
        <is>
          <t>A 36704-2023</t>
        </is>
      </c>
      <c r="B464" s="1" t="n">
        <v>45153</v>
      </c>
      <c r="C464" s="1" t="n">
        <v>45270</v>
      </c>
      <c r="D464" t="inlineStr">
        <is>
          <t>VÄSTMANLANDS LÄN</t>
        </is>
      </c>
      <c r="E464" t="inlineStr">
        <is>
          <t>KÖPING</t>
        </is>
      </c>
      <c r="F464" t="inlineStr">
        <is>
          <t>Sveaskog</t>
        </is>
      </c>
      <c r="G464" t="n">
        <v>2.7</v>
      </c>
      <c r="H464" t="n">
        <v>0</v>
      </c>
      <c r="I464" t="n">
        <v>0</v>
      </c>
      <c r="J464" t="n">
        <v>0</v>
      </c>
      <c r="K464" t="n">
        <v>0</v>
      </c>
      <c r="L464" t="n">
        <v>0</v>
      </c>
      <c r="M464" t="n">
        <v>0</v>
      </c>
      <c r="N464" t="n">
        <v>0</v>
      </c>
      <c r="O464" t="n">
        <v>0</v>
      </c>
      <c r="P464" t="n">
        <v>0</v>
      </c>
      <c r="Q464" t="n">
        <v>0</v>
      </c>
      <c r="R464" s="2" t="inlineStr"/>
    </row>
    <row r="465" ht="15" customHeight="1">
      <c r="A465" t="inlineStr">
        <is>
          <t>A 36709-2023</t>
        </is>
      </c>
      <c r="B465" s="1" t="n">
        <v>45153</v>
      </c>
      <c r="C465" s="1" t="n">
        <v>45270</v>
      </c>
      <c r="D465" t="inlineStr">
        <is>
          <t>VÄSTMANLANDS LÄN</t>
        </is>
      </c>
      <c r="E465" t="inlineStr">
        <is>
          <t>KÖPING</t>
        </is>
      </c>
      <c r="F465" t="inlineStr">
        <is>
          <t>Sveaskog</t>
        </is>
      </c>
      <c r="G465" t="n">
        <v>4</v>
      </c>
      <c r="H465" t="n">
        <v>0</v>
      </c>
      <c r="I465" t="n">
        <v>0</v>
      </c>
      <c r="J465" t="n">
        <v>0</v>
      </c>
      <c r="K465" t="n">
        <v>0</v>
      </c>
      <c r="L465" t="n">
        <v>0</v>
      </c>
      <c r="M465" t="n">
        <v>0</v>
      </c>
      <c r="N465" t="n">
        <v>0</v>
      </c>
      <c r="O465" t="n">
        <v>0</v>
      </c>
      <c r="P465" t="n">
        <v>0</v>
      </c>
      <c r="Q465" t="n">
        <v>0</v>
      </c>
      <c r="R465" s="2" t="inlineStr"/>
    </row>
    <row r="466" ht="15" customHeight="1">
      <c r="A466" t="inlineStr">
        <is>
          <t>A 37669-2023</t>
        </is>
      </c>
      <c r="B466" s="1" t="n">
        <v>45159</v>
      </c>
      <c r="C466" s="1" t="n">
        <v>45270</v>
      </c>
      <c r="D466" t="inlineStr">
        <is>
          <t>VÄSTMANLANDS LÄN</t>
        </is>
      </c>
      <c r="E466" t="inlineStr">
        <is>
          <t>KÖPING</t>
        </is>
      </c>
      <c r="G466" t="n">
        <v>3</v>
      </c>
      <c r="H466" t="n">
        <v>0</v>
      </c>
      <c r="I466" t="n">
        <v>0</v>
      </c>
      <c r="J466" t="n">
        <v>0</v>
      </c>
      <c r="K466" t="n">
        <v>0</v>
      </c>
      <c r="L466" t="n">
        <v>0</v>
      </c>
      <c r="M466" t="n">
        <v>0</v>
      </c>
      <c r="N466" t="n">
        <v>0</v>
      </c>
      <c r="O466" t="n">
        <v>0</v>
      </c>
      <c r="P466" t="n">
        <v>0</v>
      </c>
      <c r="Q466" t="n">
        <v>0</v>
      </c>
      <c r="R466" s="2" t="inlineStr"/>
    </row>
    <row r="467" ht="15" customHeight="1">
      <c r="A467" t="inlineStr">
        <is>
          <t>A 37752-2023</t>
        </is>
      </c>
      <c r="B467" s="1" t="n">
        <v>45159</v>
      </c>
      <c r="C467" s="1" t="n">
        <v>45270</v>
      </c>
      <c r="D467" t="inlineStr">
        <is>
          <t>VÄSTMANLANDS LÄN</t>
        </is>
      </c>
      <c r="E467" t="inlineStr">
        <is>
          <t>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38055-2023</t>
        </is>
      </c>
      <c r="B468" s="1" t="n">
        <v>45160</v>
      </c>
      <c r="C468" s="1" t="n">
        <v>45270</v>
      </c>
      <c r="D468" t="inlineStr">
        <is>
          <t>VÄSTMANLANDS LÄN</t>
        </is>
      </c>
      <c r="E468" t="inlineStr">
        <is>
          <t>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39646-2023</t>
        </is>
      </c>
      <c r="B469" s="1" t="n">
        <v>45166</v>
      </c>
      <c r="C469" s="1" t="n">
        <v>45270</v>
      </c>
      <c r="D469" t="inlineStr">
        <is>
          <t>VÄSTMANLANDS LÄN</t>
        </is>
      </c>
      <c r="E469" t="inlineStr">
        <is>
          <t>KÖPING</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40690-2023</t>
        </is>
      </c>
      <c r="B470" s="1" t="n">
        <v>45170</v>
      </c>
      <c r="C470" s="1" t="n">
        <v>45270</v>
      </c>
      <c r="D470" t="inlineStr">
        <is>
          <t>VÄSTMANLANDS LÄN</t>
        </is>
      </c>
      <c r="E470" t="inlineStr">
        <is>
          <t>KÖPING</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40693-2023</t>
        </is>
      </c>
      <c r="B471" s="1" t="n">
        <v>45170</v>
      </c>
      <c r="C471" s="1" t="n">
        <v>45270</v>
      </c>
      <c r="D471" t="inlineStr">
        <is>
          <t>VÄSTMANLANDS LÄN</t>
        </is>
      </c>
      <c r="E471" t="inlineStr">
        <is>
          <t>KÖPING</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41812-2023</t>
        </is>
      </c>
      <c r="B472" s="1" t="n">
        <v>45176</v>
      </c>
      <c r="C472" s="1" t="n">
        <v>45270</v>
      </c>
      <c r="D472" t="inlineStr">
        <is>
          <t>VÄSTMANLANDS LÄN</t>
        </is>
      </c>
      <c r="E472" t="inlineStr">
        <is>
          <t>KÖPING</t>
        </is>
      </c>
      <c r="G472" t="n">
        <v>2.6</v>
      </c>
      <c r="H472" t="n">
        <v>0</v>
      </c>
      <c r="I472" t="n">
        <v>0</v>
      </c>
      <c r="J472" t="n">
        <v>0</v>
      </c>
      <c r="K472" t="n">
        <v>0</v>
      </c>
      <c r="L472" t="n">
        <v>0</v>
      </c>
      <c r="M472" t="n">
        <v>0</v>
      </c>
      <c r="N472" t="n">
        <v>0</v>
      </c>
      <c r="O472" t="n">
        <v>0</v>
      </c>
      <c r="P472" t="n">
        <v>0</v>
      </c>
      <c r="Q472" t="n">
        <v>0</v>
      </c>
      <c r="R472" s="2" t="inlineStr"/>
    </row>
    <row r="473" ht="15" customHeight="1">
      <c r="A473" t="inlineStr">
        <is>
          <t>A 41815-2023</t>
        </is>
      </c>
      <c r="B473" s="1" t="n">
        <v>45176</v>
      </c>
      <c r="C473" s="1" t="n">
        <v>45270</v>
      </c>
      <c r="D473" t="inlineStr">
        <is>
          <t>VÄSTMANLANDS LÄN</t>
        </is>
      </c>
      <c r="E473" t="inlineStr">
        <is>
          <t>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41818-2023</t>
        </is>
      </c>
      <c r="B474" s="1" t="n">
        <v>45176</v>
      </c>
      <c r="C474" s="1" t="n">
        <v>45270</v>
      </c>
      <c r="D474" t="inlineStr">
        <is>
          <t>VÄSTMANLANDS LÄN</t>
        </is>
      </c>
      <c r="E474" t="inlineStr">
        <is>
          <t>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42039-2023</t>
        </is>
      </c>
      <c r="B475" s="1" t="n">
        <v>45177</v>
      </c>
      <c r="C475" s="1" t="n">
        <v>45270</v>
      </c>
      <c r="D475" t="inlineStr">
        <is>
          <t>VÄSTMANLANDS LÄN</t>
        </is>
      </c>
      <c r="E475" t="inlineStr">
        <is>
          <t>KÖPING</t>
        </is>
      </c>
      <c r="G475" t="n">
        <v>6.6</v>
      </c>
      <c r="H475" t="n">
        <v>0</v>
      </c>
      <c r="I475" t="n">
        <v>0</v>
      </c>
      <c r="J475" t="n">
        <v>0</v>
      </c>
      <c r="K475" t="n">
        <v>0</v>
      </c>
      <c r="L475" t="n">
        <v>0</v>
      </c>
      <c r="M475" t="n">
        <v>0</v>
      </c>
      <c r="N475" t="n">
        <v>0</v>
      </c>
      <c r="O475" t="n">
        <v>0</v>
      </c>
      <c r="P475" t="n">
        <v>0</v>
      </c>
      <c r="Q475" t="n">
        <v>0</v>
      </c>
      <c r="R475" s="2" t="inlineStr"/>
    </row>
    <row r="476" ht="15" customHeight="1">
      <c r="A476" t="inlineStr">
        <is>
          <t>A 44586-2023</t>
        </is>
      </c>
      <c r="B476" s="1" t="n">
        <v>45189</v>
      </c>
      <c r="C476" s="1" t="n">
        <v>45270</v>
      </c>
      <c r="D476" t="inlineStr">
        <is>
          <t>VÄSTMANLANDS LÄN</t>
        </is>
      </c>
      <c r="E476" t="inlineStr">
        <is>
          <t>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44604-2023</t>
        </is>
      </c>
      <c r="B477" s="1" t="n">
        <v>45189</v>
      </c>
      <c r="C477" s="1" t="n">
        <v>45270</v>
      </c>
      <c r="D477" t="inlineStr">
        <is>
          <t>VÄSTMANLANDS LÄN</t>
        </is>
      </c>
      <c r="E477" t="inlineStr">
        <is>
          <t>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44621-2023</t>
        </is>
      </c>
      <c r="B478" s="1" t="n">
        <v>45189</v>
      </c>
      <c r="C478" s="1" t="n">
        <v>45270</v>
      </c>
      <c r="D478" t="inlineStr">
        <is>
          <t>VÄSTMANLANDS LÄN</t>
        </is>
      </c>
      <c r="E478" t="inlineStr">
        <is>
          <t>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44616-2023</t>
        </is>
      </c>
      <c r="B479" s="1" t="n">
        <v>45189</v>
      </c>
      <c r="C479" s="1" t="n">
        <v>45270</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44582-2023</t>
        </is>
      </c>
      <c r="B480" s="1" t="n">
        <v>45189</v>
      </c>
      <c r="C480" s="1" t="n">
        <v>45270</v>
      </c>
      <c r="D480" t="inlineStr">
        <is>
          <t>VÄSTMANLANDS LÄN</t>
        </is>
      </c>
      <c r="E480" t="inlineStr">
        <is>
          <t>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44814-2023</t>
        </is>
      </c>
      <c r="B481" s="1" t="n">
        <v>45190</v>
      </c>
      <c r="C481" s="1" t="n">
        <v>45270</v>
      </c>
      <c r="D481" t="inlineStr">
        <is>
          <t>VÄSTMANLANDS LÄN</t>
        </is>
      </c>
      <c r="E481" t="inlineStr">
        <is>
          <t>KÖPING</t>
        </is>
      </c>
      <c r="G481" t="n">
        <v>24.2</v>
      </c>
      <c r="H481" t="n">
        <v>0</v>
      </c>
      <c r="I481" t="n">
        <v>0</v>
      </c>
      <c r="J481" t="n">
        <v>0</v>
      </c>
      <c r="K481" t="n">
        <v>0</v>
      </c>
      <c r="L481" t="n">
        <v>0</v>
      </c>
      <c r="M481" t="n">
        <v>0</v>
      </c>
      <c r="N481" t="n">
        <v>0</v>
      </c>
      <c r="O481" t="n">
        <v>0</v>
      </c>
      <c r="P481" t="n">
        <v>0</v>
      </c>
      <c r="Q481" t="n">
        <v>0</v>
      </c>
      <c r="R481" s="2" t="inlineStr"/>
    </row>
    <row r="482" ht="15" customHeight="1">
      <c r="A482" t="inlineStr">
        <is>
          <t>A 45308-2023</t>
        </is>
      </c>
      <c r="B482" s="1" t="n">
        <v>45191</v>
      </c>
      <c r="C482" s="1" t="n">
        <v>45270</v>
      </c>
      <c r="D482" t="inlineStr">
        <is>
          <t>VÄSTMANLANDS LÄN</t>
        </is>
      </c>
      <c r="E482" t="inlineStr">
        <is>
          <t>KÖPING</t>
        </is>
      </c>
      <c r="G482" t="n">
        <v>5</v>
      </c>
      <c r="H482" t="n">
        <v>0</v>
      </c>
      <c r="I482" t="n">
        <v>0</v>
      </c>
      <c r="J482" t="n">
        <v>0</v>
      </c>
      <c r="K482" t="n">
        <v>0</v>
      </c>
      <c r="L482" t="n">
        <v>0</v>
      </c>
      <c r="M482" t="n">
        <v>0</v>
      </c>
      <c r="N482" t="n">
        <v>0</v>
      </c>
      <c r="O482" t="n">
        <v>0</v>
      </c>
      <c r="P482" t="n">
        <v>0</v>
      </c>
      <c r="Q482" t="n">
        <v>0</v>
      </c>
      <c r="R482" s="2" t="inlineStr"/>
    </row>
    <row r="483" ht="15" customHeight="1">
      <c r="A483" t="inlineStr">
        <is>
          <t>A 46599-2023</t>
        </is>
      </c>
      <c r="B483" s="1" t="n">
        <v>45194</v>
      </c>
      <c r="C483" s="1" t="n">
        <v>45270</v>
      </c>
      <c r="D483" t="inlineStr">
        <is>
          <t>VÄSTMANLANDS LÄN</t>
        </is>
      </c>
      <c r="E483" t="inlineStr">
        <is>
          <t>KÖPING</t>
        </is>
      </c>
      <c r="G483" t="n">
        <v>6.8</v>
      </c>
      <c r="H483" t="n">
        <v>0</v>
      </c>
      <c r="I483" t="n">
        <v>0</v>
      </c>
      <c r="J483" t="n">
        <v>0</v>
      </c>
      <c r="K483" t="n">
        <v>0</v>
      </c>
      <c r="L483" t="n">
        <v>0</v>
      </c>
      <c r="M483" t="n">
        <v>0</v>
      </c>
      <c r="N483" t="n">
        <v>0</v>
      </c>
      <c r="O483" t="n">
        <v>0</v>
      </c>
      <c r="P483" t="n">
        <v>0</v>
      </c>
      <c r="Q483" t="n">
        <v>0</v>
      </c>
      <c r="R483" s="2" t="inlineStr"/>
    </row>
    <row r="484" ht="15" customHeight="1">
      <c r="A484" t="inlineStr">
        <is>
          <t>A 45901-2023</t>
        </is>
      </c>
      <c r="B484" s="1" t="n">
        <v>45195</v>
      </c>
      <c r="C484" s="1" t="n">
        <v>45270</v>
      </c>
      <c r="D484" t="inlineStr">
        <is>
          <t>VÄSTMANLANDS LÄN</t>
        </is>
      </c>
      <c r="E484" t="inlineStr">
        <is>
          <t>KÖPING</t>
        </is>
      </c>
      <c r="F484" t="inlineStr">
        <is>
          <t>Sveaskog</t>
        </is>
      </c>
      <c r="G484" t="n">
        <v>3.4</v>
      </c>
      <c r="H484" t="n">
        <v>0</v>
      </c>
      <c r="I484" t="n">
        <v>0</v>
      </c>
      <c r="J484" t="n">
        <v>0</v>
      </c>
      <c r="K484" t="n">
        <v>0</v>
      </c>
      <c r="L484" t="n">
        <v>0</v>
      </c>
      <c r="M484" t="n">
        <v>0</v>
      </c>
      <c r="N484" t="n">
        <v>0</v>
      </c>
      <c r="O484" t="n">
        <v>0</v>
      </c>
      <c r="P484" t="n">
        <v>0</v>
      </c>
      <c r="Q484" t="n">
        <v>0</v>
      </c>
      <c r="R484" s="2" t="inlineStr"/>
    </row>
    <row r="485" ht="15" customHeight="1">
      <c r="A485" t="inlineStr">
        <is>
          <t>A 45905-2023</t>
        </is>
      </c>
      <c r="B485" s="1" t="n">
        <v>45195</v>
      </c>
      <c r="C485" s="1" t="n">
        <v>45270</v>
      </c>
      <c r="D485" t="inlineStr">
        <is>
          <t>VÄSTMANLANDS LÄN</t>
        </is>
      </c>
      <c r="E485" t="inlineStr">
        <is>
          <t>KÖPING</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45902-2023</t>
        </is>
      </c>
      <c r="B486" s="1" t="n">
        <v>45195</v>
      </c>
      <c r="C486" s="1" t="n">
        <v>45270</v>
      </c>
      <c r="D486" t="inlineStr">
        <is>
          <t>VÄSTMANLANDS LÄN</t>
        </is>
      </c>
      <c r="E486" t="inlineStr">
        <is>
          <t>KÖPING</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47282-2023</t>
        </is>
      </c>
      <c r="B487" s="1" t="n">
        <v>45202</v>
      </c>
      <c r="C487" s="1" t="n">
        <v>45270</v>
      </c>
      <c r="D487" t="inlineStr">
        <is>
          <t>VÄSTMANLANDS LÄN</t>
        </is>
      </c>
      <c r="E487" t="inlineStr">
        <is>
          <t>KÖPING</t>
        </is>
      </c>
      <c r="G487" t="n">
        <v>5</v>
      </c>
      <c r="H487" t="n">
        <v>0</v>
      </c>
      <c r="I487" t="n">
        <v>0</v>
      </c>
      <c r="J487" t="n">
        <v>0</v>
      </c>
      <c r="K487" t="n">
        <v>0</v>
      </c>
      <c r="L487" t="n">
        <v>0</v>
      </c>
      <c r="M487" t="n">
        <v>0</v>
      </c>
      <c r="N487" t="n">
        <v>0</v>
      </c>
      <c r="O487" t="n">
        <v>0</v>
      </c>
      <c r="P487" t="n">
        <v>0</v>
      </c>
      <c r="Q487" t="n">
        <v>0</v>
      </c>
      <c r="R487" s="2" t="inlineStr"/>
    </row>
    <row r="488" ht="15" customHeight="1">
      <c r="A488" t="inlineStr">
        <is>
          <t>A 48807-2023</t>
        </is>
      </c>
      <c r="B488" s="1" t="n">
        <v>45209</v>
      </c>
      <c r="C488" s="1" t="n">
        <v>45270</v>
      </c>
      <c r="D488" t="inlineStr">
        <is>
          <t>VÄSTMANLANDS LÄN</t>
        </is>
      </c>
      <c r="E488" t="inlineStr">
        <is>
          <t>KÖPING</t>
        </is>
      </c>
      <c r="F488" t="inlineStr">
        <is>
          <t>Sveaskog</t>
        </is>
      </c>
      <c r="G488" t="n">
        <v>1.7</v>
      </c>
      <c r="H488" t="n">
        <v>0</v>
      </c>
      <c r="I488" t="n">
        <v>0</v>
      </c>
      <c r="J488" t="n">
        <v>0</v>
      </c>
      <c r="K488" t="n">
        <v>0</v>
      </c>
      <c r="L488" t="n">
        <v>0</v>
      </c>
      <c r="M488" t="n">
        <v>0</v>
      </c>
      <c r="N488" t="n">
        <v>0</v>
      </c>
      <c r="O488" t="n">
        <v>0</v>
      </c>
      <c r="P488" t="n">
        <v>0</v>
      </c>
      <c r="Q488" t="n">
        <v>0</v>
      </c>
      <c r="R488" s="2" t="inlineStr"/>
    </row>
    <row r="489" ht="15" customHeight="1">
      <c r="A489" t="inlineStr">
        <is>
          <t>A 48809-2023</t>
        </is>
      </c>
      <c r="B489" s="1" t="n">
        <v>45209</v>
      </c>
      <c r="C489" s="1" t="n">
        <v>45270</v>
      </c>
      <c r="D489" t="inlineStr">
        <is>
          <t>VÄSTMANLANDS LÄN</t>
        </is>
      </c>
      <c r="E489" t="inlineStr">
        <is>
          <t>KÖPING</t>
        </is>
      </c>
      <c r="F489" t="inlineStr">
        <is>
          <t>Sveaskog</t>
        </is>
      </c>
      <c r="G489" t="n">
        <v>2</v>
      </c>
      <c r="H489" t="n">
        <v>0</v>
      </c>
      <c r="I489" t="n">
        <v>0</v>
      </c>
      <c r="J489" t="n">
        <v>0</v>
      </c>
      <c r="K489" t="n">
        <v>0</v>
      </c>
      <c r="L489" t="n">
        <v>0</v>
      </c>
      <c r="M489" t="n">
        <v>0</v>
      </c>
      <c r="N489" t="n">
        <v>0</v>
      </c>
      <c r="O489" t="n">
        <v>0</v>
      </c>
      <c r="P489" t="n">
        <v>0</v>
      </c>
      <c r="Q489" t="n">
        <v>0</v>
      </c>
      <c r="R489" s="2" t="inlineStr"/>
    </row>
    <row r="490" ht="15" customHeight="1">
      <c r="A490" t="inlineStr">
        <is>
          <t>A 48810-2023</t>
        </is>
      </c>
      <c r="B490" s="1" t="n">
        <v>45209</v>
      </c>
      <c r="C490" s="1" t="n">
        <v>45270</v>
      </c>
      <c r="D490" t="inlineStr">
        <is>
          <t>VÄSTMANLANDS LÄN</t>
        </is>
      </c>
      <c r="E490" t="inlineStr">
        <is>
          <t>KÖPING</t>
        </is>
      </c>
      <c r="F490" t="inlineStr">
        <is>
          <t>Sveaskog</t>
        </is>
      </c>
      <c r="G490" t="n">
        <v>2.3</v>
      </c>
      <c r="H490" t="n">
        <v>0</v>
      </c>
      <c r="I490" t="n">
        <v>0</v>
      </c>
      <c r="J490" t="n">
        <v>0</v>
      </c>
      <c r="K490" t="n">
        <v>0</v>
      </c>
      <c r="L490" t="n">
        <v>0</v>
      </c>
      <c r="M490" t="n">
        <v>0</v>
      </c>
      <c r="N490" t="n">
        <v>0</v>
      </c>
      <c r="O490" t="n">
        <v>0</v>
      </c>
      <c r="P490" t="n">
        <v>0</v>
      </c>
      <c r="Q490" t="n">
        <v>0</v>
      </c>
      <c r="R490" s="2" t="inlineStr"/>
    </row>
    <row r="491" ht="15" customHeight="1">
      <c r="A491" t="inlineStr">
        <is>
          <t>A 49822-2023</t>
        </is>
      </c>
      <c r="B491" s="1" t="n">
        <v>45212</v>
      </c>
      <c r="C491" s="1" t="n">
        <v>45270</v>
      </c>
      <c r="D491" t="inlineStr">
        <is>
          <t>VÄSTMANLANDS LÄN</t>
        </is>
      </c>
      <c r="E491" t="inlineStr">
        <is>
          <t>KÖPING</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49826-2023</t>
        </is>
      </c>
      <c r="B492" s="1" t="n">
        <v>45212</v>
      </c>
      <c r="C492" s="1" t="n">
        <v>45270</v>
      </c>
      <c r="D492" t="inlineStr">
        <is>
          <t>VÄSTMANLANDS LÄN</t>
        </is>
      </c>
      <c r="E492" t="inlineStr">
        <is>
          <t>KÖPING</t>
        </is>
      </c>
      <c r="F492" t="inlineStr">
        <is>
          <t>Sveaskog</t>
        </is>
      </c>
      <c r="G492" t="n">
        <v>4.1</v>
      </c>
      <c r="H492" t="n">
        <v>0</v>
      </c>
      <c r="I492" t="n">
        <v>0</v>
      </c>
      <c r="J492" t="n">
        <v>0</v>
      </c>
      <c r="K492" t="n">
        <v>0</v>
      </c>
      <c r="L492" t="n">
        <v>0</v>
      </c>
      <c r="M492" t="n">
        <v>0</v>
      </c>
      <c r="N492" t="n">
        <v>0</v>
      </c>
      <c r="O492" t="n">
        <v>0</v>
      </c>
      <c r="P492" t="n">
        <v>0</v>
      </c>
      <c r="Q492" t="n">
        <v>0</v>
      </c>
      <c r="R492" s="2" t="inlineStr"/>
    </row>
    <row r="493" ht="15" customHeight="1">
      <c r="A493" t="inlineStr">
        <is>
          <t>A 49828-2023</t>
        </is>
      </c>
      <c r="B493" s="1" t="n">
        <v>45212</v>
      </c>
      <c r="C493" s="1" t="n">
        <v>45270</v>
      </c>
      <c r="D493" t="inlineStr">
        <is>
          <t>VÄSTMANLANDS LÄN</t>
        </is>
      </c>
      <c r="E493" t="inlineStr">
        <is>
          <t>KÖPING</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49827-2023</t>
        </is>
      </c>
      <c r="B494" s="1" t="n">
        <v>45212</v>
      </c>
      <c r="C494" s="1" t="n">
        <v>45270</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51176-2023</t>
        </is>
      </c>
      <c r="B495" s="1" t="n">
        <v>45219</v>
      </c>
      <c r="C495" s="1" t="n">
        <v>45270</v>
      </c>
      <c r="D495" t="inlineStr">
        <is>
          <t>VÄSTMANLANDS LÄN</t>
        </is>
      </c>
      <c r="E495" t="inlineStr">
        <is>
          <t>KÖPING</t>
        </is>
      </c>
      <c r="G495" t="n">
        <v>1.4</v>
      </c>
      <c r="H495" t="n">
        <v>0</v>
      </c>
      <c r="I495" t="n">
        <v>0</v>
      </c>
      <c r="J495" t="n">
        <v>0</v>
      </c>
      <c r="K495" t="n">
        <v>0</v>
      </c>
      <c r="L495" t="n">
        <v>0</v>
      </c>
      <c r="M495" t="n">
        <v>0</v>
      </c>
      <c r="N495" t="n">
        <v>0</v>
      </c>
      <c r="O495" t="n">
        <v>0</v>
      </c>
      <c r="P495" t="n">
        <v>0</v>
      </c>
      <c r="Q495" t="n">
        <v>0</v>
      </c>
      <c r="R495" s="2" t="inlineStr"/>
    </row>
    <row r="496" ht="15" customHeight="1">
      <c r="A496" t="inlineStr">
        <is>
          <t>A 51360-2023</t>
        </is>
      </c>
      <c r="B496" s="1" t="n">
        <v>45219</v>
      </c>
      <c r="C496" s="1" t="n">
        <v>45270</v>
      </c>
      <c r="D496" t="inlineStr">
        <is>
          <t>VÄSTMANLANDS LÄN</t>
        </is>
      </c>
      <c r="E496" t="inlineStr">
        <is>
          <t>KÖPING</t>
        </is>
      </c>
      <c r="F496" t="inlineStr">
        <is>
          <t>Sveaskog</t>
        </is>
      </c>
      <c r="G496" t="n">
        <v>1.8</v>
      </c>
      <c r="H496" t="n">
        <v>0</v>
      </c>
      <c r="I496" t="n">
        <v>0</v>
      </c>
      <c r="J496" t="n">
        <v>0</v>
      </c>
      <c r="K496" t="n">
        <v>0</v>
      </c>
      <c r="L496" t="n">
        <v>0</v>
      </c>
      <c r="M496" t="n">
        <v>0</v>
      </c>
      <c r="N496" t="n">
        <v>0</v>
      </c>
      <c r="O496" t="n">
        <v>0</v>
      </c>
      <c r="P496" t="n">
        <v>0</v>
      </c>
      <c r="Q496" t="n">
        <v>0</v>
      </c>
      <c r="R496" s="2" t="inlineStr"/>
    </row>
    <row r="497" ht="15" customHeight="1">
      <c r="A497" t="inlineStr">
        <is>
          <t>A 51363-2023</t>
        </is>
      </c>
      <c r="B497" s="1" t="n">
        <v>45219</v>
      </c>
      <c r="C497" s="1" t="n">
        <v>45270</v>
      </c>
      <c r="D497" t="inlineStr">
        <is>
          <t>VÄSTMANLANDS LÄN</t>
        </is>
      </c>
      <c r="E497" t="inlineStr">
        <is>
          <t>KÖPING</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51407-2023</t>
        </is>
      </c>
      <c r="B498" s="1" t="n">
        <v>45219</v>
      </c>
      <c r="C498" s="1" t="n">
        <v>45270</v>
      </c>
      <c r="D498" t="inlineStr">
        <is>
          <t>VÄSTMANLANDS LÄN</t>
        </is>
      </c>
      <c r="E498" t="inlineStr">
        <is>
          <t>KÖPING</t>
        </is>
      </c>
      <c r="G498" t="n">
        <v>4</v>
      </c>
      <c r="H498" t="n">
        <v>0</v>
      </c>
      <c r="I498" t="n">
        <v>0</v>
      </c>
      <c r="J498" t="n">
        <v>0</v>
      </c>
      <c r="K498" t="n">
        <v>0</v>
      </c>
      <c r="L498" t="n">
        <v>0</v>
      </c>
      <c r="M498" t="n">
        <v>0</v>
      </c>
      <c r="N498" t="n">
        <v>0</v>
      </c>
      <c r="O498" t="n">
        <v>0</v>
      </c>
      <c r="P498" t="n">
        <v>0</v>
      </c>
      <c r="Q498" t="n">
        <v>0</v>
      </c>
      <c r="R498" s="2" t="inlineStr"/>
    </row>
    <row r="499" ht="15" customHeight="1">
      <c r="A499" t="inlineStr">
        <is>
          <t>A 51409-2023</t>
        </is>
      </c>
      <c r="B499" s="1" t="n">
        <v>45219</v>
      </c>
      <c r="C499" s="1" t="n">
        <v>45270</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51362-2023</t>
        </is>
      </c>
      <c r="B500" s="1" t="n">
        <v>45219</v>
      </c>
      <c r="C500" s="1" t="n">
        <v>45270</v>
      </c>
      <c r="D500" t="inlineStr">
        <is>
          <t>VÄSTMANLANDS LÄN</t>
        </is>
      </c>
      <c r="E500" t="inlineStr">
        <is>
          <t>KÖPING</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51412-2023</t>
        </is>
      </c>
      <c r="B501" s="1" t="n">
        <v>45219</v>
      </c>
      <c r="C501" s="1" t="n">
        <v>45270</v>
      </c>
      <c r="D501" t="inlineStr">
        <is>
          <t>VÄSTMANLANDS LÄN</t>
        </is>
      </c>
      <c r="E501" t="inlineStr">
        <is>
          <t>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51388-2023</t>
        </is>
      </c>
      <c r="B502" s="1" t="n">
        <v>45219</v>
      </c>
      <c r="C502" s="1" t="n">
        <v>45270</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51365-2023</t>
        </is>
      </c>
      <c r="B503" s="1" t="n">
        <v>45219</v>
      </c>
      <c r="C503" s="1" t="n">
        <v>45270</v>
      </c>
      <c r="D503" t="inlineStr">
        <is>
          <t>VÄSTMANLANDS LÄN</t>
        </is>
      </c>
      <c r="E503" t="inlineStr">
        <is>
          <t>KÖPING</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51132-2023</t>
        </is>
      </c>
      <c r="B504" s="1" t="n">
        <v>45219</v>
      </c>
      <c r="C504" s="1" t="n">
        <v>45270</v>
      </c>
      <c r="D504" t="inlineStr">
        <is>
          <t>VÄSTMANLANDS LÄN</t>
        </is>
      </c>
      <c r="E504" t="inlineStr">
        <is>
          <t>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51119-2023</t>
        </is>
      </c>
      <c r="B505" s="1" t="n">
        <v>45219</v>
      </c>
      <c r="C505" s="1" t="n">
        <v>45270</v>
      </c>
      <c r="D505" t="inlineStr">
        <is>
          <t>VÄSTMANLANDS LÄN</t>
        </is>
      </c>
      <c r="E505" t="inlineStr">
        <is>
          <t>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51123-2023</t>
        </is>
      </c>
      <c r="B506" s="1" t="n">
        <v>45219</v>
      </c>
      <c r="C506" s="1" t="n">
        <v>45270</v>
      </c>
      <c r="D506" t="inlineStr">
        <is>
          <t>VÄSTMANLANDS LÄN</t>
        </is>
      </c>
      <c r="E506" t="inlineStr">
        <is>
          <t>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52475-2023</t>
        </is>
      </c>
      <c r="B507" s="1" t="n">
        <v>45225</v>
      </c>
      <c r="C507" s="1" t="n">
        <v>45270</v>
      </c>
      <c r="D507" t="inlineStr">
        <is>
          <t>VÄSTMANLANDS LÄN</t>
        </is>
      </c>
      <c r="E507" t="inlineStr">
        <is>
          <t>KÖPING</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53061-2023</t>
        </is>
      </c>
      <c r="B508" s="1" t="n">
        <v>45227</v>
      </c>
      <c r="C508" s="1" t="n">
        <v>45270</v>
      </c>
      <c r="D508" t="inlineStr">
        <is>
          <t>VÄSTMANLANDS LÄN</t>
        </is>
      </c>
      <c r="E508" t="inlineStr">
        <is>
          <t>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54657-2023</t>
        </is>
      </c>
      <c r="B509" s="1" t="n">
        <v>45235</v>
      </c>
      <c r="C509" s="1" t="n">
        <v>45270</v>
      </c>
      <c r="D509" t="inlineStr">
        <is>
          <t>VÄSTMANLANDS LÄN</t>
        </is>
      </c>
      <c r="E509" t="inlineStr">
        <is>
          <t>KÖPING</t>
        </is>
      </c>
      <c r="G509" t="n">
        <v>4.2</v>
      </c>
      <c r="H509" t="n">
        <v>0</v>
      </c>
      <c r="I509" t="n">
        <v>0</v>
      </c>
      <c r="J509" t="n">
        <v>0</v>
      </c>
      <c r="K509" t="n">
        <v>0</v>
      </c>
      <c r="L509" t="n">
        <v>0</v>
      </c>
      <c r="M509" t="n">
        <v>0</v>
      </c>
      <c r="N509" t="n">
        <v>0</v>
      </c>
      <c r="O509" t="n">
        <v>0</v>
      </c>
      <c r="P509" t="n">
        <v>0</v>
      </c>
      <c r="Q509" t="n">
        <v>0</v>
      </c>
      <c r="R509" s="2" t="inlineStr"/>
    </row>
    <row r="510" ht="15" customHeight="1">
      <c r="A510" t="inlineStr">
        <is>
          <t>A 57372-2023</t>
        </is>
      </c>
      <c r="B510" s="1" t="n">
        <v>45245</v>
      </c>
      <c r="C510" s="1" t="n">
        <v>45270</v>
      </c>
      <c r="D510" t="inlineStr">
        <is>
          <t>VÄSTMANLANDS LÄN</t>
        </is>
      </c>
      <c r="E510" t="inlineStr">
        <is>
          <t>KÖPING</t>
        </is>
      </c>
      <c r="F510" t="inlineStr">
        <is>
          <t>Sveaskog</t>
        </is>
      </c>
      <c r="G510" t="n">
        <v>7.7</v>
      </c>
      <c r="H510" t="n">
        <v>0</v>
      </c>
      <c r="I510" t="n">
        <v>0</v>
      </c>
      <c r="J510" t="n">
        <v>0</v>
      </c>
      <c r="K510" t="n">
        <v>0</v>
      </c>
      <c r="L510" t="n">
        <v>0</v>
      </c>
      <c r="M510" t="n">
        <v>0</v>
      </c>
      <c r="N510" t="n">
        <v>0</v>
      </c>
      <c r="O510" t="n">
        <v>0</v>
      </c>
      <c r="P510" t="n">
        <v>0</v>
      </c>
      <c r="Q510" t="n">
        <v>0</v>
      </c>
      <c r="R510" s="2" t="inlineStr"/>
    </row>
    <row r="511" ht="15" customHeight="1">
      <c r="A511" t="inlineStr">
        <is>
          <t>A 58728-2023</t>
        </is>
      </c>
      <c r="B511" s="1" t="n">
        <v>45251</v>
      </c>
      <c r="C511" s="1" t="n">
        <v>45270</v>
      </c>
      <c r="D511" t="inlineStr">
        <is>
          <t>VÄSTMANLANDS LÄN</t>
        </is>
      </c>
      <c r="E511" t="inlineStr">
        <is>
          <t>KÖPING</t>
        </is>
      </c>
      <c r="G511" t="n">
        <v>1.6</v>
      </c>
      <c r="H511" t="n">
        <v>0</v>
      </c>
      <c r="I511" t="n">
        <v>0</v>
      </c>
      <c r="J511" t="n">
        <v>0</v>
      </c>
      <c r="K511" t="n">
        <v>0</v>
      </c>
      <c r="L511" t="n">
        <v>0</v>
      </c>
      <c r="M511" t="n">
        <v>0</v>
      </c>
      <c r="N511" t="n">
        <v>0</v>
      </c>
      <c r="O511" t="n">
        <v>0</v>
      </c>
      <c r="P511" t="n">
        <v>0</v>
      </c>
      <c r="Q511" t="n">
        <v>0</v>
      </c>
      <c r="R511" s="2" t="inlineStr"/>
    </row>
    <row r="512" ht="15" customHeight="1">
      <c r="A512" t="inlineStr">
        <is>
          <t>A 60367-2023</t>
        </is>
      </c>
      <c r="B512" s="1" t="n">
        <v>45257</v>
      </c>
      <c r="C512" s="1" t="n">
        <v>45270</v>
      </c>
      <c r="D512" t="inlineStr">
        <is>
          <t>VÄSTMANLANDS LÄN</t>
        </is>
      </c>
      <c r="E512" t="inlineStr">
        <is>
          <t>KÖPING</t>
        </is>
      </c>
      <c r="G512" t="n">
        <v>7.6</v>
      </c>
      <c r="H512" t="n">
        <v>0</v>
      </c>
      <c r="I512" t="n">
        <v>0</v>
      </c>
      <c r="J512" t="n">
        <v>0</v>
      </c>
      <c r="K512" t="n">
        <v>0</v>
      </c>
      <c r="L512" t="n">
        <v>0</v>
      </c>
      <c r="M512" t="n">
        <v>0</v>
      </c>
      <c r="N512" t="n">
        <v>0</v>
      </c>
      <c r="O512" t="n">
        <v>0</v>
      </c>
      <c r="P512" t="n">
        <v>0</v>
      </c>
      <c r="Q512" t="n">
        <v>0</v>
      </c>
      <c r="R512" s="2" t="inlineStr"/>
    </row>
    <row r="513" ht="15" customHeight="1">
      <c r="A513" t="inlineStr">
        <is>
          <t>A 60206-2023</t>
        </is>
      </c>
      <c r="B513" s="1" t="n">
        <v>45258</v>
      </c>
      <c r="C513" s="1" t="n">
        <v>45270</v>
      </c>
      <c r="D513" t="inlineStr">
        <is>
          <t>VÄSTMANLANDS LÄN</t>
        </is>
      </c>
      <c r="E513" t="inlineStr">
        <is>
          <t>KÖPING</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61047-2023</t>
        </is>
      </c>
      <c r="B514" s="1" t="n">
        <v>45261</v>
      </c>
      <c r="C514" s="1" t="n">
        <v>45270</v>
      </c>
      <c r="D514" t="inlineStr">
        <is>
          <t>VÄSTMANLANDS LÄN</t>
        </is>
      </c>
      <c r="E514" t="inlineStr">
        <is>
          <t>KÖPING</t>
        </is>
      </c>
      <c r="G514" t="n">
        <v>5.5</v>
      </c>
      <c r="H514" t="n">
        <v>0</v>
      </c>
      <c r="I514" t="n">
        <v>0</v>
      </c>
      <c r="J514" t="n">
        <v>0</v>
      </c>
      <c r="K514" t="n">
        <v>0</v>
      </c>
      <c r="L514" t="n">
        <v>0</v>
      </c>
      <c r="M514" t="n">
        <v>0</v>
      </c>
      <c r="N514" t="n">
        <v>0</v>
      </c>
      <c r="O514" t="n">
        <v>0</v>
      </c>
      <c r="P514" t="n">
        <v>0</v>
      </c>
      <c r="Q514" t="n">
        <v>0</v>
      </c>
      <c r="R514" s="2" t="inlineStr"/>
    </row>
    <row r="515" ht="15" customHeight="1">
      <c r="A515" t="inlineStr">
        <is>
          <t>A 60991-2023</t>
        </is>
      </c>
      <c r="B515" s="1" t="n">
        <v>45261</v>
      </c>
      <c r="C515" s="1" t="n">
        <v>45270</v>
      </c>
      <c r="D515" t="inlineStr">
        <is>
          <t>VÄSTMANLANDS LÄN</t>
        </is>
      </c>
      <c r="E515" t="inlineStr">
        <is>
          <t>KÖPING</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61322-2023</t>
        </is>
      </c>
      <c r="B516" s="1" t="n">
        <v>45264</v>
      </c>
      <c r="C516" s="1" t="n">
        <v>45270</v>
      </c>
      <c r="D516" t="inlineStr">
        <is>
          <t>VÄSTMANLANDS LÄN</t>
        </is>
      </c>
      <c r="E516" t="inlineStr">
        <is>
          <t>KÖPING</t>
        </is>
      </c>
      <c r="G516" t="n">
        <v>17.5</v>
      </c>
      <c r="H516" t="n">
        <v>0</v>
      </c>
      <c r="I516" t="n">
        <v>0</v>
      </c>
      <c r="J516" t="n">
        <v>0</v>
      </c>
      <c r="K516" t="n">
        <v>0</v>
      </c>
      <c r="L516" t="n">
        <v>0</v>
      </c>
      <c r="M516" t="n">
        <v>0</v>
      </c>
      <c r="N516" t="n">
        <v>0</v>
      </c>
      <c r="O516" t="n">
        <v>0</v>
      </c>
      <c r="P516" t="n">
        <v>0</v>
      </c>
      <c r="Q516" t="n">
        <v>0</v>
      </c>
      <c r="R516" s="2" t="inlineStr"/>
    </row>
    <row r="517" ht="15" customHeight="1">
      <c r="A517" t="inlineStr">
        <is>
          <t>A 61353-2023</t>
        </is>
      </c>
      <c r="B517" s="1" t="n">
        <v>45264</v>
      </c>
      <c r="C517" s="1" t="n">
        <v>45270</v>
      </c>
      <c r="D517" t="inlineStr">
        <is>
          <t>VÄSTMANLANDS LÄN</t>
        </is>
      </c>
      <c r="E517" t="inlineStr">
        <is>
          <t>KÖPING</t>
        </is>
      </c>
      <c r="G517" t="n">
        <v>0.7</v>
      </c>
      <c r="H517" t="n">
        <v>0</v>
      </c>
      <c r="I517" t="n">
        <v>0</v>
      </c>
      <c r="J517" t="n">
        <v>0</v>
      </c>
      <c r="K517" t="n">
        <v>0</v>
      </c>
      <c r="L517" t="n">
        <v>0</v>
      </c>
      <c r="M517" t="n">
        <v>0</v>
      </c>
      <c r="N517" t="n">
        <v>0</v>
      </c>
      <c r="O517" t="n">
        <v>0</v>
      </c>
      <c r="P517" t="n">
        <v>0</v>
      </c>
      <c r="Q517" t="n">
        <v>0</v>
      </c>
      <c r="R517" s="2" t="inlineStr"/>
    </row>
    <row r="518" ht="15" customHeight="1">
      <c r="A518" t="inlineStr">
        <is>
          <t>A 61339-2023</t>
        </is>
      </c>
      <c r="B518" s="1" t="n">
        <v>45264</v>
      </c>
      <c r="C518" s="1" t="n">
        <v>45270</v>
      </c>
      <c r="D518" t="inlineStr">
        <is>
          <t>VÄSTMANLANDS LÄN</t>
        </is>
      </c>
      <c r="E518" t="inlineStr">
        <is>
          <t>KÖPING</t>
        </is>
      </c>
      <c r="G518" t="n">
        <v>5</v>
      </c>
      <c r="H518" t="n">
        <v>0</v>
      </c>
      <c r="I518" t="n">
        <v>0</v>
      </c>
      <c r="J518" t="n">
        <v>0</v>
      </c>
      <c r="K518" t="n">
        <v>0</v>
      </c>
      <c r="L518" t="n">
        <v>0</v>
      </c>
      <c r="M518" t="n">
        <v>0</v>
      </c>
      <c r="N518" t="n">
        <v>0</v>
      </c>
      <c r="O518" t="n">
        <v>0</v>
      </c>
      <c r="P518" t="n">
        <v>0</v>
      </c>
      <c r="Q518" t="n">
        <v>0</v>
      </c>
      <c r="R518" s="2" t="inlineStr"/>
    </row>
    <row r="519">
      <c r="A519" t="inlineStr">
        <is>
          <t>A 61358-2023</t>
        </is>
      </c>
      <c r="B519" s="1" t="n">
        <v>45264</v>
      </c>
      <c r="C519" s="1" t="n">
        <v>45270</v>
      </c>
      <c r="D519" t="inlineStr">
        <is>
          <t>VÄSTMANLANDS LÄN</t>
        </is>
      </c>
      <c r="E519" t="inlineStr">
        <is>
          <t>KÖPING</t>
        </is>
      </c>
      <c r="G519" t="n">
        <v>1.1</v>
      </c>
      <c r="H519" t="n">
        <v>0</v>
      </c>
      <c r="I519" t="n">
        <v>0</v>
      </c>
      <c r="J519" t="n">
        <v>0</v>
      </c>
      <c r="K519" t="n">
        <v>0</v>
      </c>
      <c r="L519" t="n">
        <v>0</v>
      </c>
      <c r="M519" t="n">
        <v>0</v>
      </c>
      <c r="N519" t="n">
        <v>0</v>
      </c>
      <c r="O519" t="n">
        <v>0</v>
      </c>
      <c r="P519" t="n">
        <v>0</v>
      </c>
      <c r="Q519" t="n">
        <v>0</v>
      </c>
      <c r="R51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2023-12-10T09:38:30Z</dcterms:created>
  <dcterms:modified xmlns:dcterms="http://purl.org/dc/terms/" xmlns:xsi="http://www.w3.org/2001/XMLSchema-instance" xsi:type="dcterms:W3CDTF">2023-12-10T09:38:30Z</dcterms:modified>
</cp:coreProperties>
</file>