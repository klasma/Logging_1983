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46042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46042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46042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46042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46042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46042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46042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46042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46042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46042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46042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46042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46042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46042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46042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46042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28500-2025</t>
        </is>
      </c>
      <c r="B18" s="1" t="n">
        <v>45819.47195601852</v>
      </c>
      <c r="C18" s="1" t="n">
        <v>46042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HYPERLINK("https://klasma.github.io/Logging_1983/artfynd/A 28500-2025 artfynd.xlsx", "A 28500-2025")</f>
        <v/>
      </c>
      <c r="T18">
        <f>HYPERLINK("https://klasma.github.io/Logging_1983/kartor/A 28500-2025 karta.png", "A 28500-2025")</f>
        <v/>
      </c>
      <c r="V18">
        <f>HYPERLINK("https://klasma.github.io/Logging_1983/klagomål/A 28500-2025 FSC-klagomål.docx", "A 28500-2025")</f>
        <v/>
      </c>
      <c r="W18">
        <f>HYPERLINK("https://klasma.github.io/Logging_1983/klagomålsmail/A 28500-2025 FSC-klagomål mail.docx", "A 28500-2025")</f>
        <v/>
      </c>
      <c r="X18">
        <f>HYPERLINK("https://klasma.github.io/Logging_1983/tillsyn/A 28500-2025 tillsynsbegäran.docx", "A 28500-2025")</f>
        <v/>
      </c>
      <c r="Y18">
        <f>HYPERLINK("https://klasma.github.io/Logging_1983/tillsynsmail/A 28500-2025 tillsynsbegäran mail.docx", "A 28500-2025")</f>
        <v/>
      </c>
    </row>
    <row r="19" ht="15" customHeight="1">
      <c r="A19" t="inlineStr">
        <is>
          <t>A 43942-2025</t>
        </is>
      </c>
      <c r="B19" s="1" t="n">
        <v>45915.36554398148</v>
      </c>
      <c r="C19" s="1" t="n">
        <v>46042</v>
      </c>
      <c r="D19" t="inlineStr">
        <is>
          <t>VÄSTMANLANDS LÄN</t>
        </is>
      </c>
      <c r="E19" t="inlineStr">
        <is>
          <t>KÖPING</t>
        </is>
      </c>
      <c r="G19" t="n">
        <v>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Storgröe</t>
        </is>
      </c>
      <c r="S19">
        <f>HYPERLINK("https://klasma.github.io/Logging_1983/artfynd/A 43942-2025 artfynd.xlsx", "A 43942-2025")</f>
        <v/>
      </c>
      <c r="T19">
        <f>HYPERLINK("https://klasma.github.io/Logging_1983/kartor/A 43942-2025 karta.png", "A 43942-2025")</f>
        <v/>
      </c>
      <c r="V19">
        <f>HYPERLINK("https://klasma.github.io/Logging_1983/klagomål/A 43942-2025 FSC-klagomål.docx", "A 43942-2025")</f>
        <v/>
      </c>
      <c r="W19">
        <f>HYPERLINK("https://klasma.github.io/Logging_1983/klagomålsmail/A 43942-2025 FSC-klagomål mail.docx", "A 43942-2025")</f>
        <v/>
      </c>
      <c r="X19">
        <f>HYPERLINK("https://klasma.github.io/Logging_1983/tillsyn/A 43942-2025 tillsynsbegäran.docx", "A 43942-2025")</f>
        <v/>
      </c>
      <c r="Y19">
        <f>HYPERLINK("https://klasma.github.io/Logging_1983/tillsynsmail/A 43942-2025 tillsynsbegäran mail.docx", "A 43942-2025")</f>
        <v/>
      </c>
    </row>
    <row r="20" ht="15" customHeight="1">
      <c r="A20" t="inlineStr">
        <is>
          <t>A 33498-2025</t>
        </is>
      </c>
      <c r="B20" s="1" t="n">
        <v>45841</v>
      </c>
      <c r="C20" s="1" t="n">
        <v>46042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33498-2025 artfynd.xlsx", "A 33498-2025")</f>
        <v/>
      </c>
      <c r="T20">
        <f>HYPERLINK("https://klasma.github.io/Logging_1983/kartor/A 33498-2025 karta.png", "A 33498-2025")</f>
        <v/>
      </c>
      <c r="V20">
        <f>HYPERLINK("https://klasma.github.io/Logging_1983/klagomål/A 33498-2025 FSC-klagomål.docx", "A 33498-2025")</f>
        <v/>
      </c>
      <c r="W20">
        <f>HYPERLINK("https://klasma.github.io/Logging_1983/klagomålsmail/A 33498-2025 FSC-klagomål mail.docx", "A 33498-2025")</f>
        <v/>
      </c>
      <c r="X20">
        <f>HYPERLINK("https://klasma.github.io/Logging_1983/tillsyn/A 33498-2025 tillsynsbegäran.docx", "A 33498-2025")</f>
        <v/>
      </c>
      <c r="Y20">
        <f>HYPERLINK("https://klasma.github.io/Logging_1983/tillsynsmail/A 33498-2025 tillsynsbegäran mail.docx", "A 33498-2025")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46042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46042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10900-2022</t>
        </is>
      </c>
      <c r="B23" s="1" t="n">
        <v>44627.9190625</v>
      </c>
      <c r="C23" s="1" t="n">
        <v>46042</v>
      </c>
      <c r="D23" t="inlineStr">
        <is>
          <t>VÄSTMANLANDS LÄN</t>
        </is>
      </c>
      <c r="E23" t="inlineStr">
        <is>
          <t>KÖPING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HYPERLINK("https://klasma.github.io/Logging_1983/artfynd/A 10900-2022 artfynd.xlsx", "A 10900-2022")</f>
        <v/>
      </c>
      <c r="T23">
        <f>HYPERLINK("https://klasma.github.io/Logging_1983/kartor/A 10900-2022 karta.png", "A 10900-2022")</f>
        <v/>
      </c>
      <c r="V23">
        <f>HYPERLINK("https://klasma.github.io/Logging_1983/klagomål/A 10900-2022 FSC-klagomål.docx", "A 10900-2022")</f>
        <v/>
      </c>
      <c r="W23">
        <f>HYPERLINK("https://klasma.github.io/Logging_1983/klagomålsmail/A 10900-2022 FSC-klagomål mail.docx", "A 10900-2022")</f>
        <v/>
      </c>
      <c r="X23">
        <f>HYPERLINK("https://klasma.github.io/Logging_1983/tillsyn/A 10900-2022 tillsynsbegäran.docx", "A 10900-2022")</f>
        <v/>
      </c>
      <c r="Y23">
        <f>HYPERLINK("https://klasma.github.io/Logging_1983/tillsynsmail/A 10900-2022 tillsynsbegäran mail.docx", "A 10900-2022")</f>
        <v/>
      </c>
    </row>
    <row r="24" ht="15" customHeight="1">
      <c r="A24" t="inlineStr">
        <is>
          <t>A 31242-2025</t>
        </is>
      </c>
      <c r="B24" s="1" t="n">
        <v>45832</v>
      </c>
      <c r="C24" s="1" t="n">
        <v>46042</v>
      </c>
      <c r="D24" t="inlineStr">
        <is>
          <t>VÄSTMANLANDS LÄN</t>
        </is>
      </c>
      <c r="E24" t="inlineStr">
        <is>
          <t>KÖPING</t>
        </is>
      </c>
      <c r="F24" t="inlineStr">
        <is>
          <t>Allmännings- och besparingsskogar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HYPERLINK("https://klasma.github.io/Logging_1983/artfynd/A 31242-2025 artfynd.xlsx", "A 31242-2025")</f>
        <v/>
      </c>
      <c r="T24">
        <f>HYPERLINK("https://klasma.github.io/Logging_1983/kartor/A 31242-2025 karta.png", "A 31242-2025")</f>
        <v/>
      </c>
      <c r="U24">
        <f>HYPERLINK("https://klasma.github.io/Logging_1983/knärot/A 31242-2025 karta knärot.png", "A 31242-2025")</f>
        <v/>
      </c>
      <c r="V24">
        <f>HYPERLINK("https://klasma.github.io/Logging_1983/klagomål/A 31242-2025 FSC-klagomål.docx", "A 31242-2025")</f>
        <v/>
      </c>
      <c r="W24">
        <f>HYPERLINK("https://klasma.github.io/Logging_1983/klagomålsmail/A 31242-2025 FSC-klagomål mail.docx", "A 31242-2025")</f>
        <v/>
      </c>
      <c r="X24">
        <f>HYPERLINK("https://klasma.github.io/Logging_1983/tillsyn/A 31242-2025 tillsynsbegäran.docx", "A 31242-2025")</f>
        <v/>
      </c>
      <c r="Y24">
        <f>HYPERLINK("https://klasma.github.io/Logging_1983/tillsynsmail/A 31242-2025 tillsynsbegäran mail.docx", "A 31242-2025")</f>
        <v/>
      </c>
    </row>
    <row r="25" ht="15" customHeight="1">
      <c r="A25" t="inlineStr">
        <is>
          <t>A 48826-2025</t>
        </is>
      </c>
      <c r="B25" s="1" t="n">
        <v>45937.38243055555</v>
      </c>
      <c r="C25" s="1" t="n">
        <v>46042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48826-2025 artfynd.xlsx", "A 48826-2025")</f>
        <v/>
      </c>
      <c r="T25">
        <f>HYPERLINK("https://klasma.github.io/Logging_1983/kartor/A 48826-2025 karta.png", "A 48826-2025")</f>
        <v/>
      </c>
      <c r="V25">
        <f>HYPERLINK("https://klasma.github.io/Logging_1983/klagomål/A 48826-2025 FSC-klagomål.docx", "A 48826-2025")</f>
        <v/>
      </c>
      <c r="W25">
        <f>HYPERLINK("https://klasma.github.io/Logging_1983/klagomålsmail/A 48826-2025 FSC-klagomål mail.docx", "A 48826-2025")</f>
        <v/>
      </c>
      <c r="X25">
        <f>HYPERLINK("https://klasma.github.io/Logging_1983/tillsyn/A 48826-2025 tillsynsbegäran.docx", "A 48826-2025")</f>
        <v/>
      </c>
      <c r="Y25">
        <f>HYPERLINK("https://klasma.github.io/Logging_1983/tillsynsmail/A 48826-2025 tillsynsbegäran mail.docx", "A 48826-2025")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46042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46042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46042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46042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56279-2025</t>
        </is>
      </c>
      <c r="B30" s="1" t="n">
        <v>45974</v>
      </c>
      <c r="C30" s="1" t="n">
        <v>46042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56279-2025 artfynd.xlsx", "A 56279-2025")</f>
        <v/>
      </c>
      <c r="T30">
        <f>HYPERLINK("https://klasma.github.io/Logging_1983/kartor/A 56279-2025 karta.png", "A 56279-2025")</f>
        <v/>
      </c>
      <c r="V30">
        <f>HYPERLINK("https://klasma.github.io/Logging_1983/klagomål/A 56279-2025 FSC-klagomål.docx", "A 56279-2025")</f>
        <v/>
      </c>
      <c r="W30">
        <f>HYPERLINK("https://klasma.github.io/Logging_1983/klagomålsmail/A 56279-2025 FSC-klagomål mail.docx", "A 56279-2025")</f>
        <v/>
      </c>
      <c r="X30">
        <f>HYPERLINK("https://klasma.github.io/Logging_1983/tillsyn/A 56279-2025 tillsynsbegäran.docx", "A 56279-2025")</f>
        <v/>
      </c>
      <c r="Y30">
        <f>HYPERLINK("https://klasma.github.io/Logging_1983/tillsynsmail/A 56279-2025 tillsynsbegäran mail.docx", "A 56279-2025")</f>
        <v/>
      </c>
      <c r="Z30">
        <f>HYPERLINK("https://klasma.github.io/Logging_1983/fåglar/A 56279-2025 prioriterade fågelarter.docx", "A 56279-2025")</f>
        <v/>
      </c>
    </row>
    <row r="31" ht="15" customHeight="1">
      <c r="A31" t="inlineStr">
        <is>
          <t>A 13066-2025</t>
        </is>
      </c>
      <c r="B31" s="1" t="n">
        <v>45734.6059837963</v>
      </c>
      <c r="C31" s="1" t="n">
        <v>46042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HYPERLINK("https://klasma.github.io/Logging_1983/artfynd/A 13066-2025 artfynd.xlsx", "A 13066-2025")</f>
        <v/>
      </c>
      <c r="T31">
        <f>HYPERLINK("https://klasma.github.io/Logging_1983/kartor/A 13066-2025 karta.png", "A 13066-2025")</f>
        <v/>
      </c>
      <c r="V31">
        <f>HYPERLINK("https://klasma.github.io/Logging_1983/klagomål/A 13066-2025 FSC-klagomål.docx", "A 13066-2025")</f>
        <v/>
      </c>
      <c r="W31">
        <f>HYPERLINK("https://klasma.github.io/Logging_1983/klagomålsmail/A 13066-2025 FSC-klagomål mail.docx", "A 13066-2025")</f>
        <v/>
      </c>
      <c r="X31">
        <f>HYPERLINK("https://klasma.github.io/Logging_1983/tillsyn/A 13066-2025 tillsynsbegäran.docx", "A 13066-2025")</f>
        <v/>
      </c>
      <c r="Y31">
        <f>HYPERLINK("https://klasma.github.io/Logging_1983/tillsynsmail/A 13066-2025 tillsynsbegäran mail.docx", "A 13066-2025")</f>
        <v/>
      </c>
    </row>
    <row r="32" ht="15" customHeight="1">
      <c r="A32" t="inlineStr">
        <is>
          <t>A 6603-2025</t>
        </is>
      </c>
      <c r="B32" s="1" t="n">
        <v>45700.3262962963</v>
      </c>
      <c r="C32" s="1" t="n">
        <v>46042</v>
      </c>
      <c r="D32" t="inlineStr">
        <is>
          <t>VÄSTMANLANDS LÄN</t>
        </is>
      </c>
      <c r="E32" t="inlineStr">
        <is>
          <t>KÖPING</t>
        </is>
      </c>
      <c r="G32" t="n">
        <v>12.1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6603-2025 artfynd.xlsx", "A 6603-2025")</f>
        <v/>
      </c>
      <c r="T32">
        <f>HYPERLINK("https://klasma.github.io/Logging_1983/kartor/A 6603-2025 karta.png", "A 6603-2025")</f>
        <v/>
      </c>
      <c r="V32">
        <f>HYPERLINK("https://klasma.github.io/Logging_1983/klagomål/A 6603-2025 FSC-klagomål.docx", "A 6603-2025")</f>
        <v/>
      </c>
      <c r="W32">
        <f>HYPERLINK("https://klasma.github.io/Logging_1983/klagomålsmail/A 6603-2025 FSC-klagomål mail.docx", "A 6603-2025")</f>
        <v/>
      </c>
      <c r="X32">
        <f>HYPERLINK("https://klasma.github.io/Logging_1983/tillsyn/A 6603-2025 tillsynsbegäran.docx", "A 6603-2025")</f>
        <v/>
      </c>
      <c r="Y32">
        <f>HYPERLINK("https://klasma.github.io/Logging_1983/tillsynsmail/A 6603-2025 tillsynsbegäran mail.docx", "A 6603-2025")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46042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46042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46042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46042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46042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46042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46042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46042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46042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46042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46042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46042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46042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46042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46042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46042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46042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46042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46042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46042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12641-2021</t>
        </is>
      </c>
      <c r="B53" s="1" t="n">
        <v>44267</v>
      </c>
      <c r="C53" s="1" t="n">
        <v>46042</v>
      </c>
      <c r="D53" t="inlineStr">
        <is>
          <t>VÄSTMANLANDS LÄN</t>
        </is>
      </c>
      <c r="E53" t="inlineStr">
        <is>
          <t>KÖPING</t>
        </is>
      </c>
      <c r="G53" t="n">
        <v>10.7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46042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46042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46042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46042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46042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46042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46042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46042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46042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46042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46042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46042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46042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46042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10431-2021</t>
        </is>
      </c>
      <c r="B68" s="1" t="n">
        <v>44257</v>
      </c>
      <c r="C68" s="1" t="n">
        <v>46042</v>
      </c>
      <c r="D68" t="inlineStr">
        <is>
          <t>VÄSTMANLANDS LÄN</t>
        </is>
      </c>
      <c r="E68" t="inlineStr">
        <is>
          <t>KÖPING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46042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46042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46042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46042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46042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46042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46042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46042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46042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46042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46042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46042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46042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46042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46042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46042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6949-2023</t>
        </is>
      </c>
      <c r="B85" s="1" t="n">
        <v>44967.58563657408</v>
      </c>
      <c r="C85" s="1" t="n">
        <v>46042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29960-2024</t>
        </is>
      </c>
      <c r="B86" s="1" t="n">
        <v>45488</v>
      </c>
      <c r="C86" s="1" t="n">
        <v>46042</v>
      </c>
      <c r="D86" t="inlineStr">
        <is>
          <t>VÄSTMANLANDS LÄN</t>
        </is>
      </c>
      <c r="E86" t="inlineStr">
        <is>
          <t>KÖPING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25660-2024</t>
        </is>
      </c>
      <c r="B87" s="1" t="n">
        <v>45463.69828703703</v>
      </c>
      <c r="C87" s="1" t="n">
        <v>46042</v>
      </c>
      <c r="D87" t="inlineStr">
        <is>
          <t>VÄSTMANLANDS LÄN</t>
        </is>
      </c>
      <c r="E87" t="inlineStr">
        <is>
          <t>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2584-2024</t>
        </is>
      </c>
      <c r="B88" s="1" t="n">
        <v>45313</v>
      </c>
      <c r="C88" s="1" t="n">
        <v>46042</v>
      </c>
      <c r="D88" t="inlineStr">
        <is>
          <t>VÄSTMANLANDS LÄN</t>
        </is>
      </c>
      <c r="E88" t="inlineStr">
        <is>
          <t>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33989-2024</t>
        </is>
      </c>
      <c r="B89" s="1" t="n">
        <v>45523</v>
      </c>
      <c r="C89" s="1" t="n">
        <v>46042</v>
      </c>
      <c r="D89" t="inlineStr">
        <is>
          <t>VÄSTMANLANDS LÄN</t>
        </is>
      </c>
      <c r="E89" t="inlineStr">
        <is>
          <t>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45664-2024</t>
        </is>
      </c>
      <c r="B90" s="1" t="n">
        <v>45579</v>
      </c>
      <c r="C90" s="1" t="n">
        <v>46042</v>
      </c>
      <c r="D90" t="inlineStr">
        <is>
          <t>VÄSTMANLANDS LÄN</t>
        </is>
      </c>
      <c r="E90" t="inlineStr">
        <is>
          <t>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45308-2023</t>
        </is>
      </c>
      <c r="B91" s="1" t="n">
        <v>45191.69444444445</v>
      </c>
      <c r="C91" s="1" t="n">
        <v>46042</v>
      </c>
      <c r="D91" t="inlineStr">
        <is>
          <t>VÄSTMANLANDS LÄN</t>
        </is>
      </c>
      <c r="E91" t="inlineStr">
        <is>
          <t>KÖPING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60894-2022</t>
        </is>
      </c>
      <c r="B92" s="1" t="n">
        <v>44914</v>
      </c>
      <c r="C92" s="1" t="n">
        <v>46042</v>
      </c>
      <c r="D92" t="inlineStr">
        <is>
          <t>VÄSTMANLANDS LÄN</t>
        </is>
      </c>
      <c r="E92" t="inlineStr">
        <is>
          <t>KÖPING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60924-2022</t>
        </is>
      </c>
      <c r="B93" s="1" t="n">
        <v>44914.61438657407</v>
      </c>
      <c r="C93" s="1" t="n">
        <v>46042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10478-2022</t>
        </is>
      </c>
      <c r="B94" s="1" t="n">
        <v>44623</v>
      </c>
      <c r="C94" s="1" t="n">
        <v>46042</v>
      </c>
      <c r="D94" t="inlineStr">
        <is>
          <t>VÄSTMANLANDS LÄN</t>
        </is>
      </c>
      <c r="E94" t="inlineStr">
        <is>
          <t>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3945-2024</t>
        </is>
      </c>
      <c r="B95" s="1" t="n">
        <v>45322.65049768519</v>
      </c>
      <c r="C95" s="1" t="n">
        <v>46042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37730-2022</t>
        </is>
      </c>
      <c r="B96" s="1" t="n">
        <v>44810.56791666667</v>
      </c>
      <c r="C96" s="1" t="n">
        <v>46042</v>
      </c>
      <c r="D96" t="inlineStr">
        <is>
          <t>VÄSTMANLANDS LÄN</t>
        </is>
      </c>
      <c r="E96" t="inlineStr">
        <is>
          <t>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13160-2024</t>
        </is>
      </c>
      <c r="B97" s="1" t="n">
        <v>45386</v>
      </c>
      <c r="C97" s="1" t="n">
        <v>46042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40823-2024</t>
        </is>
      </c>
      <c r="B98" s="1" t="n">
        <v>45558.55979166667</v>
      </c>
      <c r="C98" s="1" t="n">
        <v>46042</v>
      </c>
      <c r="D98" t="inlineStr">
        <is>
          <t>VÄSTMANLANDS LÄN</t>
        </is>
      </c>
      <c r="E98" t="inlineStr">
        <is>
          <t>KÖPING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65023-2021</t>
        </is>
      </c>
      <c r="B99" s="1" t="n">
        <v>44512</v>
      </c>
      <c r="C99" s="1" t="n">
        <v>46042</v>
      </c>
      <c r="D99" t="inlineStr">
        <is>
          <t>VÄSTMANLANDS LÄN</t>
        </is>
      </c>
      <c r="E99" t="inlineStr">
        <is>
          <t>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28902-2024</t>
        </is>
      </c>
      <c r="B100" s="1" t="n">
        <v>45480.5384375</v>
      </c>
      <c r="C100" s="1" t="n">
        <v>46042</v>
      </c>
      <c r="D100" t="inlineStr">
        <is>
          <t>VÄSTMANLANDS LÄN</t>
        </is>
      </c>
      <c r="E100" t="inlineStr">
        <is>
          <t>KÖPING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12503-2023</t>
        </is>
      </c>
      <c r="B101" s="1" t="n">
        <v>44999.88789351852</v>
      </c>
      <c r="C101" s="1" t="n">
        <v>46042</v>
      </c>
      <c r="D101" t="inlineStr">
        <is>
          <t>VÄSTMANLANDS LÄN</t>
        </is>
      </c>
      <c r="E101" t="inlineStr">
        <is>
          <t>KÖPING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24130-2024</t>
        </is>
      </c>
      <c r="B102" s="1" t="n">
        <v>45456</v>
      </c>
      <c r="C102" s="1" t="n">
        <v>46042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857-2025</t>
        </is>
      </c>
      <c r="B103" s="1" t="n">
        <v>45665</v>
      </c>
      <c r="C103" s="1" t="n">
        <v>46042</v>
      </c>
      <c r="D103" t="inlineStr">
        <is>
          <t>VÄSTMANLANDS LÄN</t>
        </is>
      </c>
      <c r="E103" t="inlineStr">
        <is>
          <t>KÖPING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38858-2025</t>
        </is>
      </c>
      <c r="B104" s="1" t="n">
        <v>45887.55859953703</v>
      </c>
      <c r="C104" s="1" t="n">
        <v>46042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24481-2025</t>
        </is>
      </c>
      <c r="B105" s="1" t="n">
        <v>45798.38157407408</v>
      </c>
      <c r="C105" s="1" t="n">
        <v>46042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18366-2025</t>
        </is>
      </c>
      <c r="B106" s="1" t="n">
        <v>45762</v>
      </c>
      <c r="C106" s="1" t="n">
        <v>46042</v>
      </c>
      <c r="D106" t="inlineStr">
        <is>
          <t>VÄSTMANLANDS LÄN</t>
        </is>
      </c>
      <c r="E106" t="inlineStr">
        <is>
          <t>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24469-2025</t>
        </is>
      </c>
      <c r="B107" s="1" t="n">
        <v>45798</v>
      </c>
      <c r="C107" s="1" t="n">
        <v>46042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24471-2025</t>
        </is>
      </c>
      <c r="B108" s="1" t="n">
        <v>45798</v>
      </c>
      <c r="C108" s="1" t="n">
        <v>46042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15858-2025</t>
        </is>
      </c>
      <c r="B109" s="1" t="n">
        <v>45749.34443287037</v>
      </c>
      <c r="C109" s="1" t="n">
        <v>46042</v>
      </c>
      <c r="D109" t="inlineStr">
        <is>
          <t>VÄSTMANLANDS LÄN</t>
        </is>
      </c>
      <c r="E109" t="inlineStr">
        <is>
          <t>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28904-2024</t>
        </is>
      </c>
      <c r="B110" s="1" t="n">
        <v>45480.54915509259</v>
      </c>
      <c r="C110" s="1" t="n">
        <v>46042</v>
      </c>
      <c r="D110" t="inlineStr">
        <is>
          <t>VÄSTMANLANDS LÄN</t>
        </is>
      </c>
      <c r="E110" t="inlineStr">
        <is>
          <t>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24472-2025</t>
        </is>
      </c>
      <c r="B111" s="1" t="n">
        <v>45798.36815972222</v>
      </c>
      <c r="C111" s="1" t="n">
        <v>46042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24478-2025</t>
        </is>
      </c>
      <c r="B112" s="1" t="n">
        <v>45798.37822916666</v>
      </c>
      <c r="C112" s="1" t="n">
        <v>46042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46659-2024</t>
        </is>
      </c>
      <c r="B113" s="1" t="n">
        <v>45583.36162037037</v>
      </c>
      <c r="C113" s="1" t="n">
        <v>46042</v>
      </c>
      <c r="D113" t="inlineStr">
        <is>
          <t>VÄSTMANLANDS LÄN</t>
        </is>
      </c>
      <c r="E113" t="inlineStr">
        <is>
          <t>KÖPING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1440-2025</t>
        </is>
      </c>
      <c r="B114" s="1" t="n">
        <v>45669.71475694444</v>
      </c>
      <c r="C114" s="1" t="n">
        <v>46042</v>
      </c>
      <c r="D114" t="inlineStr">
        <is>
          <t>VÄSTMANLANDS LÄN</t>
        </is>
      </c>
      <c r="E114" t="inlineStr">
        <is>
          <t>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34290-2023</t>
        </is>
      </c>
      <c r="B115" s="1" t="n">
        <v>45138</v>
      </c>
      <c r="C115" s="1" t="n">
        <v>46042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24473-2025</t>
        </is>
      </c>
      <c r="B116" s="1" t="n">
        <v>45798.37075231481</v>
      </c>
      <c r="C116" s="1" t="n">
        <v>46042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24475-2025</t>
        </is>
      </c>
      <c r="B117" s="1" t="n">
        <v>45798.37363425926</v>
      </c>
      <c r="C117" s="1" t="n">
        <v>46042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24477-2025</t>
        </is>
      </c>
      <c r="B118" s="1" t="n">
        <v>45798</v>
      </c>
      <c r="C118" s="1" t="n">
        <v>46042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24479-2025</t>
        </is>
      </c>
      <c r="B119" s="1" t="n">
        <v>45798.37938657407</v>
      </c>
      <c r="C119" s="1" t="n">
        <v>46042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38852-2025</t>
        </is>
      </c>
      <c r="B120" s="1" t="n">
        <v>45887.55572916667</v>
      </c>
      <c r="C120" s="1" t="n">
        <v>46042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68954-2021</t>
        </is>
      </c>
      <c r="B121" s="1" t="n">
        <v>44530</v>
      </c>
      <c r="C121" s="1" t="n">
        <v>46042</v>
      </c>
      <c r="D121" t="inlineStr">
        <is>
          <t>VÄSTMANLANDS LÄN</t>
        </is>
      </c>
      <c r="E121" t="inlineStr">
        <is>
          <t>KÖPING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25543-2025</t>
        </is>
      </c>
      <c r="B122" s="1" t="n">
        <v>45803.43010416667</v>
      </c>
      <c r="C122" s="1" t="n">
        <v>46042</v>
      </c>
      <c r="D122" t="inlineStr">
        <is>
          <t>VÄSTMANLANDS LÄN</t>
        </is>
      </c>
      <c r="E122" t="inlineStr">
        <is>
          <t>KÖPING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38986-2025</t>
        </is>
      </c>
      <c r="B123" s="1" t="n">
        <v>45888.30837962963</v>
      </c>
      <c r="C123" s="1" t="n">
        <v>46042</v>
      </c>
      <c r="D123" t="inlineStr">
        <is>
          <t>VÄSTMANLANDS LÄN</t>
        </is>
      </c>
      <c r="E123" t="inlineStr">
        <is>
          <t>KÖPING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2868-2023</t>
        </is>
      </c>
      <c r="B124" s="1" t="n">
        <v>44945.43571759259</v>
      </c>
      <c r="C124" s="1" t="n">
        <v>46042</v>
      </c>
      <c r="D124" t="inlineStr">
        <is>
          <t>VÄSTMANLANDS LÄN</t>
        </is>
      </c>
      <c r="E124" t="inlineStr">
        <is>
          <t>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1926-2025</t>
        </is>
      </c>
      <c r="B125" s="1" t="n">
        <v>45671</v>
      </c>
      <c r="C125" s="1" t="n">
        <v>46042</v>
      </c>
      <c r="D125" t="inlineStr">
        <is>
          <t>VÄSTMANLANDS LÄN</t>
        </is>
      </c>
      <c r="E125" t="inlineStr">
        <is>
          <t>KÖPING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37752-2023</t>
        </is>
      </c>
      <c r="B126" s="1" t="n">
        <v>45159</v>
      </c>
      <c r="C126" s="1" t="n">
        <v>46042</v>
      </c>
      <c r="D126" t="inlineStr">
        <is>
          <t>VÄSTMANLANDS LÄN</t>
        </is>
      </c>
      <c r="E126" t="inlineStr">
        <is>
          <t>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26847-2025</t>
        </is>
      </c>
      <c r="B127" s="1" t="n">
        <v>45810.66447916667</v>
      </c>
      <c r="C127" s="1" t="n">
        <v>46042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40702-2025</t>
        </is>
      </c>
      <c r="B128" s="1" t="n">
        <v>45897.32894675926</v>
      </c>
      <c r="C128" s="1" t="n">
        <v>46042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40703-2025</t>
        </is>
      </c>
      <c r="B129" s="1" t="n">
        <v>45897.32975694445</v>
      </c>
      <c r="C129" s="1" t="n">
        <v>46042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40480-2025</t>
        </is>
      </c>
      <c r="B130" s="1" t="n">
        <v>45895.76636574074</v>
      </c>
      <c r="C130" s="1" t="n">
        <v>46042</v>
      </c>
      <c r="D130" t="inlineStr">
        <is>
          <t>VÄSTMANLANDS LÄN</t>
        </is>
      </c>
      <c r="E130" t="inlineStr">
        <is>
          <t>KÖPING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40700-2025</t>
        </is>
      </c>
      <c r="B131" s="1" t="n">
        <v>45897.32721064815</v>
      </c>
      <c r="C131" s="1" t="n">
        <v>46042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26839-2025</t>
        </is>
      </c>
      <c r="B132" s="1" t="n">
        <v>45810.65856481482</v>
      </c>
      <c r="C132" s="1" t="n">
        <v>46042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40705-2025</t>
        </is>
      </c>
      <c r="B133" s="1" t="n">
        <v>45897.33090277778</v>
      </c>
      <c r="C133" s="1" t="n">
        <v>46042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26845-2025</t>
        </is>
      </c>
      <c r="B134" s="1" t="n">
        <v>45810.66362268518</v>
      </c>
      <c r="C134" s="1" t="n">
        <v>46042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26862-2025</t>
        </is>
      </c>
      <c r="B135" s="1" t="n">
        <v>45810.69605324074</v>
      </c>
      <c r="C135" s="1" t="n">
        <v>46042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40502-2025</t>
        </is>
      </c>
      <c r="B136" s="1" t="n">
        <v>45896.33552083333</v>
      </c>
      <c r="C136" s="1" t="n">
        <v>46042</v>
      </c>
      <c r="D136" t="inlineStr">
        <is>
          <t>VÄSTMANLANDS LÄN</t>
        </is>
      </c>
      <c r="E136" t="inlineStr">
        <is>
          <t>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40706-2025</t>
        </is>
      </c>
      <c r="B137" s="1" t="n">
        <v>45897.33193287037</v>
      </c>
      <c r="C137" s="1" t="n">
        <v>46042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40712-2025</t>
        </is>
      </c>
      <c r="B138" s="1" t="n">
        <v>45897.34274305555</v>
      </c>
      <c r="C138" s="1" t="n">
        <v>46042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40762-2025</t>
        </is>
      </c>
      <c r="B139" s="1" t="n">
        <v>45897.39564814815</v>
      </c>
      <c r="C139" s="1" t="n">
        <v>46042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32845-2025</t>
        </is>
      </c>
      <c r="B140" s="1" t="n">
        <v>45839.57179398148</v>
      </c>
      <c r="C140" s="1" t="n">
        <v>46042</v>
      </c>
      <c r="D140" t="inlineStr">
        <is>
          <t>VÄSTMANLANDS LÄN</t>
        </is>
      </c>
      <c r="E140" t="inlineStr">
        <is>
          <t>KÖPING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27207-2025</t>
        </is>
      </c>
      <c r="B141" s="1" t="n">
        <v>45812.40445601852</v>
      </c>
      <c r="C141" s="1" t="n">
        <v>46042</v>
      </c>
      <c r="D141" t="inlineStr">
        <is>
          <t>VÄSTMANLANDS LÄN</t>
        </is>
      </c>
      <c r="E141" t="inlineStr">
        <is>
          <t>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34368-2025</t>
        </is>
      </c>
      <c r="B142" s="1" t="n">
        <v>45846.50275462963</v>
      </c>
      <c r="C142" s="1" t="n">
        <v>46042</v>
      </c>
      <c r="D142" t="inlineStr">
        <is>
          <t>VÄSTMANLANDS LÄN</t>
        </is>
      </c>
      <c r="E142" t="inlineStr">
        <is>
          <t>KÖPING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55720-2022</t>
        </is>
      </c>
      <c r="B143" s="1" t="n">
        <v>44888.57140046296</v>
      </c>
      <c r="C143" s="1" t="n">
        <v>46042</v>
      </c>
      <c r="D143" t="inlineStr">
        <is>
          <t>VÄSTMANLANDS LÄN</t>
        </is>
      </c>
      <c r="E143" t="inlineStr">
        <is>
          <t>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10512-2022</t>
        </is>
      </c>
      <c r="B144" s="1" t="n">
        <v>44623.68829861111</v>
      </c>
      <c r="C144" s="1" t="n">
        <v>46042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61083-2022</t>
        </is>
      </c>
      <c r="B145" s="1" t="n">
        <v>44915</v>
      </c>
      <c r="C145" s="1" t="n">
        <v>46042</v>
      </c>
      <c r="D145" t="inlineStr">
        <is>
          <t>VÄSTMANLANDS LÄN</t>
        </is>
      </c>
      <c r="E145" t="inlineStr">
        <is>
          <t>KÖPING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20798-2022</t>
        </is>
      </c>
      <c r="B146" s="1" t="n">
        <v>44701.40878472223</v>
      </c>
      <c r="C146" s="1" t="n">
        <v>46042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27261-2022</t>
        </is>
      </c>
      <c r="B147" s="1" t="n">
        <v>44741</v>
      </c>
      <c r="C147" s="1" t="n">
        <v>46042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41676-2025</t>
        </is>
      </c>
      <c r="B148" s="1" t="n">
        <v>45902.37306712963</v>
      </c>
      <c r="C148" s="1" t="n">
        <v>46042</v>
      </c>
      <c r="D148" t="inlineStr">
        <is>
          <t>VÄSTMANLANDS LÄN</t>
        </is>
      </c>
      <c r="E148" t="inlineStr">
        <is>
          <t>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27830-2025</t>
        </is>
      </c>
      <c r="B149" s="1" t="n">
        <v>45817.35802083334</v>
      </c>
      <c r="C149" s="1" t="n">
        <v>46042</v>
      </c>
      <c r="D149" t="inlineStr">
        <is>
          <t>VÄSTMANLANDS LÄN</t>
        </is>
      </c>
      <c r="E149" t="inlineStr">
        <is>
          <t>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41965-2025</t>
        </is>
      </c>
      <c r="B150" s="1" t="n">
        <v>45903.47314814815</v>
      </c>
      <c r="C150" s="1" t="n">
        <v>46042</v>
      </c>
      <c r="D150" t="inlineStr">
        <is>
          <t>VÄSTMANLANDS LÄN</t>
        </is>
      </c>
      <c r="E150" t="inlineStr">
        <is>
          <t>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5225-2025</t>
        </is>
      </c>
      <c r="B151" s="1" t="n">
        <v>45691</v>
      </c>
      <c r="C151" s="1" t="n">
        <v>46042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41583-2022</t>
        </is>
      </c>
      <c r="B152" s="1" t="n">
        <v>44827</v>
      </c>
      <c r="C152" s="1" t="n">
        <v>46042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28073-2025</t>
        </is>
      </c>
      <c r="B153" s="1" t="n">
        <v>45817.67819444444</v>
      </c>
      <c r="C153" s="1" t="n">
        <v>46042</v>
      </c>
      <c r="D153" t="inlineStr">
        <is>
          <t>VÄSTMANLANDS LÄN</t>
        </is>
      </c>
      <c r="E153" t="inlineStr">
        <is>
          <t>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41959-2025</t>
        </is>
      </c>
      <c r="B154" s="1" t="n">
        <v>45903.46909722222</v>
      </c>
      <c r="C154" s="1" t="n">
        <v>46042</v>
      </c>
      <c r="D154" t="inlineStr">
        <is>
          <t>VÄSTMANLANDS LÄN</t>
        </is>
      </c>
      <c r="E154" t="inlineStr">
        <is>
          <t>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28498-2025</t>
        </is>
      </c>
      <c r="B155" s="1" t="n">
        <v>45819.47072916666</v>
      </c>
      <c r="C155" s="1" t="n">
        <v>46042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54870-2024</t>
        </is>
      </c>
      <c r="B156" s="1" t="n">
        <v>45618.59853009259</v>
      </c>
      <c r="C156" s="1" t="n">
        <v>46042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14664-2022</t>
        </is>
      </c>
      <c r="B157" s="1" t="n">
        <v>44655.78577546297</v>
      </c>
      <c r="C157" s="1" t="n">
        <v>46042</v>
      </c>
      <c r="D157" t="inlineStr">
        <is>
          <t>VÄSTMANLANDS LÄN</t>
        </is>
      </c>
      <c r="E157" t="inlineStr">
        <is>
          <t>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28872-2025</t>
        </is>
      </c>
      <c r="B158" s="1" t="n">
        <v>45820.61172453704</v>
      </c>
      <c r="C158" s="1" t="n">
        <v>46042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42640-2025</t>
        </is>
      </c>
      <c r="B159" s="1" t="n">
        <v>45905.91143518518</v>
      </c>
      <c r="C159" s="1" t="n">
        <v>46042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28394-2024</t>
        </is>
      </c>
      <c r="B160" s="1" t="n">
        <v>45477.60447916666</v>
      </c>
      <c r="C160" s="1" t="n">
        <v>46042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35684-2024</t>
        </is>
      </c>
      <c r="B161" s="1" t="n">
        <v>45532</v>
      </c>
      <c r="C161" s="1" t="n">
        <v>46042</v>
      </c>
      <c r="D161" t="inlineStr">
        <is>
          <t>VÄSTMANLANDS LÄN</t>
        </is>
      </c>
      <c r="E161" t="inlineStr">
        <is>
          <t>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42639-2025</t>
        </is>
      </c>
      <c r="B162" s="1" t="n">
        <v>45905.91082175926</v>
      </c>
      <c r="C162" s="1" t="n">
        <v>46042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42641-2025</t>
        </is>
      </c>
      <c r="B163" s="1" t="n">
        <v>45905.92460648148</v>
      </c>
      <c r="C163" s="1" t="n">
        <v>46042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42905-2025</t>
        </is>
      </c>
      <c r="B164" s="1" t="n">
        <v>45908.6871875</v>
      </c>
      <c r="C164" s="1" t="n">
        <v>46042</v>
      </c>
      <c r="D164" t="inlineStr">
        <is>
          <t>VÄSTMANLANDS LÄN</t>
        </is>
      </c>
      <c r="E164" t="inlineStr">
        <is>
          <t>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42637-2025</t>
        </is>
      </c>
      <c r="B165" s="1" t="n">
        <v>45905.90875</v>
      </c>
      <c r="C165" s="1" t="n">
        <v>46042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42638-2025</t>
        </is>
      </c>
      <c r="B166" s="1" t="n">
        <v>45905.90976851852</v>
      </c>
      <c r="C166" s="1" t="n">
        <v>46042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43179-2025</t>
        </is>
      </c>
      <c r="B167" s="1" t="n">
        <v>45910</v>
      </c>
      <c r="C167" s="1" t="n">
        <v>46042</v>
      </c>
      <c r="D167" t="inlineStr">
        <is>
          <t>VÄSTMANLANDS LÄN</t>
        </is>
      </c>
      <c r="E167" t="inlineStr">
        <is>
          <t>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43174-2025</t>
        </is>
      </c>
      <c r="B168" s="1" t="n">
        <v>45910</v>
      </c>
      <c r="C168" s="1" t="n">
        <v>46042</v>
      </c>
      <c r="D168" t="inlineStr">
        <is>
          <t>VÄSTMANLANDS LÄN</t>
        </is>
      </c>
      <c r="E168" t="inlineStr">
        <is>
          <t>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43183-2025</t>
        </is>
      </c>
      <c r="B169" s="1" t="n">
        <v>45910</v>
      </c>
      <c r="C169" s="1" t="n">
        <v>46042</v>
      </c>
      <c r="D169" t="inlineStr">
        <is>
          <t>VÄSTMANLANDS LÄN</t>
        </is>
      </c>
      <c r="E169" t="inlineStr">
        <is>
          <t>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43192-2025</t>
        </is>
      </c>
      <c r="B170" s="1" t="n">
        <v>45910.42025462963</v>
      </c>
      <c r="C170" s="1" t="n">
        <v>46042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29346-2025</t>
        </is>
      </c>
      <c r="B171" s="1" t="n">
        <v>45824.51021990741</v>
      </c>
      <c r="C171" s="1" t="n">
        <v>46042</v>
      </c>
      <c r="D171" t="inlineStr">
        <is>
          <t>VÄSTMANLANDS LÄN</t>
        </is>
      </c>
      <c r="E171" t="inlineStr">
        <is>
          <t>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43171-2025</t>
        </is>
      </c>
      <c r="B172" s="1" t="n">
        <v>45910</v>
      </c>
      <c r="C172" s="1" t="n">
        <v>46042</v>
      </c>
      <c r="D172" t="inlineStr">
        <is>
          <t>VÄSTMANLANDS LÄN</t>
        </is>
      </c>
      <c r="E172" t="inlineStr">
        <is>
          <t>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43187-2025</t>
        </is>
      </c>
      <c r="B173" s="1" t="n">
        <v>45910</v>
      </c>
      <c r="C173" s="1" t="n">
        <v>46042</v>
      </c>
      <c r="D173" t="inlineStr">
        <is>
          <t>VÄSTMANLANDS LÄN</t>
        </is>
      </c>
      <c r="E173" t="inlineStr">
        <is>
          <t>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43245-2025</t>
        </is>
      </c>
      <c r="B174" s="1" t="n">
        <v>45910.54754629629</v>
      </c>
      <c r="C174" s="1" t="n">
        <v>46042</v>
      </c>
      <c r="D174" t="inlineStr">
        <is>
          <t>VÄSTMANLANDS LÄN</t>
        </is>
      </c>
      <c r="E174" t="inlineStr">
        <is>
          <t>KÖPING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7370-2022</t>
        </is>
      </c>
      <c r="B175" s="1" t="n">
        <v>44606</v>
      </c>
      <c r="C175" s="1" t="n">
        <v>46042</v>
      </c>
      <c r="D175" t="inlineStr">
        <is>
          <t>VÄSTMANLANDS LÄN</t>
        </is>
      </c>
      <c r="E175" t="inlineStr">
        <is>
          <t>KÖPING</t>
        </is>
      </c>
      <c r="G175" t="n">
        <v>14.4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44906-2022</t>
        </is>
      </c>
      <c r="B176" s="1" t="n">
        <v>44840</v>
      </c>
      <c r="C176" s="1" t="n">
        <v>46042</v>
      </c>
      <c r="D176" t="inlineStr">
        <is>
          <t>VÄSTMANLANDS LÄN</t>
        </is>
      </c>
      <c r="E176" t="inlineStr">
        <is>
          <t>KÖPING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10099-2025</t>
        </is>
      </c>
      <c r="B177" s="1" t="n">
        <v>45719.5787037037</v>
      </c>
      <c r="C177" s="1" t="n">
        <v>46042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44171-2025</t>
        </is>
      </c>
      <c r="B178" s="1" t="n">
        <v>45915.60108796296</v>
      </c>
      <c r="C178" s="1" t="n">
        <v>46042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30136-2025</t>
        </is>
      </c>
      <c r="B179" s="1" t="n">
        <v>45826.87413194445</v>
      </c>
      <c r="C179" s="1" t="n">
        <v>46042</v>
      </c>
      <c r="D179" t="inlineStr">
        <is>
          <t>VÄSTMANLANDS LÄN</t>
        </is>
      </c>
      <c r="E179" t="inlineStr">
        <is>
          <t>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31068-2025</t>
        </is>
      </c>
      <c r="B180" s="1" t="n">
        <v>45832.57855324074</v>
      </c>
      <c r="C180" s="1" t="n">
        <v>46042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31071-2025</t>
        </is>
      </c>
      <c r="B181" s="1" t="n">
        <v>45832.57935185185</v>
      </c>
      <c r="C181" s="1" t="n">
        <v>46042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31582-2025</t>
        </is>
      </c>
      <c r="B182" s="1" t="n">
        <v>45833.68644675926</v>
      </c>
      <c r="C182" s="1" t="n">
        <v>46042</v>
      </c>
      <c r="D182" t="inlineStr">
        <is>
          <t>VÄSTMANLANDS LÄN</t>
        </is>
      </c>
      <c r="E182" t="inlineStr">
        <is>
          <t>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31496-2025</t>
        </is>
      </c>
      <c r="B183" s="1" t="n">
        <v>45833</v>
      </c>
      <c r="C183" s="1" t="n">
        <v>46042</v>
      </c>
      <c r="D183" t="inlineStr">
        <is>
          <t>VÄSTMANLANDS LÄN</t>
        </is>
      </c>
      <c r="E183" t="inlineStr">
        <is>
          <t>KÖPING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31839-2025</t>
        </is>
      </c>
      <c r="B184" s="1" t="n">
        <v>45834</v>
      </c>
      <c r="C184" s="1" t="n">
        <v>46042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31830-2025</t>
        </is>
      </c>
      <c r="B185" s="1" t="n">
        <v>45834.5888425926</v>
      </c>
      <c r="C185" s="1" t="n">
        <v>46042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31738-2025</t>
        </is>
      </c>
      <c r="B186" s="1" t="n">
        <v>45834</v>
      </c>
      <c r="C186" s="1" t="n">
        <v>46042</v>
      </c>
      <c r="D186" t="inlineStr">
        <is>
          <t>VÄSTMANLANDS LÄN</t>
        </is>
      </c>
      <c r="E186" t="inlineStr">
        <is>
          <t>KÖPING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65740-2021</t>
        </is>
      </c>
      <c r="B187" s="1" t="n">
        <v>44516.75021990741</v>
      </c>
      <c r="C187" s="1" t="n">
        <v>46042</v>
      </c>
      <c r="D187" t="inlineStr">
        <is>
          <t>VÄSTMANLANDS LÄN</t>
        </is>
      </c>
      <c r="E187" t="inlineStr">
        <is>
          <t>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4508-2021</t>
        </is>
      </c>
      <c r="B188" s="1" t="n">
        <v>44224</v>
      </c>
      <c r="C188" s="1" t="n">
        <v>46042</v>
      </c>
      <c r="D188" t="inlineStr">
        <is>
          <t>VÄSTMANLANDS LÄN</t>
        </is>
      </c>
      <c r="E188" t="inlineStr">
        <is>
          <t>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31580-2025</t>
        </is>
      </c>
      <c r="B189" s="1" t="n">
        <v>45833</v>
      </c>
      <c r="C189" s="1" t="n">
        <v>46042</v>
      </c>
      <c r="D189" t="inlineStr">
        <is>
          <t>VÄSTMANLANDS LÄN</t>
        </is>
      </c>
      <c r="E189" t="inlineStr">
        <is>
          <t>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8703-2024</t>
        </is>
      </c>
      <c r="B190" s="1" t="n">
        <v>45356.38356481482</v>
      </c>
      <c r="C190" s="1" t="n">
        <v>46042</v>
      </c>
      <c r="D190" t="inlineStr">
        <is>
          <t>VÄSTMANLANDS LÄN</t>
        </is>
      </c>
      <c r="E190" t="inlineStr">
        <is>
          <t>KÖPING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33505-2025</t>
        </is>
      </c>
      <c r="B191" s="1" t="n">
        <v>45841</v>
      </c>
      <c r="C191" s="1" t="n">
        <v>46042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33491-2025</t>
        </is>
      </c>
      <c r="B192" s="1" t="n">
        <v>45841</v>
      </c>
      <c r="C192" s="1" t="n">
        <v>46042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33503-2025</t>
        </is>
      </c>
      <c r="B193" s="1" t="n">
        <v>45841</v>
      </c>
      <c r="C193" s="1" t="n">
        <v>46042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33508-2025</t>
        </is>
      </c>
      <c r="B194" s="1" t="n">
        <v>45841</v>
      </c>
      <c r="C194" s="1" t="n">
        <v>46042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39646-2023</t>
        </is>
      </c>
      <c r="B195" s="1" t="n">
        <v>45166</v>
      </c>
      <c r="C195" s="1" t="n">
        <v>46042</v>
      </c>
      <c r="D195" t="inlineStr">
        <is>
          <t>VÄSTMANLANDS LÄN</t>
        </is>
      </c>
      <c r="E195" t="inlineStr">
        <is>
          <t>KÖPING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33499-2025</t>
        </is>
      </c>
      <c r="B196" s="1" t="n">
        <v>45841</v>
      </c>
      <c r="C196" s="1" t="n">
        <v>46042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23791-2022</t>
        </is>
      </c>
      <c r="B197" s="1" t="n">
        <v>44722</v>
      </c>
      <c r="C197" s="1" t="n">
        <v>46042</v>
      </c>
      <c r="D197" t="inlineStr">
        <is>
          <t>VÄSTMANLANDS LÄN</t>
        </is>
      </c>
      <c r="E197" t="inlineStr">
        <is>
          <t>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51132-2023</t>
        </is>
      </c>
      <c r="B198" s="1" t="n">
        <v>45219.32967592592</v>
      </c>
      <c r="C198" s="1" t="n">
        <v>46042</v>
      </c>
      <c r="D198" t="inlineStr">
        <is>
          <t>VÄSTMANLANDS LÄN</t>
        </is>
      </c>
      <c r="E198" t="inlineStr">
        <is>
          <t>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1181-2025</t>
        </is>
      </c>
      <c r="B199" s="1" t="n">
        <v>45667</v>
      </c>
      <c r="C199" s="1" t="n">
        <v>46042</v>
      </c>
      <c r="D199" t="inlineStr">
        <is>
          <t>VÄSTMANLANDS LÄN</t>
        </is>
      </c>
      <c r="E199" t="inlineStr">
        <is>
          <t>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47681-2025</t>
        </is>
      </c>
      <c r="B200" s="1" t="n">
        <v>45931.58202546297</v>
      </c>
      <c r="C200" s="1" t="n">
        <v>46042</v>
      </c>
      <c r="D200" t="inlineStr">
        <is>
          <t>VÄSTMANLANDS LÄN</t>
        </is>
      </c>
      <c r="E200" t="inlineStr">
        <is>
          <t>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16907-2024</t>
        </is>
      </c>
      <c r="B201" s="1" t="n">
        <v>45411.63599537037</v>
      </c>
      <c r="C201" s="1" t="n">
        <v>46042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47574-2025</t>
        </is>
      </c>
      <c r="B202" s="1" t="n">
        <v>45931.39986111111</v>
      </c>
      <c r="C202" s="1" t="n">
        <v>46042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47576-2025</t>
        </is>
      </c>
      <c r="B203" s="1" t="n">
        <v>45931.40219907407</v>
      </c>
      <c r="C203" s="1" t="n">
        <v>46042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47718-2025</t>
        </is>
      </c>
      <c r="B204" s="1" t="n">
        <v>45931.62083333333</v>
      </c>
      <c r="C204" s="1" t="n">
        <v>46042</v>
      </c>
      <c r="D204" t="inlineStr">
        <is>
          <t>VÄSTMANLANDS LÄN</t>
        </is>
      </c>
      <c r="E204" t="inlineStr">
        <is>
          <t>KÖPING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48276-2025</t>
        </is>
      </c>
      <c r="B205" s="1" t="n">
        <v>45933.57945601852</v>
      </c>
      <c r="C205" s="1" t="n">
        <v>46042</v>
      </c>
      <c r="D205" t="inlineStr">
        <is>
          <t>VÄSTMANLANDS LÄN</t>
        </is>
      </c>
      <c r="E205" t="inlineStr">
        <is>
          <t>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48317-2025</t>
        </is>
      </c>
      <c r="B206" s="1" t="n">
        <v>45933.62094907407</v>
      </c>
      <c r="C206" s="1" t="n">
        <v>46042</v>
      </c>
      <c r="D206" t="inlineStr">
        <is>
          <t>VÄSTMANLANDS LÄN</t>
        </is>
      </c>
      <c r="E206" t="inlineStr">
        <is>
          <t>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48319-2025</t>
        </is>
      </c>
      <c r="B207" s="1" t="n">
        <v>45933.62429398148</v>
      </c>
      <c r="C207" s="1" t="n">
        <v>46042</v>
      </c>
      <c r="D207" t="inlineStr">
        <is>
          <t>VÄSTMANLANDS LÄN</t>
        </is>
      </c>
      <c r="E207" t="inlineStr">
        <is>
          <t>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13041-2025</t>
        </is>
      </c>
      <c r="B208" s="1" t="n">
        <v>45734</v>
      </c>
      <c r="C208" s="1" t="n">
        <v>46042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21157-2025</t>
        </is>
      </c>
      <c r="B209" s="1" t="n">
        <v>45779</v>
      </c>
      <c r="C209" s="1" t="n">
        <v>46042</v>
      </c>
      <c r="D209" t="inlineStr">
        <is>
          <t>VÄSTMANLANDS LÄN</t>
        </is>
      </c>
      <c r="E209" t="inlineStr">
        <is>
          <t>KÖPING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17295-2023</t>
        </is>
      </c>
      <c r="B210" s="1" t="n">
        <v>45035.48342592592</v>
      </c>
      <c r="C210" s="1" t="n">
        <v>46042</v>
      </c>
      <c r="D210" t="inlineStr">
        <is>
          <t>VÄSTMANLANDS LÄN</t>
        </is>
      </c>
      <c r="E210" t="inlineStr">
        <is>
          <t>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53996-2021</t>
        </is>
      </c>
      <c r="B211" s="1" t="n">
        <v>44470</v>
      </c>
      <c r="C211" s="1" t="n">
        <v>46042</v>
      </c>
      <c r="D211" t="inlineStr">
        <is>
          <t>VÄSTMANLANDS LÄN</t>
        </is>
      </c>
      <c r="E211" t="inlineStr">
        <is>
          <t>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45714-2021</t>
        </is>
      </c>
      <c r="B212" s="1" t="n">
        <v>44441</v>
      </c>
      <c r="C212" s="1" t="n">
        <v>46042</v>
      </c>
      <c r="D212" t="inlineStr">
        <is>
          <t>VÄSTMANLANDS LÄN</t>
        </is>
      </c>
      <c r="E212" t="inlineStr">
        <is>
          <t>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48828-2025</t>
        </is>
      </c>
      <c r="B213" s="1" t="n">
        <v>45937.38329861111</v>
      </c>
      <c r="C213" s="1" t="n">
        <v>46042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48978-2025</t>
        </is>
      </c>
      <c r="B214" s="1" t="n">
        <v>45937.57011574074</v>
      </c>
      <c r="C214" s="1" t="n">
        <v>46042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61897-2022</t>
        </is>
      </c>
      <c r="B215" s="1" t="n">
        <v>44917</v>
      </c>
      <c r="C215" s="1" t="n">
        <v>46042</v>
      </c>
      <c r="D215" t="inlineStr">
        <is>
          <t>VÄSTMANLANDS LÄN</t>
        </is>
      </c>
      <c r="E215" t="inlineStr">
        <is>
          <t>KÖPING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30139-2025</t>
        </is>
      </c>
      <c r="B216" s="1" t="n">
        <v>45826</v>
      </c>
      <c r="C216" s="1" t="n">
        <v>46042</v>
      </c>
      <c r="D216" t="inlineStr">
        <is>
          <t>VÄSTMANLANDS LÄN</t>
        </is>
      </c>
      <c r="E216" t="inlineStr">
        <is>
          <t>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41472-2024</t>
        </is>
      </c>
      <c r="B217" s="1" t="n">
        <v>45560.43570601852</v>
      </c>
      <c r="C217" s="1" t="n">
        <v>46042</v>
      </c>
      <c r="D217" t="inlineStr">
        <is>
          <t>VÄSTMANLANDS LÄN</t>
        </is>
      </c>
      <c r="E217" t="inlineStr">
        <is>
          <t>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48979-2025</t>
        </is>
      </c>
      <c r="B218" s="1" t="n">
        <v>45937.57126157408</v>
      </c>
      <c r="C218" s="1" t="n">
        <v>46042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48962-2025</t>
        </is>
      </c>
      <c r="B219" s="1" t="n">
        <v>45937.55361111111</v>
      </c>
      <c r="C219" s="1" t="n">
        <v>46042</v>
      </c>
      <c r="D219" t="inlineStr">
        <is>
          <t>VÄSTMANLANDS LÄN</t>
        </is>
      </c>
      <c r="E219" t="inlineStr">
        <is>
          <t>KÖPING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15549-2024</t>
        </is>
      </c>
      <c r="B220" s="1" t="n">
        <v>45401.63344907408</v>
      </c>
      <c r="C220" s="1" t="n">
        <v>46042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28230-2023</t>
        </is>
      </c>
      <c r="B221" s="1" t="n">
        <v>45099</v>
      </c>
      <c r="C221" s="1" t="n">
        <v>46042</v>
      </c>
      <c r="D221" t="inlineStr">
        <is>
          <t>VÄSTMANLANDS LÄN</t>
        </is>
      </c>
      <c r="E221" t="inlineStr">
        <is>
          <t>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36726-2025</t>
        </is>
      </c>
      <c r="B222" s="1" t="n">
        <v>45873</v>
      </c>
      <c r="C222" s="1" t="n">
        <v>46042</v>
      </c>
      <c r="D222" t="inlineStr">
        <is>
          <t>VÄSTMANLANDS LÄN</t>
        </is>
      </c>
      <c r="E222" t="inlineStr">
        <is>
          <t>KÖPING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64044-2023</t>
        </is>
      </c>
      <c r="B223" s="1" t="n">
        <v>45278</v>
      </c>
      <c r="C223" s="1" t="n">
        <v>46042</v>
      </c>
      <c r="D223" t="inlineStr">
        <is>
          <t>VÄSTMANLANDS LÄN</t>
        </is>
      </c>
      <c r="E223" t="inlineStr">
        <is>
          <t>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15551-2024</t>
        </is>
      </c>
      <c r="B224" s="1" t="n">
        <v>45401.63582175926</v>
      </c>
      <c r="C224" s="1" t="n">
        <v>46042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17380-2023</t>
        </is>
      </c>
      <c r="B225" s="1" t="n">
        <v>45035.65481481481</v>
      </c>
      <c r="C225" s="1" t="n">
        <v>46042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40693-2023</t>
        </is>
      </c>
      <c r="B226" s="1" t="n">
        <v>45170.60415509259</v>
      </c>
      <c r="C226" s="1" t="n">
        <v>46042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54657-2023</t>
        </is>
      </c>
      <c r="B227" s="1" t="n">
        <v>45235</v>
      </c>
      <c r="C227" s="1" t="n">
        <v>46042</v>
      </c>
      <c r="D227" t="inlineStr">
        <is>
          <t>VÄSTMANLANDS LÄN</t>
        </is>
      </c>
      <c r="E227" t="inlineStr">
        <is>
          <t>KÖPING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51407-2023</t>
        </is>
      </c>
      <c r="B228" s="1" t="n">
        <v>45219.69122685185</v>
      </c>
      <c r="C228" s="1" t="n">
        <v>46042</v>
      </c>
      <c r="D228" t="inlineStr">
        <is>
          <t>VÄSTMANLANDS LÄN</t>
        </is>
      </c>
      <c r="E228" t="inlineStr">
        <is>
          <t>KÖPING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19953-2025</t>
        </is>
      </c>
      <c r="B229" s="1" t="n">
        <v>45771</v>
      </c>
      <c r="C229" s="1" t="n">
        <v>46042</v>
      </c>
      <c r="D229" t="inlineStr">
        <is>
          <t>VÄSTMANLANDS LÄN</t>
        </is>
      </c>
      <c r="E229" t="inlineStr">
        <is>
          <t>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23386-2023</t>
        </is>
      </c>
      <c r="B230" s="1" t="n">
        <v>45076</v>
      </c>
      <c r="C230" s="1" t="n">
        <v>46042</v>
      </c>
      <c r="D230" t="inlineStr">
        <is>
          <t>VÄSTMANLANDS LÄN</t>
        </is>
      </c>
      <c r="E230" t="inlineStr">
        <is>
          <t>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2064-2025</t>
        </is>
      </c>
      <c r="B231" s="1" t="n">
        <v>45672.56321759259</v>
      </c>
      <c r="C231" s="1" t="n">
        <v>46042</v>
      </c>
      <c r="D231" t="inlineStr">
        <is>
          <t>VÄSTMANLANDS LÄN</t>
        </is>
      </c>
      <c r="E231" t="inlineStr">
        <is>
          <t>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52481-2025</t>
        </is>
      </c>
      <c r="B232" s="1" t="n">
        <v>45954.47333333334</v>
      </c>
      <c r="C232" s="1" t="n">
        <v>46042</v>
      </c>
      <c r="D232" t="inlineStr">
        <is>
          <t>VÄSTMANLANDS LÄN</t>
        </is>
      </c>
      <c r="E232" t="inlineStr">
        <is>
          <t>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28374-2024</t>
        </is>
      </c>
      <c r="B233" s="1" t="n">
        <v>45477.58703703704</v>
      </c>
      <c r="C233" s="1" t="n">
        <v>46042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38854-2025</t>
        </is>
      </c>
      <c r="B234" s="1" t="n">
        <v>45887.55680555556</v>
      </c>
      <c r="C234" s="1" t="n">
        <v>46042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43303-2022</t>
        </is>
      </c>
      <c r="B235" s="1" t="n">
        <v>44834.54392361111</v>
      </c>
      <c r="C235" s="1" t="n">
        <v>46042</v>
      </c>
      <c r="D235" t="inlineStr">
        <is>
          <t>VÄSTMANLANDS LÄN</t>
        </is>
      </c>
      <c r="E235" t="inlineStr">
        <is>
          <t>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65582-2021</t>
        </is>
      </c>
      <c r="B236" s="1" t="n">
        <v>44516</v>
      </c>
      <c r="C236" s="1" t="n">
        <v>46042</v>
      </c>
      <c r="D236" t="inlineStr">
        <is>
          <t>VÄSTMANLANDS LÄN</t>
        </is>
      </c>
      <c r="E236" t="inlineStr">
        <is>
          <t>KÖPING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44408-2022</t>
        </is>
      </c>
      <c r="B237" s="1" t="n">
        <v>44839</v>
      </c>
      <c r="C237" s="1" t="n">
        <v>46042</v>
      </c>
      <c r="D237" t="inlineStr">
        <is>
          <t>VÄSTMANLANDS LÄN</t>
        </is>
      </c>
      <c r="E237" t="inlineStr">
        <is>
          <t>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53351-2025</t>
        </is>
      </c>
      <c r="B238" s="1" t="n">
        <v>45959.44415509259</v>
      </c>
      <c r="C238" s="1" t="n">
        <v>46042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30141-2022</t>
        </is>
      </c>
      <c r="B239" s="1" t="n">
        <v>44757.48153935185</v>
      </c>
      <c r="C239" s="1" t="n">
        <v>46042</v>
      </c>
      <c r="D239" t="inlineStr">
        <is>
          <t>VÄSTMANLANDS LÄN</t>
        </is>
      </c>
      <c r="E239" t="inlineStr">
        <is>
          <t>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2608-2025</t>
        </is>
      </c>
      <c r="B240" s="1" t="n">
        <v>45674</v>
      </c>
      <c r="C240" s="1" t="n">
        <v>46042</v>
      </c>
      <c r="D240" t="inlineStr">
        <is>
          <t>VÄSTMANLANDS LÄN</t>
        </is>
      </c>
      <c r="E240" t="inlineStr">
        <is>
          <t>KÖPING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19358-2024</t>
        </is>
      </c>
      <c r="B241" s="1" t="n">
        <v>45429</v>
      </c>
      <c r="C241" s="1" t="n">
        <v>46042</v>
      </c>
      <c r="D241" t="inlineStr">
        <is>
          <t>VÄSTMANLANDS LÄN</t>
        </is>
      </c>
      <c r="E241" t="inlineStr">
        <is>
          <t>KÖPING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45048-2024</t>
        </is>
      </c>
      <c r="B242" s="1" t="n">
        <v>45575</v>
      </c>
      <c r="C242" s="1" t="n">
        <v>46042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54204-2025</t>
        </is>
      </c>
      <c r="B243" s="1" t="n">
        <v>45964.5841087963</v>
      </c>
      <c r="C243" s="1" t="n">
        <v>46042</v>
      </c>
      <c r="D243" t="inlineStr">
        <is>
          <t>VÄSTMANLANDS LÄN</t>
        </is>
      </c>
      <c r="E243" t="inlineStr">
        <is>
          <t>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44814-2023</t>
        </is>
      </c>
      <c r="B244" s="1" t="n">
        <v>45190</v>
      </c>
      <c r="C244" s="1" t="n">
        <v>46042</v>
      </c>
      <c r="D244" t="inlineStr">
        <is>
          <t>VÄSTMANLANDS LÄN</t>
        </is>
      </c>
      <c r="E244" t="inlineStr">
        <is>
          <t>KÖPING</t>
        </is>
      </c>
      <c r="G244" t="n">
        <v>24.2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62449-2025</t>
        </is>
      </c>
      <c r="B245" s="1" t="n">
        <v>46007.4880324074</v>
      </c>
      <c r="C245" s="1" t="n">
        <v>46042</v>
      </c>
      <c r="D245" t="inlineStr">
        <is>
          <t>VÄSTMANLANDS LÄN</t>
        </is>
      </c>
      <c r="E245" t="inlineStr">
        <is>
          <t>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54730-2025</t>
        </is>
      </c>
      <c r="B246" s="1" t="n">
        <v>45966.55922453704</v>
      </c>
      <c r="C246" s="1" t="n">
        <v>46042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33932-2024</t>
        </is>
      </c>
      <c r="B247" s="1" t="n">
        <v>45523.43164351852</v>
      </c>
      <c r="C247" s="1" t="n">
        <v>46042</v>
      </c>
      <c r="D247" t="inlineStr">
        <is>
          <t>VÄSTMANLANDS LÄN</t>
        </is>
      </c>
      <c r="E247" t="inlineStr">
        <is>
          <t>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62596-2025</t>
        </is>
      </c>
      <c r="B248" s="1" t="n">
        <v>46007.91685185185</v>
      </c>
      <c r="C248" s="1" t="n">
        <v>46042</v>
      </c>
      <c r="D248" t="inlineStr">
        <is>
          <t>VÄSTMANLANDS LÄN</t>
        </is>
      </c>
      <c r="E248" t="inlineStr">
        <is>
          <t>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62946-2025</t>
        </is>
      </c>
      <c r="B249" s="1" t="n">
        <v>46009.44358796296</v>
      </c>
      <c r="C249" s="1" t="n">
        <v>46042</v>
      </c>
      <c r="D249" t="inlineStr">
        <is>
          <t>VÄSTMANLANDS LÄN</t>
        </is>
      </c>
      <c r="E249" t="inlineStr">
        <is>
          <t>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18162-2025</t>
        </is>
      </c>
      <c r="B250" s="1" t="n">
        <v>45761</v>
      </c>
      <c r="C250" s="1" t="n">
        <v>46042</v>
      </c>
      <c r="D250" t="inlineStr">
        <is>
          <t>VÄSTMANLANDS LÄN</t>
        </is>
      </c>
      <c r="E250" t="inlineStr">
        <is>
          <t>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63321-2025</t>
        </is>
      </c>
      <c r="B251" s="1" t="n">
        <v>46010.63621527778</v>
      </c>
      <c r="C251" s="1" t="n">
        <v>46042</v>
      </c>
      <c r="D251" t="inlineStr">
        <is>
          <t>VÄSTMANLANDS LÄN</t>
        </is>
      </c>
      <c r="E251" t="inlineStr">
        <is>
          <t>KÖPING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55114-2025</t>
        </is>
      </c>
      <c r="B252" s="1" t="n">
        <v>45968.38443287037</v>
      </c>
      <c r="C252" s="1" t="n">
        <v>46042</v>
      </c>
      <c r="D252" t="inlineStr">
        <is>
          <t>VÄSTMANLANDS LÄN</t>
        </is>
      </c>
      <c r="E252" t="inlineStr">
        <is>
          <t>KÖPING</t>
        </is>
      </c>
      <c r="G252" t="n">
        <v>15.5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63448-2025</t>
        </is>
      </c>
      <c r="B253" s="1" t="n">
        <v>46013.40564814815</v>
      </c>
      <c r="C253" s="1" t="n">
        <v>46042</v>
      </c>
      <c r="D253" t="inlineStr">
        <is>
          <t>VÄSTMANLANDS LÄN</t>
        </is>
      </c>
      <c r="E253" t="inlineStr">
        <is>
          <t>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36476-2024</t>
        </is>
      </c>
      <c r="B254" s="1" t="n">
        <v>45537.36153935185</v>
      </c>
      <c r="C254" s="1" t="n">
        <v>46042</v>
      </c>
      <c r="D254" t="inlineStr">
        <is>
          <t>VÄSTMANLANDS LÄN</t>
        </is>
      </c>
      <c r="E254" t="inlineStr">
        <is>
          <t>KÖPING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13050-2025</t>
        </is>
      </c>
      <c r="B255" s="1" t="n">
        <v>45734.59349537037</v>
      </c>
      <c r="C255" s="1" t="n">
        <v>46042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6948-2023</t>
        </is>
      </c>
      <c r="B256" s="1" t="n">
        <v>44967.58497685185</v>
      </c>
      <c r="C256" s="1" t="n">
        <v>46042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13847-2025</t>
        </is>
      </c>
      <c r="B257" s="1" t="n">
        <v>45737.56431712963</v>
      </c>
      <c r="C257" s="1" t="n">
        <v>46042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4981-2024</t>
        </is>
      </c>
      <c r="B258" s="1" t="n">
        <v>45329</v>
      </c>
      <c r="C258" s="1" t="n">
        <v>46042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56298-2025</t>
        </is>
      </c>
      <c r="B259" s="1" t="n">
        <v>45974.60434027778</v>
      </c>
      <c r="C259" s="1" t="n">
        <v>46042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56301-2025</t>
        </is>
      </c>
      <c r="B260" s="1" t="n">
        <v>45974</v>
      </c>
      <c r="C260" s="1" t="n">
        <v>46042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56296-2025</t>
        </is>
      </c>
      <c r="B261" s="1" t="n">
        <v>45974.60321759259</v>
      </c>
      <c r="C261" s="1" t="n">
        <v>46042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51190-2024</t>
        </is>
      </c>
      <c r="B262" s="1" t="n">
        <v>45603.61458333334</v>
      </c>
      <c r="C262" s="1" t="n">
        <v>46042</v>
      </c>
      <c r="D262" t="inlineStr">
        <is>
          <t>VÄSTMANLANDS LÄN</t>
        </is>
      </c>
      <c r="E262" t="inlineStr">
        <is>
          <t>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56294-2025</t>
        </is>
      </c>
      <c r="B263" s="1" t="n">
        <v>45974</v>
      </c>
      <c r="C263" s="1" t="n">
        <v>46042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56287-2025</t>
        </is>
      </c>
      <c r="B264" s="1" t="n">
        <v>45974</v>
      </c>
      <c r="C264" s="1" t="n">
        <v>46042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56293-2025</t>
        </is>
      </c>
      <c r="B265" s="1" t="n">
        <v>45974.59898148148</v>
      </c>
      <c r="C265" s="1" t="n">
        <v>46042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2071-2025</t>
        </is>
      </c>
      <c r="B266" s="1" t="n">
        <v>45672.56981481481</v>
      </c>
      <c r="C266" s="1" t="n">
        <v>46042</v>
      </c>
      <c r="D266" t="inlineStr">
        <is>
          <t>VÄSTMANLANDS LÄN</t>
        </is>
      </c>
      <c r="E266" t="inlineStr">
        <is>
          <t>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56936-2025</t>
        </is>
      </c>
      <c r="B267" s="1" t="n">
        <v>45978.61762731482</v>
      </c>
      <c r="C267" s="1" t="n">
        <v>46042</v>
      </c>
      <c r="D267" t="inlineStr">
        <is>
          <t>VÄSTMANLANDS LÄN</t>
        </is>
      </c>
      <c r="E267" t="inlineStr">
        <is>
          <t>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63882-2025</t>
        </is>
      </c>
      <c r="B268" s="1" t="n">
        <v>46020.57383101852</v>
      </c>
      <c r="C268" s="1" t="n">
        <v>46042</v>
      </c>
      <c r="D268" t="inlineStr">
        <is>
          <t>VÄSTMANLANDS LÄN</t>
        </is>
      </c>
      <c r="E268" t="inlineStr">
        <is>
          <t>KÖPING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44621-2023</t>
        </is>
      </c>
      <c r="B269" s="1" t="n">
        <v>45189.64144675926</v>
      </c>
      <c r="C269" s="1" t="n">
        <v>46042</v>
      </c>
      <c r="D269" t="inlineStr">
        <is>
          <t>VÄSTMANLANDS LÄN</t>
        </is>
      </c>
      <c r="E269" t="inlineStr">
        <is>
          <t>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57048-2025</t>
        </is>
      </c>
      <c r="B270" s="1" t="n">
        <v>45979.34693287037</v>
      </c>
      <c r="C270" s="1" t="n">
        <v>46042</v>
      </c>
      <c r="D270" t="inlineStr">
        <is>
          <t>VÄSTMANLANDS LÄN</t>
        </is>
      </c>
      <c r="E270" t="inlineStr">
        <is>
          <t>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57693-2025</t>
        </is>
      </c>
      <c r="B271" s="1" t="n">
        <v>45981.45151620371</v>
      </c>
      <c r="C271" s="1" t="n">
        <v>46042</v>
      </c>
      <c r="D271" t="inlineStr">
        <is>
          <t>VÄSTMANLANDS LÄN</t>
        </is>
      </c>
      <c r="E271" t="inlineStr">
        <is>
          <t>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30147-2022</t>
        </is>
      </c>
      <c r="B272" s="1" t="n">
        <v>44757.49366898148</v>
      </c>
      <c r="C272" s="1" t="n">
        <v>46042</v>
      </c>
      <c r="D272" t="inlineStr">
        <is>
          <t>VÄSTMANLANDS LÄN</t>
        </is>
      </c>
      <c r="E272" t="inlineStr">
        <is>
          <t>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57318-2025</t>
        </is>
      </c>
      <c r="B273" s="1" t="n">
        <v>45980.01403935185</v>
      </c>
      <c r="C273" s="1" t="n">
        <v>46042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57572-2025</t>
        </is>
      </c>
      <c r="B274" s="1" t="n">
        <v>45980.82129629629</v>
      </c>
      <c r="C274" s="1" t="n">
        <v>46042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11034-2022</t>
        </is>
      </c>
      <c r="B275" s="1" t="n">
        <v>44628.58557870371</v>
      </c>
      <c r="C275" s="1" t="n">
        <v>46042</v>
      </c>
      <c r="D275" t="inlineStr">
        <is>
          <t>VÄSTMANLANDS LÄN</t>
        </is>
      </c>
      <c r="E275" t="inlineStr">
        <is>
          <t>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43567-2022</t>
        </is>
      </c>
      <c r="B276" s="1" t="n">
        <v>44837</v>
      </c>
      <c r="C276" s="1" t="n">
        <v>46042</v>
      </c>
      <c r="D276" t="inlineStr">
        <is>
          <t>VÄSTMANLANDS LÄN</t>
        </is>
      </c>
      <c r="E276" t="inlineStr">
        <is>
          <t>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58079-2025</t>
        </is>
      </c>
      <c r="B277" s="1" t="n">
        <v>45982.55881944444</v>
      </c>
      <c r="C277" s="1" t="n">
        <v>46042</v>
      </c>
      <c r="D277" t="inlineStr">
        <is>
          <t>VÄSTMANLANDS LÄN</t>
        </is>
      </c>
      <c r="E277" t="inlineStr">
        <is>
          <t>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22793-2024</t>
        </is>
      </c>
      <c r="B278" s="1" t="n">
        <v>45448</v>
      </c>
      <c r="C278" s="1" t="n">
        <v>46042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46124-2022</t>
        </is>
      </c>
      <c r="B279" s="1" t="n">
        <v>44847</v>
      </c>
      <c r="C279" s="1" t="n">
        <v>46042</v>
      </c>
      <c r="D279" t="inlineStr">
        <is>
          <t>VÄSTMANLANDS LÄN</t>
        </is>
      </c>
      <c r="E279" t="inlineStr">
        <is>
          <t>KÖPING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46126-2022</t>
        </is>
      </c>
      <c r="B280" s="1" t="n">
        <v>44847</v>
      </c>
      <c r="C280" s="1" t="n">
        <v>46042</v>
      </c>
      <c r="D280" t="inlineStr">
        <is>
          <t>VÄSTMANLANDS LÄN</t>
        </is>
      </c>
      <c r="E280" t="inlineStr">
        <is>
          <t>KÖPING</t>
        </is>
      </c>
      <c r="G280" t="n">
        <v>17.5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41815-2023</t>
        </is>
      </c>
      <c r="B281" s="1" t="n">
        <v>45176.55569444445</v>
      </c>
      <c r="C281" s="1" t="n">
        <v>46042</v>
      </c>
      <c r="D281" t="inlineStr">
        <is>
          <t>VÄSTMANLANDS LÄN</t>
        </is>
      </c>
      <c r="E281" t="inlineStr">
        <is>
          <t>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68976-2021</t>
        </is>
      </c>
      <c r="B282" s="1" t="n">
        <v>44530</v>
      </c>
      <c r="C282" s="1" t="n">
        <v>46042</v>
      </c>
      <c r="D282" t="inlineStr">
        <is>
          <t>VÄSTMANLANDS LÄN</t>
        </is>
      </c>
      <c r="E282" t="inlineStr">
        <is>
          <t>KÖPING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1290-2023</t>
        </is>
      </c>
      <c r="B283" s="1" t="n">
        <v>44936.47363425926</v>
      </c>
      <c r="C283" s="1" t="n">
        <v>46042</v>
      </c>
      <c r="D283" t="inlineStr">
        <is>
          <t>VÄSTMANLANDS LÄN</t>
        </is>
      </c>
      <c r="E283" t="inlineStr">
        <is>
          <t>KÖPING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57297-2024</t>
        </is>
      </c>
      <c r="B284" s="1" t="n">
        <v>45629</v>
      </c>
      <c r="C284" s="1" t="n">
        <v>46042</v>
      </c>
      <c r="D284" t="inlineStr">
        <is>
          <t>VÄSTMANLANDS LÄN</t>
        </is>
      </c>
      <c r="E284" t="inlineStr">
        <is>
          <t>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61322-2023</t>
        </is>
      </c>
      <c r="B285" s="1" t="n">
        <v>45264.57892361111</v>
      </c>
      <c r="C285" s="1" t="n">
        <v>46042</v>
      </c>
      <c r="D285" t="inlineStr">
        <is>
          <t>VÄSTMANLANDS LÄN</t>
        </is>
      </c>
      <c r="E285" t="inlineStr">
        <is>
          <t>KÖPING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29934-2022</t>
        </is>
      </c>
      <c r="B286" s="1" t="n">
        <v>44757</v>
      </c>
      <c r="C286" s="1" t="n">
        <v>46042</v>
      </c>
      <c r="D286" t="inlineStr">
        <is>
          <t>VÄSTMANLANDS LÄN</t>
        </is>
      </c>
      <c r="E286" t="inlineStr">
        <is>
          <t>KÖPING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23656-2023</t>
        </is>
      </c>
      <c r="B287" s="1" t="n">
        <v>45077.56179398148</v>
      </c>
      <c r="C287" s="1" t="n">
        <v>46042</v>
      </c>
      <c r="D287" t="inlineStr">
        <is>
          <t>VÄSTMANLANDS LÄN</t>
        </is>
      </c>
      <c r="E287" t="inlineStr">
        <is>
          <t>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23658-2023</t>
        </is>
      </c>
      <c r="B288" s="1" t="n">
        <v>45077.56442129629</v>
      </c>
      <c r="C288" s="1" t="n">
        <v>46042</v>
      </c>
      <c r="D288" t="inlineStr">
        <is>
          <t>VÄSTMANLANDS LÄN</t>
        </is>
      </c>
      <c r="E288" t="inlineStr">
        <is>
          <t>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60072-2025</t>
        </is>
      </c>
      <c r="B289" s="1" t="n">
        <v>45993.67482638889</v>
      </c>
      <c r="C289" s="1" t="n">
        <v>46042</v>
      </c>
      <c r="D289" t="inlineStr">
        <is>
          <t>VÄSTMANLANDS LÄN</t>
        </is>
      </c>
      <c r="E289" t="inlineStr">
        <is>
          <t>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59724-2025</t>
        </is>
      </c>
      <c r="B290" s="1" t="n">
        <v>45992.55136574074</v>
      </c>
      <c r="C290" s="1" t="n">
        <v>46042</v>
      </c>
      <c r="D290" t="inlineStr">
        <is>
          <t>VÄSTMANLANDS LÄN</t>
        </is>
      </c>
      <c r="E290" t="inlineStr">
        <is>
          <t>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10096-2025</t>
        </is>
      </c>
      <c r="B291" s="1" t="n">
        <v>45719.57665509259</v>
      </c>
      <c r="C291" s="1" t="n">
        <v>46042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22881-2024</t>
        </is>
      </c>
      <c r="B292" s="1" t="n">
        <v>45448.66190972222</v>
      </c>
      <c r="C292" s="1" t="n">
        <v>46042</v>
      </c>
      <c r="D292" t="inlineStr">
        <is>
          <t>VÄSTMANLANDS LÄN</t>
        </is>
      </c>
      <c r="E292" t="inlineStr">
        <is>
          <t>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15735-2024</t>
        </is>
      </c>
      <c r="B293" s="1" t="n">
        <v>45404</v>
      </c>
      <c r="C293" s="1" t="n">
        <v>46042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20395-2025</t>
        </is>
      </c>
      <c r="B294" s="1" t="n">
        <v>45775</v>
      </c>
      <c r="C294" s="1" t="n">
        <v>46042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39358-2024</t>
        </is>
      </c>
      <c r="B295" s="1" t="n">
        <v>45551</v>
      </c>
      <c r="C295" s="1" t="n">
        <v>46042</v>
      </c>
      <c r="D295" t="inlineStr">
        <is>
          <t>VÄSTMANLANDS LÄN</t>
        </is>
      </c>
      <c r="E295" t="inlineStr">
        <is>
          <t>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63241-2023</t>
        </is>
      </c>
      <c r="B296" s="1" t="n">
        <v>45273</v>
      </c>
      <c r="C296" s="1" t="n">
        <v>46042</v>
      </c>
      <c r="D296" t="inlineStr">
        <is>
          <t>VÄSTMANLANDS LÄN</t>
        </is>
      </c>
      <c r="E296" t="inlineStr">
        <is>
          <t>KÖPING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11220-2023</t>
        </is>
      </c>
      <c r="B297" s="1" t="n">
        <v>44988</v>
      </c>
      <c r="C297" s="1" t="n">
        <v>46042</v>
      </c>
      <c r="D297" t="inlineStr">
        <is>
          <t>VÄSTMANLANDS LÄN</t>
        </is>
      </c>
      <c r="E297" t="inlineStr">
        <is>
          <t>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54871-2024</t>
        </is>
      </c>
      <c r="B298" s="1" t="n">
        <v>45618.59935185185</v>
      </c>
      <c r="C298" s="1" t="n">
        <v>46042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16430-2022</t>
        </is>
      </c>
      <c r="B299" s="1" t="n">
        <v>44671</v>
      </c>
      <c r="C299" s="1" t="n">
        <v>46042</v>
      </c>
      <c r="D299" t="inlineStr">
        <is>
          <t>VÄSTMANLANDS LÄN</t>
        </is>
      </c>
      <c r="E299" t="inlineStr">
        <is>
          <t>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60963-2025</t>
        </is>
      </c>
      <c r="B300" s="1" t="n">
        <v>45999.66793981481</v>
      </c>
      <c r="C300" s="1" t="n">
        <v>46042</v>
      </c>
      <c r="D300" t="inlineStr">
        <is>
          <t>VÄSTMANLANDS LÄN</t>
        </is>
      </c>
      <c r="E300" t="inlineStr">
        <is>
          <t>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57514-2022</t>
        </is>
      </c>
      <c r="B301" s="1" t="n">
        <v>44896</v>
      </c>
      <c r="C301" s="1" t="n">
        <v>46042</v>
      </c>
      <c r="D301" t="inlineStr">
        <is>
          <t>VÄSTMANLANDS LÄN</t>
        </is>
      </c>
      <c r="E301" t="inlineStr">
        <is>
          <t>KÖPING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4687-2023</t>
        </is>
      </c>
      <c r="B302" s="1" t="n">
        <v>44957.46186342592</v>
      </c>
      <c r="C302" s="1" t="n">
        <v>46042</v>
      </c>
      <c r="D302" t="inlineStr">
        <is>
          <t>VÄSTMANLANDS LÄN</t>
        </is>
      </c>
      <c r="E302" t="inlineStr">
        <is>
          <t>KÖPING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60830-2025</t>
        </is>
      </c>
      <c r="B303" s="1" t="n">
        <v>45999.46914351852</v>
      </c>
      <c r="C303" s="1" t="n">
        <v>46042</v>
      </c>
      <c r="D303" t="inlineStr">
        <is>
          <t>VÄSTMANLANDS LÄN</t>
        </is>
      </c>
      <c r="E303" t="inlineStr">
        <is>
          <t>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52799-2021</t>
        </is>
      </c>
      <c r="B304" s="1" t="n">
        <v>44467</v>
      </c>
      <c r="C304" s="1" t="n">
        <v>46042</v>
      </c>
      <c r="D304" t="inlineStr">
        <is>
          <t>VÄSTMANLANDS LÄN</t>
        </is>
      </c>
      <c r="E304" t="inlineStr">
        <is>
          <t>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57760-2022</t>
        </is>
      </c>
      <c r="B305" s="1" t="n">
        <v>44897</v>
      </c>
      <c r="C305" s="1" t="n">
        <v>46042</v>
      </c>
      <c r="D305" t="inlineStr">
        <is>
          <t>VÄSTMANLANDS LÄN</t>
        </is>
      </c>
      <c r="E305" t="inlineStr">
        <is>
          <t>KÖPING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17204-2023</t>
        </is>
      </c>
      <c r="B306" s="1" t="n">
        <v>45034.91637731482</v>
      </c>
      <c r="C306" s="1" t="n">
        <v>46042</v>
      </c>
      <c r="D306" t="inlineStr">
        <is>
          <t>VÄSTMANLANDS LÄN</t>
        </is>
      </c>
      <c r="E306" t="inlineStr">
        <is>
          <t>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29456-2023</t>
        </is>
      </c>
      <c r="B307" s="1" t="n">
        <v>45106</v>
      </c>
      <c r="C307" s="1" t="n">
        <v>46042</v>
      </c>
      <c r="D307" t="inlineStr">
        <is>
          <t>VÄSTMANLANDS LÄN</t>
        </is>
      </c>
      <c r="E307" t="inlineStr">
        <is>
          <t>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10972-2021</t>
        </is>
      </c>
      <c r="B308" s="1" t="n">
        <v>44260</v>
      </c>
      <c r="C308" s="1" t="n">
        <v>46042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18785-2025</t>
        </is>
      </c>
      <c r="B309" s="1" t="n">
        <v>45764</v>
      </c>
      <c r="C309" s="1" t="n">
        <v>46042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18787-2025</t>
        </is>
      </c>
      <c r="B310" s="1" t="n">
        <v>45764</v>
      </c>
      <c r="C310" s="1" t="n">
        <v>46042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37660-2022</t>
        </is>
      </c>
      <c r="B311" s="1" t="n">
        <v>44810.44481481481</v>
      </c>
      <c r="C311" s="1" t="n">
        <v>46042</v>
      </c>
      <c r="D311" t="inlineStr">
        <is>
          <t>VÄSTMANLANDS LÄN</t>
        </is>
      </c>
      <c r="E311" t="inlineStr">
        <is>
          <t>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37776-2022</t>
        </is>
      </c>
      <c r="B312" s="1" t="n">
        <v>44810.64696759259</v>
      </c>
      <c r="C312" s="1" t="n">
        <v>46042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46042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37669-2023</t>
        </is>
      </c>
      <c r="B314" s="1" t="n">
        <v>45159.55391203704</v>
      </c>
      <c r="C314" s="1" t="n">
        <v>46042</v>
      </c>
      <c r="D314" t="inlineStr">
        <is>
          <t>VÄSTMANLANDS LÄN</t>
        </is>
      </c>
      <c r="E314" t="inlineStr">
        <is>
          <t>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55835-2021</t>
        </is>
      </c>
      <c r="B315" s="1" t="n">
        <v>44476.62849537037</v>
      </c>
      <c r="C315" s="1" t="n">
        <v>46042</v>
      </c>
      <c r="D315" t="inlineStr">
        <is>
          <t>VÄSTMANLANDS LÄN</t>
        </is>
      </c>
      <c r="E315" t="inlineStr">
        <is>
          <t>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51412-2023</t>
        </is>
      </c>
      <c r="B316" s="1" t="n">
        <v>45219.71002314815</v>
      </c>
      <c r="C316" s="1" t="n">
        <v>46042</v>
      </c>
      <c r="D316" t="inlineStr">
        <is>
          <t>VÄSTMANLANDS LÄN</t>
        </is>
      </c>
      <c r="E316" t="inlineStr">
        <is>
          <t>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51119-2023</t>
        </is>
      </c>
      <c r="B317" s="1" t="n">
        <v>45219.30594907407</v>
      </c>
      <c r="C317" s="1" t="n">
        <v>46042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36409-2023</t>
        </is>
      </c>
      <c r="B318" s="1" t="n">
        <v>45152.56538194444</v>
      </c>
      <c r="C318" s="1" t="n">
        <v>46042</v>
      </c>
      <c r="D318" t="inlineStr">
        <is>
          <t>VÄSTMANLANDS LÄN</t>
        </is>
      </c>
      <c r="E318" t="inlineStr">
        <is>
          <t>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50045-2021</t>
        </is>
      </c>
      <c r="B319" s="1" t="n">
        <v>44456</v>
      </c>
      <c r="C319" s="1" t="n">
        <v>46042</v>
      </c>
      <c r="D319" t="inlineStr">
        <is>
          <t>VÄSTMANLANDS LÄN</t>
        </is>
      </c>
      <c r="E319" t="inlineStr">
        <is>
          <t>KÖPING</t>
        </is>
      </c>
      <c r="F319" t="inlineStr">
        <is>
          <t>Allmännings- och besparingsskogar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10582-2024</t>
        </is>
      </c>
      <c r="B320" s="1" t="n">
        <v>45366.67637731481</v>
      </c>
      <c r="C320" s="1" t="n">
        <v>46042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25662-2024</t>
        </is>
      </c>
      <c r="B321" s="1" t="n">
        <v>45463.7021875</v>
      </c>
      <c r="C321" s="1" t="n">
        <v>46042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29317-2022</t>
        </is>
      </c>
      <c r="B322" s="1" t="n">
        <v>44751.34050925926</v>
      </c>
      <c r="C322" s="1" t="n">
        <v>46042</v>
      </c>
      <c r="D322" t="inlineStr">
        <is>
          <t>VÄSTMANLANDS LÄN</t>
        </is>
      </c>
      <c r="E322" t="inlineStr">
        <is>
          <t>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38844-2024</t>
        </is>
      </c>
      <c r="B323" s="1" t="n">
        <v>45547</v>
      </c>
      <c r="C323" s="1" t="n">
        <v>46042</v>
      </c>
      <c r="D323" t="inlineStr">
        <is>
          <t>VÄSTMANLANDS LÄN</t>
        </is>
      </c>
      <c r="E323" t="inlineStr">
        <is>
          <t>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199-2025</t>
        </is>
      </c>
      <c r="B324" s="1" t="n">
        <v>45659</v>
      </c>
      <c r="C324" s="1" t="n">
        <v>46042</v>
      </c>
      <c r="D324" t="inlineStr">
        <is>
          <t>VÄSTMANLANDS LÄN</t>
        </is>
      </c>
      <c r="E324" t="inlineStr">
        <is>
          <t>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72463-2021</t>
        </is>
      </c>
      <c r="B325" s="1" t="n">
        <v>44545</v>
      </c>
      <c r="C325" s="1" t="n">
        <v>46042</v>
      </c>
      <c r="D325" t="inlineStr">
        <is>
          <t>VÄSTMANLANDS LÄN</t>
        </is>
      </c>
      <c r="E325" t="inlineStr">
        <is>
          <t>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54867-2024</t>
        </is>
      </c>
      <c r="B326" s="1" t="n">
        <v>45618.59675925926</v>
      </c>
      <c r="C326" s="1" t="n">
        <v>46042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54869-2024</t>
        </is>
      </c>
      <c r="B327" s="1" t="n">
        <v>45618.59804398148</v>
      </c>
      <c r="C327" s="1" t="n">
        <v>46042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45684-2024</t>
        </is>
      </c>
      <c r="B328" s="1" t="n">
        <v>45579</v>
      </c>
      <c r="C328" s="1" t="n">
        <v>46042</v>
      </c>
      <c r="D328" t="inlineStr">
        <is>
          <t>VÄSTMANLANDS LÄN</t>
        </is>
      </c>
      <c r="E328" t="inlineStr">
        <is>
          <t>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1812-2022</t>
        </is>
      </c>
      <c r="B329" s="1" t="n">
        <v>44574</v>
      </c>
      <c r="C329" s="1" t="n">
        <v>46042</v>
      </c>
      <c r="D329" t="inlineStr">
        <is>
          <t>VÄSTMANLANDS LÄN</t>
        </is>
      </c>
      <c r="E329" t="inlineStr">
        <is>
          <t>KÖPING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32029-2024</t>
        </is>
      </c>
      <c r="B330" s="1" t="n">
        <v>45510.66086805556</v>
      </c>
      <c r="C330" s="1" t="n">
        <v>46042</v>
      </c>
      <c r="D330" t="inlineStr">
        <is>
          <t>VÄSTMANLANDS LÄN</t>
        </is>
      </c>
      <c r="E330" t="inlineStr">
        <is>
          <t>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44616-2023</t>
        </is>
      </c>
      <c r="B331" s="1" t="n">
        <v>45189.63728009259</v>
      </c>
      <c r="C331" s="1" t="n">
        <v>46042</v>
      </c>
      <c r="D331" t="inlineStr">
        <is>
          <t>VÄSTMANLANDS LÄN</t>
        </is>
      </c>
      <c r="E331" t="inlineStr">
        <is>
          <t>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13042-2025</t>
        </is>
      </c>
      <c r="B332" s="1" t="n">
        <v>45734</v>
      </c>
      <c r="C332" s="1" t="n">
        <v>46042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13046-2025</t>
        </is>
      </c>
      <c r="B333" s="1" t="n">
        <v>45734.5908449074</v>
      </c>
      <c r="C333" s="1" t="n">
        <v>46042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13049-2025</t>
        </is>
      </c>
      <c r="B334" s="1" t="n">
        <v>45734.59259259259</v>
      </c>
      <c r="C334" s="1" t="n">
        <v>46042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51409-2023</t>
        </is>
      </c>
      <c r="B335" s="1" t="n">
        <v>45219.69724537037</v>
      </c>
      <c r="C335" s="1" t="n">
        <v>46042</v>
      </c>
      <c r="D335" t="inlineStr">
        <is>
          <t>VÄSTMANLANDS LÄN</t>
        </is>
      </c>
      <c r="E335" t="inlineStr">
        <is>
          <t>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40690-2023</t>
        </is>
      </c>
      <c r="B336" s="1" t="n">
        <v>45170.60081018518</v>
      </c>
      <c r="C336" s="1" t="n">
        <v>46042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30087-2021</t>
        </is>
      </c>
      <c r="B337" s="1" t="n">
        <v>44363.54297453703</v>
      </c>
      <c r="C337" s="1" t="n">
        <v>46042</v>
      </c>
      <c r="D337" t="inlineStr">
        <is>
          <t>VÄSTMANLANDS LÄN</t>
        </is>
      </c>
      <c r="E337" t="inlineStr">
        <is>
          <t>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39836-2024</t>
        </is>
      </c>
      <c r="B338" s="1" t="n">
        <v>45553.41850694444</v>
      </c>
      <c r="C338" s="1" t="n">
        <v>46042</v>
      </c>
      <c r="D338" t="inlineStr">
        <is>
          <t>VÄSTMANLANDS LÄN</t>
        </is>
      </c>
      <c r="E338" t="inlineStr">
        <is>
          <t>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14114-2024</t>
        </is>
      </c>
      <c r="B339" s="1" t="n">
        <v>45392.63758101852</v>
      </c>
      <c r="C339" s="1" t="n">
        <v>46042</v>
      </c>
      <c r="D339" t="inlineStr">
        <is>
          <t>VÄSTMANLANDS LÄN</t>
        </is>
      </c>
      <c r="E339" t="inlineStr">
        <is>
          <t>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60485-2022</t>
        </is>
      </c>
      <c r="B340" s="1" t="n">
        <v>44911.4296412037</v>
      </c>
      <c r="C340" s="1" t="n">
        <v>46042</v>
      </c>
      <c r="D340" t="inlineStr">
        <is>
          <t>VÄSTMANLANDS LÄN</t>
        </is>
      </c>
      <c r="E340" t="inlineStr">
        <is>
          <t>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15657-2023</t>
        </is>
      </c>
      <c r="B341" s="1" t="n">
        <v>45021</v>
      </c>
      <c r="C341" s="1" t="n">
        <v>46042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14062-2024</t>
        </is>
      </c>
      <c r="B342" s="1" t="n">
        <v>45392.56596064815</v>
      </c>
      <c r="C342" s="1" t="n">
        <v>46042</v>
      </c>
      <c r="D342" t="inlineStr">
        <is>
          <t>VÄSTMANLANDS LÄN</t>
        </is>
      </c>
      <c r="E342" t="inlineStr">
        <is>
          <t>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10948-2024</t>
        </is>
      </c>
      <c r="B343" s="1" t="n">
        <v>45370.47395833334</v>
      </c>
      <c r="C343" s="1" t="n">
        <v>46042</v>
      </c>
      <c r="D343" t="inlineStr">
        <is>
          <t>VÄSTMANLANDS LÄN</t>
        </is>
      </c>
      <c r="E343" t="inlineStr">
        <is>
          <t>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10979-2024</t>
        </is>
      </c>
      <c r="B344" s="1" t="n">
        <v>45370.53177083333</v>
      </c>
      <c r="C344" s="1" t="n">
        <v>46042</v>
      </c>
      <c r="D344" t="inlineStr">
        <is>
          <t>VÄSTMANLANDS LÄN</t>
        </is>
      </c>
      <c r="E344" t="inlineStr">
        <is>
          <t>KÖPING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20151-2023</t>
        </is>
      </c>
      <c r="B345" s="1" t="n">
        <v>45051</v>
      </c>
      <c r="C345" s="1" t="n">
        <v>46042</v>
      </c>
      <c r="D345" t="inlineStr">
        <is>
          <t>VÄSTMANLANDS LÄN</t>
        </is>
      </c>
      <c r="E345" t="inlineStr">
        <is>
          <t>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19593-2025</t>
        </is>
      </c>
      <c r="B346" s="1" t="n">
        <v>45770.57755787037</v>
      </c>
      <c r="C346" s="1" t="n">
        <v>46042</v>
      </c>
      <c r="D346" t="inlineStr">
        <is>
          <t>VÄSTMANLANDS LÄN</t>
        </is>
      </c>
      <c r="E346" t="inlineStr">
        <is>
          <t>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10750-2023</t>
        </is>
      </c>
      <c r="B347" s="1" t="n">
        <v>44985</v>
      </c>
      <c r="C347" s="1" t="n">
        <v>46042</v>
      </c>
      <c r="D347" t="inlineStr">
        <is>
          <t>VÄSTMANLANDS LÄN</t>
        </is>
      </c>
      <c r="E347" t="inlineStr">
        <is>
          <t>KÖPING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18799-2025</t>
        </is>
      </c>
      <c r="B348" s="1" t="n">
        <v>45764</v>
      </c>
      <c r="C348" s="1" t="n">
        <v>46042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15554-2024</t>
        </is>
      </c>
      <c r="B349" s="1" t="n">
        <v>45401</v>
      </c>
      <c r="C349" s="1" t="n">
        <v>46042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38055-2023</t>
        </is>
      </c>
      <c r="B350" s="1" t="n">
        <v>45160.69415509259</v>
      </c>
      <c r="C350" s="1" t="n">
        <v>46042</v>
      </c>
      <c r="D350" t="inlineStr">
        <is>
          <t>VÄSTMANLANDS LÄN</t>
        </is>
      </c>
      <c r="E350" t="inlineStr">
        <is>
          <t>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37751-2022</t>
        </is>
      </c>
      <c r="B351" s="1" t="n">
        <v>44810.59604166666</v>
      </c>
      <c r="C351" s="1" t="n">
        <v>46042</v>
      </c>
      <c r="D351" t="inlineStr">
        <is>
          <t>VÄSTMANLANDS LÄN</t>
        </is>
      </c>
      <c r="E351" t="inlineStr">
        <is>
          <t>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27891-2023</t>
        </is>
      </c>
      <c r="B352" s="1" t="n">
        <v>45098.62</v>
      </c>
      <c r="C352" s="1" t="n">
        <v>46042</v>
      </c>
      <c r="D352" t="inlineStr">
        <is>
          <t>VÄSTMANLANDS LÄN</t>
        </is>
      </c>
      <c r="E352" t="inlineStr">
        <is>
          <t>KÖPING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9303-2024</t>
        </is>
      </c>
      <c r="B353" s="1" t="n">
        <v>45358.75983796296</v>
      </c>
      <c r="C353" s="1" t="n">
        <v>46042</v>
      </c>
      <c r="D353" t="inlineStr">
        <is>
          <t>VÄSTMANLANDS LÄN</t>
        </is>
      </c>
      <c r="E353" t="inlineStr">
        <is>
          <t>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60991-2023</t>
        </is>
      </c>
      <c r="B354" s="1" t="n">
        <v>45261</v>
      </c>
      <c r="C354" s="1" t="n">
        <v>46042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3508-2025</t>
        </is>
      </c>
      <c r="B355" s="1" t="n">
        <v>45680</v>
      </c>
      <c r="C355" s="1" t="n">
        <v>46042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6830-2021</t>
        </is>
      </c>
      <c r="B356" s="1" t="n">
        <v>44236</v>
      </c>
      <c r="C356" s="1" t="n">
        <v>46042</v>
      </c>
      <c r="D356" t="inlineStr">
        <is>
          <t>VÄSTMANLANDS LÄN</t>
        </is>
      </c>
      <c r="E356" t="inlineStr">
        <is>
          <t>KÖPING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6834-2021</t>
        </is>
      </c>
      <c r="B357" s="1" t="n">
        <v>44236</v>
      </c>
      <c r="C357" s="1" t="n">
        <v>46042</v>
      </c>
      <c r="D357" t="inlineStr">
        <is>
          <t>VÄSTMANLANDS LÄN</t>
        </is>
      </c>
      <c r="E357" t="inlineStr">
        <is>
          <t>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28937-2024</t>
        </is>
      </c>
      <c r="B358" s="1" t="n">
        <v>45480</v>
      </c>
      <c r="C358" s="1" t="n">
        <v>46042</v>
      </c>
      <c r="D358" t="inlineStr">
        <is>
          <t>VÄSTMANLANDS LÄN</t>
        </is>
      </c>
      <c r="E358" t="inlineStr">
        <is>
          <t>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61358-2023</t>
        </is>
      </c>
      <c r="B359" s="1" t="n">
        <v>45264.60923611111</v>
      </c>
      <c r="C359" s="1" t="n">
        <v>46042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19585-2025</t>
        </is>
      </c>
      <c r="B360" s="1" t="n">
        <v>45770.56731481481</v>
      </c>
      <c r="C360" s="1" t="n">
        <v>46042</v>
      </c>
      <c r="D360" t="inlineStr">
        <is>
          <t>VÄSTMANLANDS LÄN</t>
        </is>
      </c>
      <c r="E360" t="inlineStr">
        <is>
          <t>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59735-2022</t>
        </is>
      </c>
      <c r="B361" s="1" t="n">
        <v>44908.45452546296</v>
      </c>
      <c r="C361" s="1" t="n">
        <v>46042</v>
      </c>
      <c r="D361" t="inlineStr">
        <is>
          <t>VÄSTMANLANDS LÄN</t>
        </is>
      </c>
      <c r="E361" t="inlineStr">
        <is>
          <t>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23389-2023</t>
        </is>
      </c>
      <c r="B362" s="1" t="n">
        <v>45076</v>
      </c>
      <c r="C362" s="1" t="n">
        <v>46042</v>
      </c>
      <c r="D362" t="inlineStr">
        <is>
          <t>VÄSTMANLANDS LÄN</t>
        </is>
      </c>
      <c r="E362" t="inlineStr">
        <is>
          <t>KÖPING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2854-2022</t>
        </is>
      </c>
      <c r="B363" s="1" t="n">
        <v>44581</v>
      </c>
      <c r="C363" s="1" t="n">
        <v>46042</v>
      </c>
      <c r="D363" t="inlineStr">
        <is>
          <t>VÄSTMANLANDS LÄN</t>
        </is>
      </c>
      <c r="E363" t="inlineStr">
        <is>
          <t>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44370-2022</t>
        </is>
      </c>
      <c r="B364" s="1" t="n">
        <v>44839</v>
      </c>
      <c r="C364" s="1" t="n">
        <v>46042</v>
      </c>
      <c r="D364" t="inlineStr">
        <is>
          <t>VÄSTMANLANDS LÄN</t>
        </is>
      </c>
      <c r="E364" t="inlineStr">
        <is>
          <t>KÖPING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23825-2023</t>
        </is>
      </c>
      <c r="B365" s="1" t="n">
        <v>45078.40652777778</v>
      </c>
      <c r="C365" s="1" t="n">
        <v>46042</v>
      </c>
      <c r="D365" t="inlineStr">
        <is>
          <t>VÄSTMANLANDS LÄN</t>
        </is>
      </c>
      <c r="E365" t="inlineStr">
        <is>
          <t>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17816-2024</t>
        </is>
      </c>
      <c r="B366" s="1" t="n">
        <v>45418</v>
      </c>
      <c r="C366" s="1" t="n">
        <v>46042</v>
      </c>
      <c r="D366" t="inlineStr">
        <is>
          <t>VÄSTMANLANDS LÄN</t>
        </is>
      </c>
      <c r="E366" t="inlineStr">
        <is>
          <t>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40990-2024</t>
        </is>
      </c>
      <c r="B367" s="1" t="n">
        <v>45558</v>
      </c>
      <c r="C367" s="1" t="n">
        <v>46042</v>
      </c>
      <c r="D367" t="inlineStr">
        <is>
          <t>VÄSTMANLANDS LÄN</t>
        </is>
      </c>
      <c r="E367" t="inlineStr">
        <is>
          <t>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49289-2024</t>
        </is>
      </c>
      <c r="B368" s="1" t="n">
        <v>45595.51947916667</v>
      </c>
      <c r="C368" s="1" t="n">
        <v>46042</v>
      </c>
      <c r="D368" t="inlineStr">
        <is>
          <t>VÄSTMANLANDS LÄN</t>
        </is>
      </c>
      <c r="E368" t="inlineStr">
        <is>
          <t>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25804-2022</t>
        </is>
      </c>
      <c r="B369" s="1" t="n">
        <v>44733</v>
      </c>
      <c r="C369" s="1" t="n">
        <v>46042</v>
      </c>
      <c r="D369" t="inlineStr">
        <is>
          <t>VÄSTMANLANDS LÄN</t>
        </is>
      </c>
      <c r="E369" t="inlineStr">
        <is>
          <t>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63236-2023</t>
        </is>
      </c>
      <c r="B370" s="1" t="n">
        <v>45273.65958333333</v>
      </c>
      <c r="C370" s="1" t="n">
        <v>46042</v>
      </c>
      <c r="D370" t="inlineStr">
        <is>
          <t>VÄSTMANLANDS LÄN</t>
        </is>
      </c>
      <c r="E370" t="inlineStr">
        <is>
          <t>KÖPING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30079-2022</t>
        </is>
      </c>
      <c r="B371" s="1" t="n">
        <v>44757.3716087963</v>
      </c>
      <c r="C371" s="1" t="n">
        <v>46042</v>
      </c>
      <c r="D371" t="inlineStr">
        <is>
          <t>VÄSTMANLANDS LÄN</t>
        </is>
      </c>
      <c r="E371" t="inlineStr">
        <is>
          <t>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68714-2021</t>
        </is>
      </c>
      <c r="B372" s="1" t="n">
        <v>44529.6944212963</v>
      </c>
      <c r="C372" s="1" t="n">
        <v>46042</v>
      </c>
      <c r="D372" t="inlineStr">
        <is>
          <t>VÄSTMANLANDS LÄN</t>
        </is>
      </c>
      <c r="E372" t="inlineStr">
        <is>
          <t>KÖPING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53061-2023</t>
        </is>
      </c>
      <c r="B373" s="1" t="n">
        <v>45227.3034837963</v>
      </c>
      <c r="C373" s="1" t="n">
        <v>46042</v>
      </c>
      <c r="D373" t="inlineStr">
        <is>
          <t>VÄSTMANLANDS LÄN</t>
        </is>
      </c>
      <c r="E373" t="inlineStr">
        <is>
          <t>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39332-2024</t>
        </is>
      </c>
      <c r="B374" s="1" t="n">
        <v>45551.43763888889</v>
      </c>
      <c r="C374" s="1" t="n">
        <v>46042</v>
      </c>
      <c r="D374" t="inlineStr">
        <is>
          <t>VÄSTMANLANDS LÄN</t>
        </is>
      </c>
      <c r="E374" t="inlineStr">
        <is>
          <t>KÖPING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18361-2025</t>
        </is>
      </c>
      <c r="B375" s="1" t="n">
        <v>45762</v>
      </c>
      <c r="C375" s="1" t="n">
        <v>46042</v>
      </c>
      <c r="D375" t="inlineStr">
        <is>
          <t>VÄSTMANLANDS LÄN</t>
        </is>
      </c>
      <c r="E375" t="inlineStr">
        <is>
          <t>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44749-2021</t>
        </is>
      </c>
      <c r="B376" s="1" t="n">
        <v>44438.43557870371</v>
      </c>
      <c r="C376" s="1" t="n">
        <v>46042</v>
      </c>
      <c r="D376" t="inlineStr">
        <is>
          <t>VÄSTMANLANDS LÄN</t>
        </is>
      </c>
      <c r="E376" t="inlineStr">
        <is>
          <t>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17345-2022</t>
        </is>
      </c>
      <c r="B377" s="1" t="n">
        <v>44678.5628125</v>
      </c>
      <c r="C377" s="1" t="n">
        <v>46042</v>
      </c>
      <c r="D377" t="inlineStr">
        <is>
          <t>VÄSTMANLANDS LÄN</t>
        </is>
      </c>
      <c r="E377" t="inlineStr">
        <is>
          <t>KÖPING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42621-2021</t>
        </is>
      </c>
      <c r="B378" s="1" t="n">
        <v>44428.42920138889</v>
      </c>
      <c r="C378" s="1" t="n">
        <v>46042</v>
      </c>
      <c r="D378" t="inlineStr">
        <is>
          <t>VÄSTMANLANDS LÄN</t>
        </is>
      </c>
      <c r="E378" t="inlineStr">
        <is>
          <t>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15158-2022</t>
        </is>
      </c>
      <c r="B379" s="1" t="n">
        <v>44658</v>
      </c>
      <c r="C379" s="1" t="n">
        <v>46042</v>
      </c>
      <c r="D379" t="inlineStr">
        <is>
          <t>VÄSTMANLANDS LÄN</t>
        </is>
      </c>
      <c r="E379" t="inlineStr">
        <is>
          <t>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15162-2022</t>
        </is>
      </c>
      <c r="B380" s="1" t="n">
        <v>44658.50546296296</v>
      </c>
      <c r="C380" s="1" t="n">
        <v>46042</v>
      </c>
      <c r="D380" t="inlineStr">
        <is>
          <t>VÄSTMANLANDS LÄN</t>
        </is>
      </c>
      <c r="E380" t="inlineStr">
        <is>
          <t>KÖPING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13043-2025</t>
        </is>
      </c>
      <c r="B381" s="1" t="n">
        <v>45734</v>
      </c>
      <c r="C381" s="1" t="n">
        <v>46042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13047-2025</t>
        </is>
      </c>
      <c r="B382" s="1" t="n">
        <v>45734.59141203704</v>
      </c>
      <c r="C382" s="1" t="n">
        <v>46042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63561-2021</t>
        </is>
      </c>
      <c r="B383" s="1" t="n">
        <v>44508.71445601852</v>
      </c>
      <c r="C383" s="1" t="n">
        <v>46042</v>
      </c>
      <c r="D383" t="inlineStr">
        <is>
          <t>VÄSTMANLANDS LÄN</t>
        </is>
      </c>
      <c r="E383" t="inlineStr">
        <is>
          <t>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21163-2025</t>
        </is>
      </c>
      <c r="B384" s="1" t="n">
        <v>45779.38344907408</v>
      </c>
      <c r="C384" s="1" t="n">
        <v>46042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51156-2024</t>
        </is>
      </c>
      <c r="B385" s="1" t="n">
        <v>45603.57417824074</v>
      </c>
      <c r="C385" s="1" t="n">
        <v>46042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21691-2025</t>
        </is>
      </c>
      <c r="B386" s="1" t="n">
        <v>45783.49538194444</v>
      </c>
      <c r="C386" s="1" t="n">
        <v>46042</v>
      </c>
      <c r="D386" t="inlineStr">
        <is>
          <t>VÄSTMANLANDS LÄN</t>
        </is>
      </c>
      <c r="E386" t="inlineStr">
        <is>
          <t>KÖPING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1387-2025</t>
        </is>
      </c>
      <c r="B387" s="1" t="n">
        <v>45667</v>
      </c>
      <c r="C387" s="1" t="n">
        <v>46042</v>
      </c>
      <c r="D387" t="inlineStr">
        <is>
          <t>VÄSTMANLANDS LÄN</t>
        </is>
      </c>
      <c r="E387" t="inlineStr">
        <is>
          <t>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57496-2024</t>
        </is>
      </c>
      <c r="B388" s="1" t="n">
        <v>45630.37325231481</v>
      </c>
      <c r="C388" s="1" t="n">
        <v>46042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50409-2024</t>
        </is>
      </c>
      <c r="B389" s="1" t="n">
        <v>45601.36454861111</v>
      </c>
      <c r="C389" s="1" t="n">
        <v>46042</v>
      </c>
      <c r="D389" t="inlineStr">
        <is>
          <t>VÄSTMANLANDS LÄN</t>
        </is>
      </c>
      <c r="E389" t="inlineStr">
        <is>
          <t>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1360-2024</t>
        </is>
      </c>
      <c r="B390" s="1" t="n">
        <v>45303.50130787037</v>
      </c>
      <c r="C390" s="1" t="n">
        <v>46042</v>
      </c>
      <c r="D390" t="inlineStr">
        <is>
          <t>VÄSTMANLANDS LÄN</t>
        </is>
      </c>
      <c r="E390" t="inlineStr">
        <is>
          <t>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895-2025</t>
        </is>
      </c>
      <c r="B391" s="1" t="n">
        <v>45665</v>
      </c>
      <c r="C391" s="1" t="n">
        <v>46042</v>
      </c>
      <c r="D391" t="inlineStr">
        <is>
          <t>VÄSTMANLANDS LÄN</t>
        </is>
      </c>
      <c r="E391" t="inlineStr">
        <is>
          <t>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34436-2024</t>
        </is>
      </c>
      <c r="B392" s="1" t="n">
        <v>45525.53819444445</v>
      </c>
      <c r="C392" s="1" t="n">
        <v>46042</v>
      </c>
      <c r="D392" t="inlineStr">
        <is>
          <t>VÄSTMANLANDS LÄN</t>
        </is>
      </c>
      <c r="E392" t="inlineStr">
        <is>
          <t>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2026-01-20T10:56:04Z</dcterms:created>
  <dcterms:modified xmlns:dcterms="http://purl.org/dc/terms/" xmlns:xsi="http://www.w3.org/2001/XMLSchema-instance" xsi:type="dcterms:W3CDTF">2026-01-20T10:56:05Z</dcterms:modified>
</cp:coreProperties>
</file>