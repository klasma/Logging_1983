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56048-2024</t>
        </is>
      </c>
      <c r="B2" s="1" t="n">
        <v>45624</v>
      </c>
      <c r="C2" s="1" t="n">
        <v>46204</v>
      </c>
      <c r="D2" t="inlineStr">
        <is>
          <t>VÄSTMANLANDS LÄN</t>
        </is>
      </c>
      <c r="E2" t="inlineStr">
        <is>
          <t>KÖPING</t>
        </is>
      </c>
      <c r="G2" t="n">
        <v>10.1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Bronshjon
Mindre märgborre
Spillkråka
Revlummer</t>
        </is>
      </c>
      <c r="S2">
        <f>HYPERLINK("https://klasma.github.io/Logging_1983/artfynd/A 56048-2024 artfynd.xlsx", "A 56048-2024")</f>
        <v/>
      </c>
      <c r="T2">
        <f>HYPERLINK("https://klasma.github.io/Logging_1983/kartor/A 56048-2024 karta.png", "A 56048-2024")</f>
        <v/>
      </c>
      <c r="U2">
        <f>HYPERLINK("https://klasma.github.io/Logging_1983/knärot/A 56048-2024 karta knärot.png", "A 56048-2024")</f>
        <v/>
      </c>
      <c r="V2">
        <f>HYPERLINK("https://klasma.github.io/Logging_1983/klagomål/A 56048-2024 FSC-klagomål.docx", "A 56048-2024")</f>
        <v/>
      </c>
      <c r="W2">
        <f>HYPERLINK("https://klasma.github.io/Logging_1983/klagomålsmail/A 56048-2024 FSC-klagomål mail.docx", "A 56048-2024")</f>
        <v/>
      </c>
      <c r="X2">
        <f>HYPERLINK("https://klasma.github.io/Logging_1983/tillsyn/A 56048-2024 tillsynsbegäran.docx", "A 56048-2024")</f>
        <v/>
      </c>
      <c r="Y2">
        <f>HYPERLINK("https://klasma.github.io/Logging_1983/tillsynsmail/A 56048-2024 tillsynsbegäran mail.docx", "A 56048-2024")</f>
        <v/>
      </c>
      <c r="Z2">
        <f>HYPERLINK("https://klasma.github.io/Logging_1983/fåglar/A 56048-2024 prioriterade fågelarter.docx", "A 56048-2024")</f>
        <v/>
      </c>
    </row>
    <row r="3" ht="15" customHeight="1">
      <c r="A3" t="inlineStr">
        <is>
          <t>A 35206-2025</t>
        </is>
      </c>
      <c r="B3" s="1" t="n">
        <v>45853</v>
      </c>
      <c r="C3" s="1" t="n">
        <v>46204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9.800000000000001</v>
      </c>
      <c r="H3" t="n">
        <v>4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Talltita
Bronshjon
Spillkråka
Tjäder</t>
        </is>
      </c>
      <c r="S3">
        <f>HYPERLINK("https://klasma.github.io/Logging_1983/artfynd/A 35206-2025 artfynd.xlsx", "A 35206-2025")</f>
        <v/>
      </c>
      <c r="T3">
        <f>HYPERLINK("https://klasma.github.io/Logging_1983/kartor/A 35206-2025 karta.png", "A 35206-2025")</f>
        <v/>
      </c>
      <c r="U3">
        <f>HYPERLINK("https://klasma.github.io/Logging_1983/knärot/A 35206-2025 karta knärot.png", "A 35206-2025")</f>
        <v/>
      </c>
      <c r="V3">
        <f>HYPERLINK("https://klasma.github.io/Logging_1983/klagomål/A 35206-2025 FSC-klagomål.docx", "A 35206-2025")</f>
        <v/>
      </c>
      <c r="W3">
        <f>HYPERLINK("https://klasma.github.io/Logging_1983/klagomålsmail/A 35206-2025 FSC-klagomål mail.docx", "A 35206-2025")</f>
        <v/>
      </c>
      <c r="X3">
        <f>HYPERLINK("https://klasma.github.io/Logging_1983/tillsyn/A 35206-2025 tillsynsbegäran.docx", "A 35206-2025")</f>
        <v/>
      </c>
      <c r="Y3">
        <f>HYPERLINK("https://klasma.github.io/Logging_1983/tillsynsmail/A 35206-2025 tillsynsbegäran mail.docx", "A 35206-2025")</f>
        <v/>
      </c>
      <c r="Z3">
        <f>HYPERLINK("https://klasma.github.io/Logging_1983/fåglar/A 35206-2025 prioriterade fågelarter.docx", "A 35206-2025")</f>
        <v/>
      </c>
    </row>
    <row r="4" ht="15" customHeight="1">
      <c r="A4" t="inlineStr">
        <is>
          <t>A 5712-2026</t>
        </is>
      </c>
      <c r="B4" s="1" t="n">
        <v>46051</v>
      </c>
      <c r="C4" s="1" t="n">
        <v>46204</v>
      </c>
      <c r="D4" t="inlineStr">
        <is>
          <t>VÄSTMANLANDS LÄN</t>
        </is>
      </c>
      <c r="E4" t="inlineStr">
        <is>
          <t>KÖPING</t>
        </is>
      </c>
      <c r="F4" t="inlineStr">
        <is>
          <t>Sveaskog</t>
        </is>
      </c>
      <c r="G4" t="n">
        <v>4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Kärrkammossa
Tjäder
Större vattensalamander
Käppkrokmossa</t>
        </is>
      </c>
      <c r="S4">
        <f>HYPERLINK("https://klasma.github.io/Logging_1983/artfynd/A 5712-2026 artfynd.xlsx", "A 5712-2026")</f>
        <v/>
      </c>
      <c r="T4">
        <f>HYPERLINK("https://klasma.github.io/Logging_1983/kartor/A 5712-2026 karta.png", "A 5712-2026")</f>
        <v/>
      </c>
      <c r="V4">
        <f>HYPERLINK("https://klasma.github.io/Logging_1983/klagomål/A 5712-2026 FSC-klagomål.docx", "A 5712-2026")</f>
        <v/>
      </c>
      <c r="W4">
        <f>HYPERLINK("https://klasma.github.io/Logging_1983/klagomålsmail/A 5712-2026 FSC-klagomål mail.docx", "A 5712-2026")</f>
        <v/>
      </c>
      <c r="X4">
        <f>HYPERLINK("https://klasma.github.io/Logging_1983/tillsyn/A 5712-2026 tillsynsbegäran.docx", "A 5712-2026")</f>
        <v/>
      </c>
      <c r="Y4">
        <f>HYPERLINK("https://klasma.github.io/Logging_1983/tillsynsmail/A 5712-2026 tillsynsbegäran mail.docx", "A 5712-2026")</f>
        <v/>
      </c>
      <c r="Z4">
        <f>HYPERLINK("https://klasma.github.io/Logging_1983/fåglar/A 5712-2026 prioriterade fågelarter.docx", "A 5712-2026")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46204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61897-2022</t>
        </is>
      </c>
      <c r="B6" s="1" t="n">
        <v>44917</v>
      </c>
      <c r="C6" s="1" t="n">
        <v>46204</v>
      </c>
      <c r="D6" t="inlineStr">
        <is>
          <t>VÄSTMANLANDS LÄN</t>
        </is>
      </c>
      <c r="E6" t="inlineStr">
        <is>
          <t>KÖPING</t>
        </is>
      </c>
      <c r="G6" t="n">
        <v>8.1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Flagellkvastmossa
Källpraktmossa
Stor revmossa</t>
        </is>
      </c>
      <c r="S6">
        <f>HYPERLINK("https://klasma.github.io/Logging_1983/artfynd/A 61897-2022 artfynd.xlsx", "A 61897-2022")</f>
        <v/>
      </c>
      <c r="T6">
        <f>HYPERLINK("https://klasma.github.io/Logging_1983/kartor/A 61897-2022 karta.png", "A 61897-2022")</f>
        <v/>
      </c>
      <c r="V6">
        <f>HYPERLINK("https://klasma.github.io/Logging_1983/klagomål/A 61897-2022 FSC-klagomål.docx", "A 61897-2022")</f>
        <v/>
      </c>
      <c r="W6">
        <f>HYPERLINK("https://klasma.github.io/Logging_1983/klagomålsmail/A 61897-2022 FSC-klagomål mail.docx", "A 61897-2022")</f>
        <v/>
      </c>
      <c r="X6">
        <f>HYPERLINK("https://klasma.github.io/Logging_1983/tillsyn/A 61897-2022 tillsynsbegäran.docx", "A 61897-2022")</f>
        <v/>
      </c>
      <c r="Y6">
        <f>HYPERLINK("https://klasma.github.io/Logging_1983/tillsynsmail/A 61897-2022 tillsynsbegäran mail.docx", "A 61897-2022")</f>
        <v/>
      </c>
    </row>
    <row r="7" ht="15" customHeight="1">
      <c r="A7" t="inlineStr">
        <is>
          <t>A 16012-2023</t>
        </is>
      </c>
      <c r="B7" s="1" t="n">
        <v>45026</v>
      </c>
      <c r="C7" s="1" t="n">
        <v>46204</v>
      </c>
      <c r="D7" t="inlineStr">
        <is>
          <t>VÄSTMANLANDS LÄN</t>
        </is>
      </c>
      <c r="E7" t="inlineStr">
        <is>
          <t>KÖPING</t>
        </is>
      </c>
      <c r="G7" t="n">
        <v>19.4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Krusfrö
Kamjordstjärna
Grönvit nattviol</t>
        </is>
      </c>
      <c r="S7">
        <f>HYPERLINK("https://klasma.github.io/Logging_1983/artfynd/A 16012-2023 artfynd.xlsx", "A 16012-2023")</f>
        <v/>
      </c>
      <c r="T7">
        <f>HYPERLINK("https://klasma.github.io/Logging_1983/kartor/A 16012-2023 karta.png", "A 16012-2023")</f>
        <v/>
      </c>
      <c r="V7">
        <f>HYPERLINK("https://klasma.github.io/Logging_1983/klagomål/A 16012-2023 FSC-klagomål.docx", "A 16012-2023")</f>
        <v/>
      </c>
      <c r="W7">
        <f>HYPERLINK("https://klasma.github.io/Logging_1983/klagomålsmail/A 16012-2023 FSC-klagomål mail.docx", "A 16012-2023")</f>
        <v/>
      </c>
      <c r="X7">
        <f>HYPERLINK("https://klasma.github.io/Logging_1983/tillsyn/A 16012-2023 tillsynsbegäran.docx", "A 16012-2023")</f>
        <v/>
      </c>
      <c r="Y7">
        <f>HYPERLINK("https://klasma.github.io/Logging_1983/tillsynsmail/A 16012-2023 tillsynsbegäran mail.docx", "A 16012-2023")</f>
        <v/>
      </c>
    </row>
    <row r="8" ht="15" customHeight="1">
      <c r="A8" t="inlineStr">
        <is>
          <t>A 24621-2026</t>
        </is>
      </c>
      <c r="B8" s="1" t="n">
        <v>46169</v>
      </c>
      <c r="C8" s="1" t="n">
        <v>46204</v>
      </c>
      <c r="D8" t="inlineStr">
        <is>
          <t>VÄSTMANLANDS LÄN</t>
        </is>
      </c>
      <c r="E8" t="inlineStr">
        <is>
          <t>KÖPING</t>
        </is>
      </c>
      <c r="G8" t="n">
        <v>16.8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Fläcknycklar
Ängsnycklar</t>
        </is>
      </c>
      <c r="S8">
        <f>HYPERLINK("https://klasma.github.io/Logging_1983/artfynd/A 24621-2026 artfynd.xlsx", "A 24621-2026")</f>
        <v/>
      </c>
      <c r="T8">
        <f>HYPERLINK("https://klasma.github.io/Logging_1983/kartor/A 24621-2026 karta.png", "A 24621-2026")</f>
        <v/>
      </c>
      <c r="V8">
        <f>HYPERLINK("https://klasma.github.io/Logging_1983/klagomål/A 24621-2026 FSC-klagomål.docx", "A 24621-2026")</f>
        <v/>
      </c>
      <c r="W8">
        <f>HYPERLINK("https://klasma.github.io/Logging_1983/klagomålsmail/A 24621-2026 FSC-klagomål mail.docx", "A 24621-2026")</f>
        <v/>
      </c>
      <c r="X8">
        <f>HYPERLINK("https://klasma.github.io/Logging_1983/tillsyn/A 24621-2026 tillsynsbegäran.docx", "A 24621-2026")</f>
        <v/>
      </c>
      <c r="Y8">
        <f>HYPERLINK("https://klasma.github.io/Logging_1983/tillsynsmail/A 24621-2026 tillsynsbegäran mail.docx", "A 24621-2026")</f>
        <v/>
      </c>
    </row>
    <row r="9" ht="15" customHeight="1">
      <c r="A9" t="inlineStr">
        <is>
          <t>A 24483-2026</t>
        </is>
      </c>
      <c r="B9" s="1" t="n">
        <v>46170</v>
      </c>
      <c r="C9" s="1" t="n">
        <v>46204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8.1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Silverblåvinge
Sotnätfjäril
Mattlummer</t>
        </is>
      </c>
      <c r="S9">
        <f>HYPERLINK("https://klasma.github.io/Logging_1983/artfynd/A 24483-2026 artfynd.xlsx", "A 24483-2026")</f>
        <v/>
      </c>
      <c r="T9">
        <f>HYPERLINK("https://klasma.github.io/Logging_1983/kartor/A 24483-2026 karta.png", "A 24483-2026")</f>
        <v/>
      </c>
      <c r="V9">
        <f>HYPERLINK("https://klasma.github.io/Logging_1983/klagomål/A 24483-2026 FSC-klagomål.docx", "A 24483-2026")</f>
        <v/>
      </c>
      <c r="W9">
        <f>HYPERLINK("https://klasma.github.io/Logging_1983/klagomålsmail/A 24483-2026 FSC-klagomål mail.docx", "A 24483-2026")</f>
        <v/>
      </c>
      <c r="X9">
        <f>HYPERLINK("https://klasma.github.io/Logging_1983/tillsyn/A 24483-2026 tillsynsbegäran.docx", "A 24483-2026")</f>
        <v/>
      </c>
      <c r="Y9">
        <f>HYPERLINK("https://klasma.github.io/Logging_1983/tillsynsmail/A 24483-2026 tillsynsbegäran mail.docx", "A 24483-2026")</f>
        <v/>
      </c>
    </row>
    <row r="10" ht="15" customHeight="1">
      <c r="A10" t="inlineStr">
        <is>
          <t>A 20704-2025</t>
        </is>
      </c>
      <c r="B10" s="1" t="n">
        <v>45776</v>
      </c>
      <c r="C10" s="1" t="n">
        <v>46204</v>
      </c>
      <c r="D10" t="inlineStr">
        <is>
          <t>VÄSTMANLANDS LÄN</t>
        </is>
      </c>
      <c r="E10" t="inlineStr">
        <is>
          <t>KÖPING</t>
        </is>
      </c>
      <c r="G10" t="n">
        <v>2.7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Skarp dropptaggsvamp
Vedtrappmossa
Tibast</t>
        </is>
      </c>
      <c r="S10">
        <f>HYPERLINK("https://klasma.github.io/Logging_1983/artfynd/A 20704-2025 artfynd.xlsx", "A 20704-2025")</f>
        <v/>
      </c>
      <c r="T10">
        <f>HYPERLINK("https://klasma.github.io/Logging_1983/kartor/A 20704-2025 karta.png", "A 20704-2025")</f>
        <v/>
      </c>
      <c r="V10">
        <f>HYPERLINK("https://klasma.github.io/Logging_1983/klagomål/A 20704-2025 FSC-klagomål.docx", "A 20704-2025")</f>
        <v/>
      </c>
      <c r="W10">
        <f>HYPERLINK("https://klasma.github.io/Logging_1983/klagomålsmail/A 20704-2025 FSC-klagomål mail.docx", "A 20704-2025")</f>
        <v/>
      </c>
      <c r="X10">
        <f>HYPERLINK("https://klasma.github.io/Logging_1983/tillsyn/A 20704-2025 tillsynsbegäran.docx", "A 20704-2025")</f>
        <v/>
      </c>
      <c r="Y10">
        <f>HYPERLINK("https://klasma.github.io/Logging_1983/tillsynsmail/A 20704-2025 tillsynsbegäran mail.docx", "A 20704-2025")</f>
        <v/>
      </c>
    </row>
    <row r="11" ht="15" customHeight="1">
      <c r="A11" t="inlineStr">
        <is>
          <t>A 20706-2025</t>
        </is>
      </c>
      <c r="B11" s="1" t="n">
        <v>45776</v>
      </c>
      <c r="C11" s="1" t="n">
        <v>46204</v>
      </c>
      <c r="D11" t="inlineStr">
        <is>
          <t>VÄSTMANLANDS LÄN</t>
        </is>
      </c>
      <c r="E11" t="inlineStr">
        <is>
          <t>KÖPING</t>
        </is>
      </c>
      <c r="G11" t="n">
        <v>1.7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Tibast
Blåsippa</t>
        </is>
      </c>
      <c r="S11">
        <f>HYPERLINK("https://klasma.github.io/Logging_1983/artfynd/A 20706-2025 artfynd.xlsx", "A 20706-2025")</f>
        <v/>
      </c>
      <c r="T11">
        <f>HYPERLINK("https://klasma.github.io/Logging_1983/kartor/A 20706-2025 karta.png", "A 20706-2025")</f>
        <v/>
      </c>
      <c r="V11">
        <f>HYPERLINK("https://klasma.github.io/Logging_1983/klagomål/A 20706-2025 FSC-klagomål.docx", "A 20706-2025")</f>
        <v/>
      </c>
      <c r="W11">
        <f>HYPERLINK("https://klasma.github.io/Logging_1983/klagomålsmail/A 20706-2025 FSC-klagomål mail.docx", "A 20706-2025")</f>
        <v/>
      </c>
      <c r="X11">
        <f>HYPERLINK("https://klasma.github.io/Logging_1983/tillsyn/A 20706-2025 tillsynsbegäran.docx", "A 20706-2025")</f>
        <v/>
      </c>
      <c r="Y11">
        <f>HYPERLINK("https://klasma.github.io/Logging_1983/tillsynsmail/A 20706-2025 tillsynsbegäran mail.docx", "A 20706-2025")</f>
        <v/>
      </c>
    </row>
    <row r="12" ht="15" customHeight="1">
      <c r="A12" t="inlineStr">
        <is>
          <t>A 43942-2025</t>
        </is>
      </c>
      <c r="B12" s="1" t="n">
        <v>45915</v>
      </c>
      <c r="C12" s="1" t="n">
        <v>46204</v>
      </c>
      <c r="D12" t="inlineStr">
        <is>
          <t>VÄSTMANLANDS LÄN</t>
        </is>
      </c>
      <c r="E12" t="inlineStr">
        <is>
          <t>KÖPING</t>
        </is>
      </c>
      <c r="G12" t="n">
        <v>4.2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Storgröe
Svart trolldruva</t>
        </is>
      </c>
      <c r="S12">
        <f>HYPERLINK("https://klasma.github.io/Logging_1983/artfynd/A 43942-2025 artfynd.xlsx", "A 43942-2025")</f>
        <v/>
      </c>
      <c r="T12">
        <f>HYPERLINK("https://klasma.github.io/Logging_1983/kartor/A 43942-2025 karta.png", "A 43942-2025")</f>
        <v/>
      </c>
      <c r="V12">
        <f>HYPERLINK("https://klasma.github.io/Logging_1983/klagomål/A 43942-2025 FSC-klagomål.docx", "A 43942-2025")</f>
        <v/>
      </c>
      <c r="W12">
        <f>HYPERLINK("https://klasma.github.io/Logging_1983/klagomålsmail/A 43942-2025 FSC-klagomål mail.docx", "A 43942-2025")</f>
        <v/>
      </c>
      <c r="X12">
        <f>HYPERLINK("https://klasma.github.io/Logging_1983/tillsyn/A 43942-2025 tillsynsbegäran.docx", "A 43942-2025")</f>
        <v/>
      </c>
      <c r="Y12">
        <f>HYPERLINK("https://klasma.github.io/Logging_1983/tillsynsmail/A 43942-2025 tillsynsbegäran mail.docx", "A 43942-2025")</f>
        <v/>
      </c>
    </row>
    <row r="13" ht="15" customHeight="1">
      <c r="A13" t="inlineStr">
        <is>
          <t>A 26331-2026</t>
        </is>
      </c>
      <c r="B13" s="1" t="n">
        <v>46182</v>
      </c>
      <c r="C13" s="1" t="n">
        <v>46204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9.300000000000001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Silverblåvinge
Sotnätfjäril</t>
        </is>
      </c>
      <c r="S13">
        <f>HYPERLINK("https://klasma.github.io/Logging_1983/artfynd/A 26331-2026 artfynd.xlsx", "A 26331-2026")</f>
        <v/>
      </c>
      <c r="T13">
        <f>HYPERLINK("https://klasma.github.io/Logging_1983/kartor/A 26331-2026 karta.png", "A 26331-2026")</f>
        <v/>
      </c>
      <c r="V13">
        <f>HYPERLINK("https://klasma.github.io/Logging_1983/klagomål/A 26331-2026 FSC-klagomål.docx", "A 26331-2026")</f>
        <v/>
      </c>
      <c r="W13">
        <f>HYPERLINK("https://klasma.github.io/Logging_1983/klagomålsmail/A 26331-2026 FSC-klagomål mail.docx", "A 26331-2026")</f>
        <v/>
      </c>
      <c r="X13">
        <f>HYPERLINK("https://klasma.github.io/Logging_1983/tillsyn/A 26331-2026 tillsynsbegäran.docx", "A 26331-2026")</f>
        <v/>
      </c>
      <c r="Y13">
        <f>HYPERLINK("https://klasma.github.io/Logging_1983/tillsynsmail/A 26331-2026 tillsynsbegäran mail.docx", "A 26331-2026")</f>
        <v/>
      </c>
    </row>
    <row r="14" ht="15" customHeight="1">
      <c r="A14" t="inlineStr">
        <is>
          <t>A 31263-2024</t>
        </is>
      </c>
      <c r="B14" s="1" t="n">
        <v>45503</v>
      </c>
      <c r="C14" s="1" t="n">
        <v>46204</v>
      </c>
      <c r="D14" t="inlineStr">
        <is>
          <t>VÄSTMANLANDS LÄN</t>
        </is>
      </c>
      <c r="E14" t="inlineStr">
        <is>
          <t>KÖPING</t>
        </is>
      </c>
      <c r="G14" t="n">
        <v>12.4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Mindre bastardsvärmare
Jungfrulin</t>
        </is>
      </c>
      <c r="S14">
        <f>HYPERLINK("https://klasma.github.io/Logging_1983/artfynd/A 31263-2024 artfynd.xlsx", "A 31263-2024")</f>
        <v/>
      </c>
      <c r="T14">
        <f>HYPERLINK("https://klasma.github.io/Logging_1983/kartor/A 31263-2024 karta.png", "A 31263-2024")</f>
        <v/>
      </c>
      <c r="V14">
        <f>HYPERLINK("https://klasma.github.io/Logging_1983/klagomål/A 31263-2024 FSC-klagomål.docx", "A 31263-2024")</f>
        <v/>
      </c>
      <c r="W14">
        <f>HYPERLINK("https://klasma.github.io/Logging_1983/klagomålsmail/A 31263-2024 FSC-klagomål mail.docx", "A 31263-2024")</f>
        <v/>
      </c>
      <c r="X14">
        <f>HYPERLINK("https://klasma.github.io/Logging_1983/tillsyn/A 31263-2024 tillsynsbegäran.docx", "A 31263-2024")</f>
        <v/>
      </c>
      <c r="Y14">
        <f>HYPERLINK("https://klasma.github.io/Logging_1983/tillsynsmail/A 31263-2024 tillsynsbegäran mail.docx", "A 31263-2024")</f>
        <v/>
      </c>
    </row>
    <row r="15" ht="15" customHeight="1">
      <c r="A15" t="inlineStr">
        <is>
          <t>A 53151-2021</t>
        </is>
      </c>
      <c r="B15" s="1" t="n">
        <v>44468</v>
      </c>
      <c r="C15" s="1" t="n">
        <v>46204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1.1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Skinnlav</t>
        </is>
      </c>
      <c r="S15">
        <f>HYPERLINK("https://klasma.github.io/Logging_1983/artfynd/A 53151-2021 artfynd.xlsx", "A 53151-2021")</f>
        <v/>
      </c>
      <c r="T15">
        <f>HYPERLINK("https://klasma.github.io/Logging_1983/kartor/A 53151-2021 karta.png", "A 53151-2021")</f>
        <v/>
      </c>
      <c r="V15">
        <f>HYPERLINK("https://klasma.github.io/Logging_1983/klagomål/A 53151-2021 FSC-klagomål.docx", "A 53151-2021")</f>
        <v/>
      </c>
      <c r="W15">
        <f>HYPERLINK("https://klasma.github.io/Logging_1983/klagomålsmail/A 53151-2021 FSC-klagomål mail.docx", "A 53151-2021")</f>
        <v/>
      </c>
      <c r="X15">
        <f>HYPERLINK("https://klasma.github.io/Logging_1983/tillsyn/A 53151-2021 tillsynsbegäran.docx", "A 53151-2021")</f>
        <v/>
      </c>
      <c r="Y15">
        <f>HYPERLINK("https://klasma.github.io/Logging_1983/tillsynsmail/A 53151-2021 tillsynsbegäran mail.docx", "A 53151-2021")</f>
        <v/>
      </c>
    </row>
    <row r="16" ht="15" customHeight="1">
      <c r="A16" t="inlineStr">
        <is>
          <t>A 36209-2021</t>
        </is>
      </c>
      <c r="B16" s="1" t="n">
        <v>44389</v>
      </c>
      <c r="C16" s="1" t="n">
        <v>46204</v>
      </c>
      <c r="D16" t="inlineStr">
        <is>
          <t>VÄSTMANLANDS LÄN</t>
        </is>
      </c>
      <c r="E16" t="inlineStr">
        <is>
          <t>KÖPING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HYPERLINK("https://klasma.github.io/Logging_1983/artfynd/A 36209-2021 artfynd.xlsx", "A 36209-2021")</f>
        <v/>
      </c>
      <c r="T16">
        <f>HYPERLINK("https://klasma.github.io/Logging_1983/kartor/A 36209-2021 karta.png", "A 36209-2021")</f>
        <v/>
      </c>
      <c r="V16">
        <f>HYPERLINK("https://klasma.github.io/Logging_1983/klagomål/A 36209-2021 FSC-klagomål.docx", "A 36209-2021")</f>
        <v/>
      </c>
      <c r="W16">
        <f>HYPERLINK("https://klasma.github.io/Logging_1983/klagomålsmail/A 36209-2021 FSC-klagomål mail.docx", "A 36209-2021")</f>
        <v/>
      </c>
      <c r="X16">
        <f>HYPERLINK("https://klasma.github.io/Logging_1983/tillsyn/A 36209-2021 tillsynsbegäran.docx", "A 36209-2021")</f>
        <v/>
      </c>
      <c r="Y16">
        <f>HYPERLINK("https://klasma.github.io/Logging_1983/tillsynsmail/A 36209-2021 tillsynsbegäran mail.docx", "A 36209-2021")</f>
        <v/>
      </c>
    </row>
    <row r="17" ht="15" customHeight="1">
      <c r="A17" t="inlineStr">
        <is>
          <t>A 69022-2021</t>
        </is>
      </c>
      <c r="B17" s="1" t="n">
        <v>44530</v>
      </c>
      <c r="C17" s="1" t="n">
        <v>46204</v>
      </c>
      <c r="D17" t="inlineStr">
        <is>
          <t>VÄSTMANLANDS LÄN</t>
        </is>
      </c>
      <c r="E17" t="inlineStr">
        <is>
          <t>KÖPING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HYPERLINK("https://klasma.github.io/Logging_1983/artfynd/A 69022-2021 artfynd.xlsx", "A 69022-2021")</f>
        <v/>
      </c>
      <c r="T17">
        <f>HYPERLINK("https://klasma.github.io/Logging_1983/kartor/A 69022-2021 karta.png", "A 69022-2021")</f>
        <v/>
      </c>
      <c r="V17">
        <f>HYPERLINK("https://klasma.github.io/Logging_1983/klagomål/A 69022-2021 FSC-klagomål.docx", "A 69022-2021")</f>
        <v/>
      </c>
      <c r="W17">
        <f>HYPERLINK("https://klasma.github.io/Logging_1983/klagomålsmail/A 69022-2021 FSC-klagomål mail.docx", "A 69022-2021")</f>
        <v/>
      </c>
      <c r="X17">
        <f>HYPERLINK("https://klasma.github.io/Logging_1983/tillsyn/A 69022-2021 tillsynsbegäran.docx", "A 69022-2021")</f>
        <v/>
      </c>
      <c r="Y17">
        <f>HYPERLINK("https://klasma.github.io/Logging_1983/tillsynsmail/A 69022-2021 tillsynsbegäran mail.docx", "A 69022-2021")</f>
        <v/>
      </c>
    </row>
    <row r="18" ht="15" customHeight="1">
      <c r="A18" t="inlineStr">
        <is>
          <t>A 33156-2022</t>
        </is>
      </c>
      <c r="B18" s="1" t="n">
        <v>44785</v>
      </c>
      <c r="C18" s="1" t="n">
        <v>46204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HYPERLINK("https://klasma.github.io/Logging_1983/artfynd/A 33156-2022 artfynd.xlsx", "A 33156-2022")</f>
        <v/>
      </c>
      <c r="T18">
        <f>HYPERLINK("https://klasma.github.io/Logging_1983/kartor/A 33156-2022 karta.png", "A 33156-2022")</f>
        <v/>
      </c>
      <c r="V18">
        <f>HYPERLINK("https://klasma.github.io/Logging_1983/klagomål/A 33156-2022 FSC-klagomål.docx", "A 33156-2022")</f>
        <v/>
      </c>
      <c r="W18">
        <f>HYPERLINK("https://klasma.github.io/Logging_1983/klagomålsmail/A 33156-2022 FSC-klagomål mail.docx", "A 33156-2022")</f>
        <v/>
      </c>
      <c r="X18">
        <f>HYPERLINK("https://klasma.github.io/Logging_1983/tillsyn/A 33156-2022 tillsynsbegäran.docx", "A 33156-2022")</f>
        <v/>
      </c>
      <c r="Y18">
        <f>HYPERLINK("https://klasma.github.io/Logging_1983/tillsynsmail/A 33156-2022 tillsynsbegäran mail.docx", "A 33156-2022")</f>
        <v/>
      </c>
    </row>
    <row r="19" ht="15" customHeight="1">
      <c r="A19" t="inlineStr">
        <is>
          <t>A 45826-2021</t>
        </is>
      </c>
      <c r="B19" s="1" t="n">
        <v>44441</v>
      </c>
      <c r="C19" s="1" t="n">
        <v>46204</v>
      </c>
      <c r="D19" t="inlineStr">
        <is>
          <t>VÄSTMANLANDS LÄN</t>
        </is>
      </c>
      <c r="E19" t="inlineStr">
        <is>
          <t>KÖPING</t>
        </is>
      </c>
      <c r="G19" t="n">
        <v>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HYPERLINK("https://klasma.github.io/Logging_1983/artfynd/A 45826-2021 artfynd.xlsx", "A 45826-2021")</f>
        <v/>
      </c>
      <c r="T19">
        <f>HYPERLINK("https://klasma.github.io/Logging_1983/kartor/A 45826-2021 karta.png", "A 45826-2021")</f>
        <v/>
      </c>
      <c r="V19">
        <f>HYPERLINK("https://klasma.github.io/Logging_1983/klagomål/A 45826-2021 FSC-klagomål.docx", "A 45826-2021")</f>
        <v/>
      </c>
      <c r="W19">
        <f>HYPERLINK("https://klasma.github.io/Logging_1983/klagomålsmail/A 45826-2021 FSC-klagomål mail.docx", "A 45826-2021")</f>
        <v/>
      </c>
      <c r="X19">
        <f>HYPERLINK("https://klasma.github.io/Logging_1983/tillsyn/A 45826-2021 tillsynsbegäran.docx", "A 45826-2021")</f>
        <v/>
      </c>
      <c r="Y19">
        <f>HYPERLINK("https://klasma.github.io/Logging_1983/tillsynsmail/A 45826-2021 tillsynsbegäran mail.docx", "A 45826-2021")</f>
        <v/>
      </c>
    </row>
    <row r="20" ht="15" customHeight="1">
      <c r="A20" t="inlineStr">
        <is>
          <t>A 12503-2023</t>
        </is>
      </c>
      <c r="B20" s="1" t="n">
        <v>44999</v>
      </c>
      <c r="C20" s="1" t="n">
        <v>46204</v>
      </c>
      <c r="D20" t="inlineStr">
        <is>
          <t>VÄSTMANLANDS LÄN</t>
        </is>
      </c>
      <c r="E20" t="inlineStr">
        <is>
          <t>KÖPING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HYPERLINK("https://klasma.github.io/Logging_1983/artfynd/A 12503-2023 artfynd.xlsx", "A 12503-2023")</f>
        <v/>
      </c>
      <c r="T20">
        <f>HYPERLINK("https://klasma.github.io/Logging_1983/kartor/A 12503-2023 karta.png", "A 12503-2023")</f>
        <v/>
      </c>
      <c r="V20">
        <f>HYPERLINK("https://klasma.github.io/Logging_1983/klagomål/A 12503-2023 FSC-klagomål.docx", "A 12503-2023")</f>
        <v/>
      </c>
      <c r="W20">
        <f>HYPERLINK("https://klasma.github.io/Logging_1983/klagomålsmail/A 12503-2023 FSC-klagomål mail.docx", "A 12503-2023")</f>
        <v/>
      </c>
      <c r="X20">
        <f>HYPERLINK("https://klasma.github.io/Logging_1983/tillsyn/A 12503-2023 tillsynsbegäran.docx", "A 12503-2023")</f>
        <v/>
      </c>
      <c r="Y20">
        <f>HYPERLINK("https://klasma.github.io/Logging_1983/tillsynsmail/A 12503-2023 tillsynsbegäran mail.docx", "A 12503-2023")</f>
        <v/>
      </c>
      <c r="Z20">
        <f>HYPERLINK("https://klasma.github.io/Logging_1983/fåglar/A 12503-2023 prioriterade fågelarter.docx", "A 12503-2023")</f>
        <v/>
      </c>
    </row>
    <row r="21" ht="15" customHeight="1">
      <c r="A21" t="inlineStr">
        <is>
          <t>A 41583-2022</t>
        </is>
      </c>
      <c r="B21" s="1" t="n">
        <v>44827</v>
      </c>
      <c r="C21" s="1" t="n">
        <v>46204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HYPERLINK("https://klasma.github.io/Logging_1983/artfynd/A 41583-2022 artfynd.xlsx", "A 41583-2022")</f>
        <v/>
      </c>
      <c r="T21">
        <f>HYPERLINK("https://klasma.github.io/Logging_1983/kartor/A 41583-2022 karta.png", "A 41583-2022")</f>
        <v/>
      </c>
      <c r="V21">
        <f>HYPERLINK("https://klasma.github.io/Logging_1983/klagomål/A 41583-2022 FSC-klagomål.docx", "A 41583-2022")</f>
        <v/>
      </c>
      <c r="W21">
        <f>HYPERLINK("https://klasma.github.io/Logging_1983/klagomålsmail/A 41583-2022 FSC-klagomål mail.docx", "A 41583-2022")</f>
        <v/>
      </c>
      <c r="X21">
        <f>HYPERLINK("https://klasma.github.io/Logging_1983/tillsyn/A 41583-2022 tillsynsbegäran.docx", "A 41583-2022")</f>
        <v/>
      </c>
      <c r="Y21">
        <f>HYPERLINK("https://klasma.github.io/Logging_1983/tillsynsmail/A 41583-2022 tillsynsbegäran mail.docx", "A 41583-2022")</f>
        <v/>
      </c>
    </row>
    <row r="22" ht="15" customHeight="1">
      <c r="A22" t="inlineStr">
        <is>
          <t>A 40696-2025</t>
        </is>
      </c>
      <c r="B22" s="1" t="n">
        <v>45897</v>
      </c>
      <c r="C22" s="1" t="n">
        <v>46204</v>
      </c>
      <c r="D22" t="inlineStr">
        <is>
          <t>VÄSTMANLANDS LÄN</t>
        </is>
      </c>
      <c r="E22" t="inlineStr">
        <is>
          <t>KÖPING</t>
        </is>
      </c>
      <c r="G22" t="n">
        <v>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HYPERLINK("https://klasma.github.io/Logging_1983/artfynd/A 40696-2025 artfynd.xlsx", "A 40696-2025")</f>
        <v/>
      </c>
      <c r="T22">
        <f>HYPERLINK("https://klasma.github.io/Logging_1983/kartor/A 40696-2025 karta.png", "A 40696-2025")</f>
        <v/>
      </c>
      <c r="V22">
        <f>HYPERLINK("https://klasma.github.io/Logging_1983/klagomål/A 40696-2025 FSC-klagomål.docx", "A 40696-2025")</f>
        <v/>
      </c>
      <c r="W22">
        <f>HYPERLINK("https://klasma.github.io/Logging_1983/klagomålsmail/A 40696-2025 FSC-klagomål mail.docx", "A 40696-2025")</f>
        <v/>
      </c>
      <c r="X22">
        <f>HYPERLINK("https://klasma.github.io/Logging_1983/tillsyn/A 40696-2025 tillsynsbegäran.docx", "A 40696-2025")</f>
        <v/>
      </c>
      <c r="Y22">
        <f>HYPERLINK("https://klasma.github.io/Logging_1983/tillsynsmail/A 40696-2025 tillsynsbegäran mail.docx", "A 40696-2025")</f>
        <v/>
      </c>
    </row>
    <row r="23" ht="15" customHeight="1">
      <c r="A23" t="inlineStr">
        <is>
          <t>A 10900-2022</t>
        </is>
      </c>
      <c r="B23" s="1" t="n">
        <v>44627</v>
      </c>
      <c r="C23" s="1" t="n">
        <v>46204</v>
      </c>
      <c r="D23" t="inlineStr">
        <is>
          <t>VÄSTMANLANDS LÄN</t>
        </is>
      </c>
      <c r="E23" t="inlineStr">
        <is>
          <t>KÖPING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HYPERLINK("https://klasma.github.io/Logging_1983/artfynd/A 10900-2022 artfynd.xlsx", "A 10900-2022")</f>
        <v/>
      </c>
      <c r="T23">
        <f>HYPERLINK("https://klasma.github.io/Logging_1983/kartor/A 10900-2022 karta.png", "A 10900-2022")</f>
        <v/>
      </c>
      <c r="V23">
        <f>HYPERLINK("https://klasma.github.io/Logging_1983/klagomål/A 10900-2022 FSC-klagomål.docx", "A 10900-2022")</f>
        <v/>
      </c>
      <c r="W23">
        <f>HYPERLINK("https://klasma.github.io/Logging_1983/klagomålsmail/A 10900-2022 FSC-klagomål mail.docx", "A 10900-2022")</f>
        <v/>
      </c>
      <c r="X23">
        <f>HYPERLINK("https://klasma.github.io/Logging_1983/tillsyn/A 10900-2022 tillsynsbegäran.docx", "A 10900-2022")</f>
        <v/>
      </c>
      <c r="Y23">
        <f>HYPERLINK("https://klasma.github.io/Logging_1983/tillsynsmail/A 10900-2022 tillsynsbegäran mail.docx", "A 10900-2022")</f>
        <v/>
      </c>
    </row>
    <row r="24" ht="15" customHeight="1">
      <c r="A24" t="inlineStr">
        <is>
          <t>A 47573-2025</t>
        </is>
      </c>
      <c r="B24" s="1" t="n">
        <v>45931</v>
      </c>
      <c r="C24" s="1" t="n">
        <v>46204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47573-2025 artfynd.xlsx", "A 47573-2025")</f>
        <v/>
      </c>
      <c r="T24">
        <f>HYPERLINK("https://klasma.github.io/Logging_1983/kartor/A 47573-2025 karta.png", "A 47573-2025")</f>
        <v/>
      </c>
      <c r="V24">
        <f>HYPERLINK("https://klasma.github.io/Logging_1983/klagomål/A 47573-2025 FSC-klagomål.docx", "A 47573-2025")</f>
        <v/>
      </c>
      <c r="W24">
        <f>HYPERLINK("https://klasma.github.io/Logging_1983/klagomålsmail/A 47573-2025 FSC-klagomål mail.docx", "A 47573-2025")</f>
        <v/>
      </c>
      <c r="X24">
        <f>HYPERLINK("https://klasma.github.io/Logging_1983/tillsyn/A 47573-2025 tillsynsbegäran.docx", "A 47573-2025")</f>
        <v/>
      </c>
      <c r="Y24">
        <f>HYPERLINK("https://klasma.github.io/Logging_1983/tillsynsmail/A 47573-2025 tillsynsbegäran mail.docx", "A 47573-2025")</f>
        <v/>
      </c>
    </row>
    <row r="25" ht="15" customHeight="1">
      <c r="A25" t="inlineStr">
        <is>
          <t>A 47718-2025</t>
        </is>
      </c>
      <c r="B25" s="1" t="n">
        <v>45931</v>
      </c>
      <c r="C25" s="1" t="n">
        <v>46204</v>
      </c>
      <c r="D25" t="inlineStr">
        <is>
          <t>VÄSTMANLANDS LÄN</t>
        </is>
      </c>
      <c r="E25" t="inlineStr">
        <is>
          <t>KÖPING</t>
        </is>
      </c>
      <c r="G25" t="n">
        <v>4.9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Kandelabersvamp</t>
        </is>
      </c>
      <c r="S25">
        <f>HYPERLINK("https://klasma.github.io/Logging_1983/artfynd/A 47718-2025 artfynd.xlsx", "A 47718-2025")</f>
        <v/>
      </c>
      <c r="T25">
        <f>HYPERLINK("https://klasma.github.io/Logging_1983/kartor/A 47718-2025 karta.png", "A 47718-2025")</f>
        <v/>
      </c>
      <c r="V25">
        <f>HYPERLINK("https://klasma.github.io/Logging_1983/klagomål/A 47718-2025 FSC-klagomål.docx", "A 47718-2025")</f>
        <v/>
      </c>
      <c r="W25">
        <f>HYPERLINK("https://klasma.github.io/Logging_1983/klagomålsmail/A 47718-2025 FSC-klagomål mail.docx", "A 47718-2025")</f>
        <v/>
      </c>
      <c r="X25">
        <f>HYPERLINK("https://klasma.github.io/Logging_1983/tillsyn/A 47718-2025 tillsynsbegäran.docx", "A 47718-2025")</f>
        <v/>
      </c>
      <c r="Y25">
        <f>HYPERLINK("https://klasma.github.io/Logging_1983/tillsynsmail/A 47718-2025 tillsynsbegäran mail.docx", "A 47718-2025")</f>
        <v/>
      </c>
    </row>
    <row r="26" ht="15" customHeight="1">
      <c r="A26" t="inlineStr">
        <is>
          <t>A 56380-2025</t>
        </is>
      </c>
      <c r="B26" s="1" t="n">
        <v>45974</v>
      </c>
      <c r="C26" s="1" t="n">
        <v>46204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56380-2025 artfynd.xlsx", "A 56380-2025")</f>
        <v/>
      </c>
      <c r="T26">
        <f>HYPERLINK("https://klasma.github.io/Logging_1983/kartor/A 56380-2025 karta.png", "A 56380-2025")</f>
        <v/>
      </c>
      <c r="V26">
        <f>HYPERLINK("https://klasma.github.io/Logging_1983/klagomål/A 56380-2025 FSC-klagomål.docx", "A 56380-2025")</f>
        <v/>
      </c>
      <c r="W26">
        <f>HYPERLINK("https://klasma.github.io/Logging_1983/klagomålsmail/A 56380-2025 FSC-klagomål mail.docx", "A 56380-2025")</f>
        <v/>
      </c>
      <c r="X26">
        <f>HYPERLINK("https://klasma.github.io/Logging_1983/tillsyn/A 56380-2025 tillsynsbegäran.docx", "A 56380-2025")</f>
        <v/>
      </c>
      <c r="Y26">
        <f>HYPERLINK("https://klasma.github.io/Logging_1983/tillsynsmail/A 56380-2025 tillsynsbegäran mail.docx", "A 56380-2025")</f>
        <v/>
      </c>
      <c r="Z26">
        <f>HYPERLINK("https://klasma.github.io/Logging_1983/fåglar/A 56380-2025 prioriterade fågelarter.docx", "A 56380-2025")</f>
        <v/>
      </c>
    </row>
    <row r="27" ht="15" customHeight="1">
      <c r="A27" t="inlineStr">
        <is>
          <t>A 56279-2025</t>
        </is>
      </c>
      <c r="B27" s="1" t="n">
        <v>45974</v>
      </c>
      <c r="C27" s="1" t="n">
        <v>46204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56279-2025 artfynd.xlsx", "A 56279-2025")</f>
        <v/>
      </c>
      <c r="T27">
        <f>HYPERLINK("https://klasma.github.io/Logging_1983/kartor/A 56279-2025 karta.png", "A 56279-2025")</f>
        <v/>
      </c>
      <c r="V27">
        <f>HYPERLINK("https://klasma.github.io/Logging_1983/klagomål/A 56279-2025 FSC-klagomål.docx", "A 56279-2025")</f>
        <v/>
      </c>
      <c r="W27">
        <f>HYPERLINK("https://klasma.github.io/Logging_1983/klagomålsmail/A 56279-2025 FSC-klagomål mail.docx", "A 56279-2025")</f>
        <v/>
      </c>
      <c r="X27">
        <f>HYPERLINK("https://klasma.github.io/Logging_1983/tillsyn/A 56279-2025 tillsynsbegäran.docx", "A 56279-2025")</f>
        <v/>
      </c>
      <c r="Y27">
        <f>HYPERLINK("https://klasma.github.io/Logging_1983/tillsynsmail/A 56279-2025 tillsynsbegäran mail.docx", "A 56279-2025")</f>
        <v/>
      </c>
      <c r="Z27">
        <f>HYPERLINK("https://klasma.github.io/Logging_1983/fåglar/A 56279-2025 prioriterade fågelarter.docx", "A 56279-2025")</f>
        <v/>
      </c>
    </row>
    <row r="28" ht="15" customHeight="1">
      <c r="A28" t="inlineStr">
        <is>
          <t>A 46126-2022</t>
        </is>
      </c>
      <c r="B28" s="1" t="n">
        <v>44847</v>
      </c>
      <c r="C28" s="1" t="n">
        <v>46204</v>
      </c>
      <c r="D28" t="inlineStr">
        <is>
          <t>VÄSTMANLANDS LÄN</t>
        </is>
      </c>
      <c r="E28" t="inlineStr">
        <is>
          <t>KÖPING</t>
        </is>
      </c>
      <c r="G28" t="n">
        <v>17.5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HYPERLINK("https://klasma.github.io/Logging_1983/artfynd/A 46126-2022 artfynd.xlsx", "A 46126-2022")</f>
        <v/>
      </c>
      <c r="T28">
        <f>HYPERLINK("https://klasma.github.io/Logging_1983/kartor/A 46126-2022 karta.png", "A 46126-2022")</f>
        <v/>
      </c>
      <c r="V28">
        <f>HYPERLINK("https://klasma.github.io/Logging_1983/klagomål/A 46126-2022 FSC-klagomål.docx", "A 46126-2022")</f>
        <v/>
      </c>
      <c r="W28">
        <f>HYPERLINK("https://klasma.github.io/Logging_1983/klagomålsmail/A 46126-2022 FSC-klagomål mail.docx", "A 46126-2022")</f>
        <v/>
      </c>
      <c r="X28">
        <f>HYPERLINK("https://klasma.github.io/Logging_1983/tillsyn/A 46126-2022 tillsynsbegäran.docx", "A 46126-2022")</f>
        <v/>
      </c>
      <c r="Y28">
        <f>HYPERLINK("https://klasma.github.io/Logging_1983/tillsynsmail/A 46126-2022 tillsynsbegäran mail.docx", "A 46126-2022")</f>
        <v/>
      </c>
    </row>
    <row r="29" ht="15" customHeight="1">
      <c r="A29" t="inlineStr">
        <is>
          <t>A 23557-2026</t>
        </is>
      </c>
      <c r="B29" s="1" t="n">
        <v>46163</v>
      </c>
      <c r="C29" s="1" t="n">
        <v>46204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HYPERLINK("https://klasma.github.io/Logging_1983/artfynd/A 23557-2026 artfynd.xlsx", "A 23557-2026")</f>
        <v/>
      </c>
      <c r="T29">
        <f>HYPERLINK("https://klasma.github.io/Logging_1983/kartor/A 23557-2026 karta.png", "A 23557-2026")</f>
        <v/>
      </c>
      <c r="V29">
        <f>HYPERLINK("https://klasma.github.io/Logging_1983/klagomål/A 23557-2026 FSC-klagomål.docx", "A 23557-2026")</f>
        <v/>
      </c>
      <c r="W29">
        <f>HYPERLINK("https://klasma.github.io/Logging_1983/klagomålsmail/A 23557-2026 FSC-klagomål mail.docx", "A 23557-2026")</f>
        <v/>
      </c>
      <c r="X29">
        <f>HYPERLINK("https://klasma.github.io/Logging_1983/tillsyn/A 23557-2026 tillsynsbegäran.docx", "A 23557-2026")</f>
        <v/>
      </c>
      <c r="Y29">
        <f>HYPERLINK("https://klasma.github.io/Logging_1983/tillsynsmail/A 23557-2026 tillsynsbegäran mail.docx", "A 23557-2026")</f>
        <v/>
      </c>
    </row>
    <row r="30" ht="15" customHeight="1">
      <c r="A30" t="inlineStr">
        <is>
          <t>A 56287-2025</t>
        </is>
      </c>
      <c r="B30" s="1" t="n">
        <v>45974</v>
      </c>
      <c r="C30" s="1" t="n">
        <v>46204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3.4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56287-2025 artfynd.xlsx", "A 56287-2025")</f>
        <v/>
      </c>
      <c r="T30">
        <f>HYPERLINK("https://klasma.github.io/Logging_1983/kartor/A 56287-2025 karta.png", "A 56287-2025")</f>
        <v/>
      </c>
      <c r="V30">
        <f>HYPERLINK("https://klasma.github.io/Logging_1983/klagomål/A 56287-2025 FSC-klagomål.docx", "A 56287-2025")</f>
        <v/>
      </c>
      <c r="W30">
        <f>HYPERLINK("https://klasma.github.io/Logging_1983/klagomålsmail/A 56287-2025 FSC-klagomål mail.docx", "A 56287-2025")</f>
        <v/>
      </c>
      <c r="X30">
        <f>HYPERLINK("https://klasma.github.io/Logging_1983/tillsyn/A 56287-2025 tillsynsbegäran.docx", "A 56287-2025")</f>
        <v/>
      </c>
      <c r="Y30">
        <f>HYPERLINK("https://klasma.github.io/Logging_1983/tillsynsmail/A 56287-2025 tillsynsbegäran mail.docx", "A 56287-2025")</f>
        <v/>
      </c>
      <c r="Z30">
        <f>HYPERLINK("https://klasma.github.io/Logging_1983/fåglar/A 56287-2025 prioriterade fågelarter.docx", "A 56287-2025")</f>
        <v/>
      </c>
    </row>
    <row r="31" ht="15" customHeight="1">
      <c r="A31" t="inlineStr">
        <is>
          <t>A 57297-2024</t>
        </is>
      </c>
      <c r="B31" s="1" t="n">
        <v>45629</v>
      </c>
      <c r="C31" s="1" t="n">
        <v>46204</v>
      </c>
      <c r="D31" t="inlineStr">
        <is>
          <t>VÄSTMANLANDS LÄN</t>
        </is>
      </c>
      <c r="E31" t="inlineStr">
        <is>
          <t>KÖPING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HYPERLINK("https://klasma.github.io/Logging_1983/artfynd/A 57297-2024 artfynd.xlsx", "A 57297-2024")</f>
        <v/>
      </c>
      <c r="T31">
        <f>HYPERLINK("https://klasma.github.io/Logging_1983/kartor/A 57297-2024 karta.png", "A 57297-2024")</f>
        <v/>
      </c>
      <c r="V31">
        <f>HYPERLINK("https://klasma.github.io/Logging_1983/klagomål/A 57297-2024 FSC-klagomål.docx", "A 57297-2024")</f>
        <v/>
      </c>
      <c r="W31">
        <f>HYPERLINK("https://klasma.github.io/Logging_1983/klagomålsmail/A 57297-2024 FSC-klagomål mail.docx", "A 57297-2024")</f>
        <v/>
      </c>
      <c r="X31">
        <f>HYPERLINK("https://klasma.github.io/Logging_1983/tillsyn/A 57297-2024 tillsynsbegäran.docx", "A 57297-2024")</f>
        <v/>
      </c>
      <c r="Y31">
        <f>HYPERLINK("https://klasma.github.io/Logging_1983/tillsynsmail/A 57297-2024 tillsynsbegäran mail.docx", "A 57297-2024")</f>
        <v/>
      </c>
    </row>
    <row r="32" ht="15" customHeight="1">
      <c r="A32" t="inlineStr">
        <is>
          <t>A 23398-2026</t>
        </is>
      </c>
      <c r="B32" s="1" t="n">
        <v>46162</v>
      </c>
      <c r="C32" s="1" t="n">
        <v>46204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HYPERLINK("https://klasma.github.io/Logging_1983/artfynd/A 23398-2026 artfynd.xlsx", "A 23398-2026")</f>
        <v/>
      </c>
      <c r="T32">
        <f>HYPERLINK("https://klasma.github.io/Logging_1983/kartor/A 23398-2026 karta.png", "A 23398-2026")</f>
        <v/>
      </c>
      <c r="V32">
        <f>HYPERLINK("https://klasma.github.io/Logging_1983/klagomål/A 23398-2026 FSC-klagomål.docx", "A 23398-2026")</f>
        <v/>
      </c>
      <c r="W32">
        <f>HYPERLINK("https://klasma.github.io/Logging_1983/klagomålsmail/A 23398-2026 FSC-klagomål mail.docx", "A 23398-2026")</f>
        <v/>
      </c>
      <c r="X32">
        <f>HYPERLINK("https://klasma.github.io/Logging_1983/tillsyn/A 23398-2026 tillsynsbegäran.docx", "A 23398-2026")</f>
        <v/>
      </c>
      <c r="Y32">
        <f>HYPERLINK("https://klasma.github.io/Logging_1983/tillsynsmail/A 23398-2026 tillsynsbegäran mail.docx", "A 23398-2026")</f>
        <v/>
      </c>
      <c r="Z32">
        <f>HYPERLINK("https://klasma.github.io/Logging_1983/fåglar/A 23398-2026 prioriterade fågelarter.docx", "A 23398-2026")</f>
        <v/>
      </c>
    </row>
    <row r="33" ht="15" customHeight="1">
      <c r="A33" t="inlineStr">
        <is>
          <t>A 13066-2025</t>
        </is>
      </c>
      <c r="B33" s="1" t="n">
        <v>45734</v>
      </c>
      <c r="C33" s="1" t="n">
        <v>46204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HYPERLINK("https://klasma.github.io/Logging_1983/artfynd/A 13066-2025 artfynd.xlsx", "A 13066-2025")</f>
        <v/>
      </c>
      <c r="T33">
        <f>HYPERLINK("https://klasma.github.io/Logging_1983/kartor/A 13066-2025 karta.png", "A 13066-2025")</f>
        <v/>
      </c>
      <c r="V33">
        <f>HYPERLINK("https://klasma.github.io/Logging_1983/klagomål/A 13066-2025 FSC-klagomål.docx", "A 13066-2025")</f>
        <v/>
      </c>
      <c r="W33">
        <f>HYPERLINK("https://klasma.github.io/Logging_1983/klagomålsmail/A 13066-2025 FSC-klagomål mail.docx", "A 13066-2025")</f>
        <v/>
      </c>
      <c r="X33">
        <f>HYPERLINK("https://klasma.github.io/Logging_1983/tillsyn/A 13066-2025 tillsynsbegäran.docx", "A 13066-2025")</f>
        <v/>
      </c>
      <c r="Y33">
        <f>HYPERLINK("https://klasma.github.io/Logging_1983/tillsynsmail/A 13066-2025 tillsynsbegäran mail.docx", "A 13066-2025")</f>
        <v/>
      </c>
    </row>
    <row r="34" ht="15" customHeight="1">
      <c r="A34" t="inlineStr">
        <is>
          <t>A 33498-2025</t>
        </is>
      </c>
      <c r="B34" s="1" t="n">
        <v>45841</v>
      </c>
      <c r="C34" s="1" t="n">
        <v>46204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HYPERLINK("https://klasma.github.io/Logging_1983/artfynd/A 33498-2025 artfynd.xlsx", "A 33498-2025")</f>
        <v/>
      </c>
      <c r="T34">
        <f>HYPERLINK("https://klasma.github.io/Logging_1983/kartor/A 33498-2025 karta.png", "A 33498-2025")</f>
        <v/>
      </c>
      <c r="V34">
        <f>HYPERLINK("https://klasma.github.io/Logging_1983/klagomål/A 33498-2025 FSC-klagomål.docx", "A 33498-2025")</f>
        <v/>
      </c>
      <c r="W34">
        <f>HYPERLINK("https://klasma.github.io/Logging_1983/klagomålsmail/A 33498-2025 FSC-klagomål mail.docx", "A 33498-2025")</f>
        <v/>
      </c>
      <c r="X34">
        <f>HYPERLINK("https://klasma.github.io/Logging_1983/tillsyn/A 33498-2025 tillsynsbegäran.docx", "A 33498-2025")</f>
        <v/>
      </c>
      <c r="Y34">
        <f>HYPERLINK("https://klasma.github.io/Logging_1983/tillsynsmail/A 33498-2025 tillsynsbegäran mail.docx", "A 33498-2025")</f>
        <v/>
      </c>
    </row>
    <row r="35" ht="15" customHeight="1">
      <c r="A35" t="inlineStr">
        <is>
          <t>A 55157-2023</t>
        </is>
      </c>
      <c r="B35" s="1" t="n">
        <v>45237</v>
      </c>
      <c r="C35" s="1" t="n">
        <v>46204</v>
      </c>
      <c r="D35" t="inlineStr">
        <is>
          <t>VÄSTMANLANDS LÄN</t>
        </is>
      </c>
      <c r="E35" t="inlineStr">
        <is>
          <t>KÖPING</t>
        </is>
      </c>
      <c r="G35" t="n">
        <v>6.7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HYPERLINK("https://klasma.github.io/Logging_1983/artfynd/A 55157-2023 artfynd.xlsx", "A 55157-2023")</f>
        <v/>
      </c>
      <c r="T35">
        <f>HYPERLINK("https://klasma.github.io/Logging_1983/kartor/A 55157-2023 karta.png", "A 55157-2023")</f>
        <v/>
      </c>
      <c r="V35">
        <f>HYPERLINK("https://klasma.github.io/Logging_1983/klagomål/A 55157-2023 FSC-klagomål.docx", "A 55157-2023")</f>
        <v/>
      </c>
      <c r="W35">
        <f>HYPERLINK("https://klasma.github.io/Logging_1983/klagomålsmail/A 55157-2023 FSC-klagomål mail.docx", "A 55157-2023")</f>
        <v/>
      </c>
      <c r="X35">
        <f>HYPERLINK("https://klasma.github.io/Logging_1983/tillsyn/A 55157-2023 tillsynsbegäran.docx", "A 55157-2023")</f>
        <v/>
      </c>
      <c r="Y35">
        <f>HYPERLINK("https://klasma.github.io/Logging_1983/tillsynsmail/A 55157-2023 tillsynsbegäran mail.docx", "A 55157-2023")</f>
        <v/>
      </c>
    </row>
    <row r="36" ht="15" customHeight="1">
      <c r="A36" t="inlineStr">
        <is>
          <t>A 26941-2026</t>
        </is>
      </c>
      <c r="B36" s="1" t="n">
        <v>46185</v>
      </c>
      <c r="C36" s="1" t="n">
        <v>46204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1.7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HYPERLINK("https://klasma.github.io/Logging_1983/artfynd/A 26941-2026 artfynd.xlsx", "A 26941-2026")</f>
        <v/>
      </c>
      <c r="T36">
        <f>HYPERLINK("https://klasma.github.io/Logging_1983/kartor/A 26941-2026 karta.png", "A 26941-2026")</f>
        <v/>
      </c>
      <c r="V36">
        <f>HYPERLINK("https://klasma.github.io/Logging_1983/klagomål/A 26941-2026 FSC-klagomål.docx", "A 26941-2026")</f>
        <v/>
      </c>
      <c r="W36">
        <f>HYPERLINK("https://klasma.github.io/Logging_1983/klagomålsmail/A 26941-2026 FSC-klagomål mail.docx", "A 26941-2026")</f>
        <v/>
      </c>
      <c r="X36">
        <f>HYPERLINK("https://klasma.github.io/Logging_1983/tillsyn/A 26941-2026 tillsynsbegäran.docx", "A 26941-2026")</f>
        <v/>
      </c>
      <c r="Y36">
        <f>HYPERLINK("https://klasma.github.io/Logging_1983/tillsynsmail/A 26941-2026 tillsynsbegäran mail.docx", "A 26941-2026")</f>
        <v/>
      </c>
    </row>
    <row r="37" ht="15" customHeight="1">
      <c r="A37" t="inlineStr">
        <is>
          <t>A 60991-2023</t>
        </is>
      </c>
      <c r="B37" s="1" t="n">
        <v>45261</v>
      </c>
      <c r="C37" s="1" t="n">
        <v>46204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HYPERLINK("https://klasma.github.io/Logging_1983/artfynd/A 60991-2023 artfynd.xlsx", "A 60991-2023")</f>
        <v/>
      </c>
      <c r="T37">
        <f>HYPERLINK("https://klasma.github.io/Logging_1983/kartor/A 60991-2023 karta.png", "A 60991-2023")</f>
        <v/>
      </c>
      <c r="V37">
        <f>HYPERLINK("https://klasma.github.io/Logging_1983/klagomål/A 60991-2023 FSC-klagomål.docx", "A 60991-2023")</f>
        <v/>
      </c>
      <c r="W37">
        <f>HYPERLINK("https://klasma.github.io/Logging_1983/klagomålsmail/A 60991-2023 FSC-klagomål mail.docx", "A 60991-2023")</f>
        <v/>
      </c>
      <c r="X37">
        <f>HYPERLINK("https://klasma.github.io/Logging_1983/tillsyn/A 60991-2023 tillsynsbegäran.docx", "A 60991-2023")</f>
        <v/>
      </c>
      <c r="Y37">
        <f>HYPERLINK("https://klasma.github.io/Logging_1983/tillsynsmail/A 60991-2023 tillsynsbegäran mail.docx", "A 60991-2023")</f>
        <v/>
      </c>
      <c r="Z37">
        <f>HYPERLINK("https://klasma.github.io/Logging_1983/fåglar/A 60991-2023 prioriterade fågelarter.docx", "A 60991-2023")</f>
        <v/>
      </c>
    </row>
    <row r="38" ht="15" customHeight="1">
      <c r="A38" t="inlineStr">
        <is>
          <t>A 29089-2026</t>
        </is>
      </c>
      <c r="B38" s="1" t="n">
        <v>46200</v>
      </c>
      <c r="C38" s="1" t="n">
        <v>46204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5.2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HYPERLINK("https://klasma.github.io/Logging_1983/artfynd/A 29089-2026 artfynd.xlsx", "A 29089-2026")</f>
        <v/>
      </c>
      <c r="T38">
        <f>HYPERLINK("https://klasma.github.io/Logging_1983/kartor/A 29089-2026 karta.png", "A 29089-2026")</f>
        <v/>
      </c>
      <c r="V38">
        <f>HYPERLINK("https://klasma.github.io/Logging_1983/klagomål/A 29089-2026 FSC-klagomål.docx", "A 29089-2026")</f>
        <v/>
      </c>
      <c r="W38">
        <f>HYPERLINK("https://klasma.github.io/Logging_1983/klagomålsmail/A 29089-2026 FSC-klagomål mail.docx", "A 29089-2026")</f>
        <v/>
      </c>
      <c r="X38">
        <f>HYPERLINK("https://klasma.github.io/Logging_1983/tillsyn/A 29089-2026 tillsynsbegäran.docx", "A 29089-2026")</f>
        <v/>
      </c>
      <c r="Y38">
        <f>HYPERLINK("https://klasma.github.io/Logging_1983/tillsynsmail/A 29089-2026 tillsynsbegäran mail.docx", "A 29089-2026")</f>
        <v/>
      </c>
    </row>
    <row r="39" ht="15" customHeight="1">
      <c r="A39" t="inlineStr">
        <is>
          <t>A 67946-2021</t>
        </is>
      </c>
      <c r="B39" s="1" t="n">
        <v>44525</v>
      </c>
      <c r="C39" s="1" t="n">
        <v>46204</v>
      </c>
      <c r="D39" t="inlineStr">
        <is>
          <t>VÄSTMANLANDS LÄN</t>
        </is>
      </c>
      <c r="E39" t="inlineStr">
        <is>
          <t>KÖPING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46204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</v>
      </c>
      <c r="C41" s="1" t="n">
        <v>46204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</v>
      </c>
      <c r="C42" s="1" t="n">
        <v>46204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46204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</v>
      </c>
      <c r="C44" s="1" t="n">
        <v>46204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46343-2021</t>
        </is>
      </c>
      <c r="B45" s="1" t="n">
        <v>44442</v>
      </c>
      <c r="C45" s="1" t="n">
        <v>46204</v>
      </c>
      <c r="D45" t="inlineStr">
        <is>
          <t>VÄSTMANLANDS LÄN</t>
        </is>
      </c>
      <c r="E45" t="inlineStr">
        <is>
          <t>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39162-2021</t>
        </is>
      </c>
      <c r="B46" s="1" t="n">
        <v>44412</v>
      </c>
      <c r="C46" s="1" t="n">
        <v>46204</v>
      </c>
      <c r="D46" t="inlineStr">
        <is>
          <t>VÄSTMANLANDS LÄN</t>
        </is>
      </c>
      <c r="E46" t="inlineStr">
        <is>
          <t>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57769-2021</t>
        </is>
      </c>
      <c r="B47" s="1" t="n">
        <v>44484</v>
      </c>
      <c r="C47" s="1" t="n">
        <v>46204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8845-2022</t>
        </is>
      </c>
      <c r="B48" s="1" t="n">
        <v>44614</v>
      </c>
      <c r="C48" s="1" t="n">
        <v>46204</v>
      </c>
      <c r="D48" t="inlineStr">
        <is>
          <t>VÄSTMANLANDS LÄN</t>
        </is>
      </c>
      <c r="E48" t="inlineStr">
        <is>
          <t>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41052-2022</t>
        </is>
      </c>
      <c r="B49" s="1" t="n">
        <v>44825</v>
      </c>
      <c r="C49" s="1" t="n">
        <v>46204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42491-2022</t>
        </is>
      </c>
      <c r="B50" s="1" t="n">
        <v>44831</v>
      </c>
      <c r="C50" s="1" t="n">
        <v>46204</v>
      </c>
      <c r="D50" t="inlineStr">
        <is>
          <t>VÄSTMANLANDS LÄN</t>
        </is>
      </c>
      <c r="E50" t="inlineStr">
        <is>
          <t>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69645-2021</t>
        </is>
      </c>
      <c r="B51" s="1" t="n">
        <v>44532</v>
      </c>
      <c r="C51" s="1" t="n">
        <v>46204</v>
      </c>
      <c r="D51" t="inlineStr">
        <is>
          <t>VÄSTMANLANDS LÄN</t>
        </is>
      </c>
      <c r="E51" t="inlineStr">
        <is>
          <t>KÖPING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45910-2021</t>
        </is>
      </c>
      <c r="B52" s="1" t="n">
        <v>44441</v>
      </c>
      <c r="C52" s="1" t="n">
        <v>46204</v>
      </c>
      <c r="D52" t="inlineStr">
        <is>
          <t>VÄSTMANLANDS LÄN</t>
        </is>
      </c>
      <c r="E52" t="inlineStr">
        <is>
          <t>KÖPING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36866-2021</t>
        </is>
      </c>
      <c r="B53" s="1" t="n">
        <v>44393</v>
      </c>
      <c r="C53" s="1" t="n">
        <v>46204</v>
      </c>
      <c r="D53" t="inlineStr">
        <is>
          <t>VÄSTMANLANDS LÄN</t>
        </is>
      </c>
      <c r="E53" t="inlineStr">
        <is>
          <t>KÖPING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54301-2021</t>
        </is>
      </c>
      <c r="B54" s="1" t="n">
        <v>44472</v>
      </c>
      <c r="C54" s="1" t="n">
        <v>46204</v>
      </c>
      <c r="D54" t="inlineStr">
        <is>
          <t>VÄSTMANLANDS LÄN</t>
        </is>
      </c>
      <c r="E54" t="inlineStr">
        <is>
          <t>KÖPING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71717-2021</t>
        </is>
      </c>
      <c r="B55" s="1" t="n">
        <v>44539</v>
      </c>
      <c r="C55" s="1" t="n">
        <v>46204</v>
      </c>
      <c r="D55" t="inlineStr">
        <is>
          <t>VÄSTMANLANDS LÄN</t>
        </is>
      </c>
      <c r="E55" t="inlineStr">
        <is>
          <t>KÖPING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17810-2022</t>
        </is>
      </c>
      <c r="B56" s="1" t="n">
        <v>44683</v>
      </c>
      <c r="C56" s="1" t="n">
        <v>46204</v>
      </c>
      <c r="D56" t="inlineStr">
        <is>
          <t>VÄSTMANLANDS LÄN</t>
        </is>
      </c>
      <c r="E56" t="inlineStr">
        <is>
          <t>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8687-2022</t>
        </is>
      </c>
      <c r="B57" s="1" t="n">
        <v>44613</v>
      </c>
      <c r="C57" s="1" t="n">
        <v>46204</v>
      </c>
      <c r="D57" t="inlineStr">
        <is>
          <t>VÄSTMANLANDS LÄN</t>
        </is>
      </c>
      <c r="E57" t="inlineStr">
        <is>
          <t>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35144-2022</t>
        </is>
      </c>
      <c r="B58" s="1" t="n">
        <v>44797</v>
      </c>
      <c r="C58" s="1" t="n">
        <v>46204</v>
      </c>
      <c r="D58" t="inlineStr">
        <is>
          <t>VÄSTMANLANDS LÄN</t>
        </is>
      </c>
      <c r="E58" t="inlineStr">
        <is>
          <t>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51203-2022</t>
        </is>
      </c>
      <c r="B59" s="1" t="n">
        <v>44868</v>
      </c>
      <c r="C59" s="1" t="n">
        <v>46204</v>
      </c>
      <c r="D59" t="inlineStr">
        <is>
          <t>VÄSTMANLANDS LÄN</t>
        </is>
      </c>
      <c r="E59" t="inlineStr">
        <is>
          <t>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73890-2021</t>
        </is>
      </c>
      <c r="B60" s="1" t="n">
        <v>44553</v>
      </c>
      <c r="C60" s="1" t="n">
        <v>46204</v>
      </c>
      <c r="D60" t="inlineStr">
        <is>
          <t>VÄSTMANLANDS LÄN</t>
        </is>
      </c>
      <c r="E60" t="inlineStr">
        <is>
          <t>KÖPING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15160-2022</t>
        </is>
      </c>
      <c r="B61" s="1" t="n">
        <v>44658</v>
      </c>
      <c r="C61" s="1" t="n">
        <v>46204</v>
      </c>
      <c r="D61" t="inlineStr">
        <is>
          <t>VÄSTMANLANDS LÄN</t>
        </is>
      </c>
      <c r="E61" t="inlineStr">
        <is>
          <t>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15165-2022</t>
        </is>
      </c>
      <c r="B62" s="1" t="n">
        <v>44658</v>
      </c>
      <c r="C62" s="1" t="n">
        <v>46204</v>
      </c>
      <c r="D62" t="inlineStr">
        <is>
          <t>VÄSTMANLANDS LÄN</t>
        </is>
      </c>
      <c r="E62" t="inlineStr">
        <is>
          <t>KÖPING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70909-2021</t>
        </is>
      </c>
      <c r="B63" s="1" t="n">
        <v>44538</v>
      </c>
      <c r="C63" s="1" t="n">
        <v>46204</v>
      </c>
      <c r="D63" t="inlineStr">
        <is>
          <t>VÄSTMANLANDS LÄN</t>
        </is>
      </c>
      <c r="E63" t="inlineStr">
        <is>
          <t>KÖPING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31193-2022</t>
        </is>
      </c>
      <c r="B64" s="1" t="n">
        <v>44770</v>
      </c>
      <c r="C64" s="1" t="n">
        <v>46204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72460-2021</t>
        </is>
      </c>
      <c r="B65" s="1" t="n">
        <v>44545</v>
      </c>
      <c r="C65" s="1" t="n">
        <v>46204</v>
      </c>
      <c r="D65" t="inlineStr">
        <is>
          <t>VÄSTMANLANDS LÄN</t>
        </is>
      </c>
      <c r="E65" t="inlineStr">
        <is>
          <t>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60627-2021</t>
        </is>
      </c>
      <c r="B66" s="1" t="n">
        <v>44496</v>
      </c>
      <c r="C66" s="1" t="n">
        <v>46204</v>
      </c>
      <c r="D66" t="inlineStr">
        <is>
          <t>VÄSTMANLANDS LÄN</t>
        </is>
      </c>
      <c r="E66" t="inlineStr">
        <is>
          <t>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53148-2021</t>
        </is>
      </c>
      <c r="B67" s="1" t="n">
        <v>44468</v>
      </c>
      <c r="C67" s="1" t="n">
        <v>46204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23624-2022</t>
        </is>
      </c>
      <c r="B68" s="1" t="n">
        <v>44721</v>
      </c>
      <c r="C68" s="1" t="n">
        <v>46204</v>
      </c>
      <c r="D68" t="inlineStr">
        <is>
          <t>VÄSTMANLANDS LÄN</t>
        </is>
      </c>
      <c r="E68" t="inlineStr">
        <is>
          <t>KÖPING</t>
        </is>
      </c>
      <c r="G68" t="n">
        <v>14.1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16693-2022</t>
        </is>
      </c>
      <c r="B69" s="1" t="n">
        <v>44673</v>
      </c>
      <c r="C69" s="1" t="n">
        <v>46204</v>
      </c>
      <c r="D69" t="inlineStr">
        <is>
          <t>VÄSTMANLANDS LÄN</t>
        </is>
      </c>
      <c r="E69" t="inlineStr">
        <is>
          <t>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73888-2021</t>
        </is>
      </c>
      <c r="B70" s="1" t="n">
        <v>44553</v>
      </c>
      <c r="C70" s="1" t="n">
        <v>46204</v>
      </c>
      <c r="D70" t="inlineStr">
        <is>
          <t>VÄSTMANLANDS LÄN</t>
        </is>
      </c>
      <c r="E70" t="inlineStr">
        <is>
          <t>KÖPING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29960-2024</t>
        </is>
      </c>
      <c r="B71" s="1" t="n">
        <v>45488</v>
      </c>
      <c r="C71" s="1" t="n">
        <v>46204</v>
      </c>
      <c r="D71" t="inlineStr">
        <is>
          <t>VÄSTMANLANDS LÄN</t>
        </is>
      </c>
      <c r="E71" t="inlineStr">
        <is>
          <t>KÖPING</t>
        </is>
      </c>
      <c r="G71" t="n">
        <v>11.5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6949-2023</t>
        </is>
      </c>
      <c r="B72" s="1" t="n">
        <v>44967</v>
      </c>
      <c r="C72" s="1" t="n">
        <v>46204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25660-2024</t>
        </is>
      </c>
      <c r="B73" s="1" t="n">
        <v>45463</v>
      </c>
      <c r="C73" s="1" t="n">
        <v>46204</v>
      </c>
      <c r="D73" t="inlineStr">
        <is>
          <t>VÄSTMANLANDS LÄN</t>
        </is>
      </c>
      <c r="E73" t="inlineStr">
        <is>
          <t>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33989-2024</t>
        </is>
      </c>
      <c r="B74" s="1" t="n">
        <v>45523</v>
      </c>
      <c r="C74" s="1" t="n">
        <v>46204</v>
      </c>
      <c r="D74" t="inlineStr">
        <is>
          <t>VÄSTMANLANDS LÄN</t>
        </is>
      </c>
      <c r="E74" t="inlineStr">
        <is>
          <t>KÖPING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2584-2024</t>
        </is>
      </c>
      <c r="B75" s="1" t="n">
        <v>45313</v>
      </c>
      <c r="C75" s="1" t="n">
        <v>46204</v>
      </c>
      <c r="D75" t="inlineStr">
        <is>
          <t>VÄSTMANLANDS LÄN</t>
        </is>
      </c>
      <c r="E75" t="inlineStr">
        <is>
          <t>KÖPING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45664-2024</t>
        </is>
      </c>
      <c r="B76" s="1" t="n">
        <v>45579</v>
      </c>
      <c r="C76" s="1" t="n">
        <v>46204</v>
      </c>
      <c r="D76" t="inlineStr">
        <is>
          <t>VÄSTMANLANDS LÄN</t>
        </is>
      </c>
      <c r="E76" t="inlineStr">
        <is>
          <t>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45308-2023</t>
        </is>
      </c>
      <c r="B77" s="1" t="n">
        <v>45191</v>
      </c>
      <c r="C77" s="1" t="n">
        <v>46204</v>
      </c>
      <c r="D77" t="inlineStr">
        <is>
          <t>VÄSTMANLANDS LÄN</t>
        </is>
      </c>
      <c r="E77" t="inlineStr">
        <is>
          <t>KÖPING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60894-2022</t>
        </is>
      </c>
      <c r="B78" s="1" t="n">
        <v>44914</v>
      </c>
      <c r="C78" s="1" t="n">
        <v>46204</v>
      </c>
      <c r="D78" t="inlineStr">
        <is>
          <t>VÄSTMANLANDS LÄN</t>
        </is>
      </c>
      <c r="E78" t="inlineStr">
        <is>
          <t>KÖPING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60924-2022</t>
        </is>
      </c>
      <c r="B79" s="1" t="n">
        <v>44914</v>
      </c>
      <c r="C79" s="1" t="n">
        <v>46204</v>
      </c>
      <c r="D79" t="inlineStr">
        <is>
          <t>VÄSTMANLANDS LÄN</t>
        </is>
      </c>
      <c r="E79" t="inlineStr">
        <is>
          <t>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10478-2022</t>
        </is>
      </c>
      <c r="B80" s="1" t="n">
        <v>44623</v>
      </c>
      <c r="C80" s="1" t="n">
        <v>46204</v>
      </c>
      <c r="D80" t="inlineStr">
        <is>
          <t>VÄSTMANLANDS LÄN</t>
        </is>
      </c>
      <c r="E80" t="inlineStr">
        <is>
          <t>KÖPING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3945-2024</t>
        </is>
      </c>
      <c r="B81" s="1" t="n">
        <v>45322</v>
      </c>
      <c r="C81" s="1" t="n">
        <v>46204</v>
      </c>
      <c r="D81" t="inlineStr">
        <is>
          <t>VÄSTMANLANDS LÄN</t>
        </is>
      </c>
      <c r="E81" t="inlineStr">
        <is>
          <t>KÖPING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24130-2024</t>
        </is>
      </c>
      <c r="B82" s="1" t="n">
        <v>45456</v>
      </c>
      <c r="C82" s="1" t="n">
        <v>46204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37730-2022</t>
        </is>
      </c>
      <c r="B83" s="1" t="n">
        <v>44810</v>
      </c>
      <c r="C83" s="1" t="n">
        <v>46204</v>
      </c>
      <c r="D83" t="inlineStr">
        <is>
          <t>VÄSTMANLANDS LÄN</t>
        </is>
      </c>
      <c r="E83" t="inlineStr">
        <is>
          <t>KÖPING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13160-2024</t>
        </is>
      </c>
      <c r="B84" s="1" t="n">
        <v>45386</v>
      </c>
      <c r="C84" s="1" t="n">
        <v>46204</v>
      </c>
      <c r="D84" t="inlineStr">
        <is>
          <t>VÄSTMANLANDS LÄN</t>
        </is>
      </c>
      <c r="E84" t="inlineStr">
        <is>
          <t>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40823-2024</t>
        </is>
      </c>
      <c r="B85" s="1" t="n">
        <v>45558</v>
      </c>
      <c r="C85" s="1" t="n">
        <v>46204</v>
      </c>
      <c r="D85" t="inlineStr">
        <is>
          <t>VÄSTMANLANDS LÄN</t>
        </is>
      </c>
      <c r="E85" t="inlineStr">
        <is>
          <t>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65023-2021</t>
        </is>
      </c>
      <c r="B86" s="1" t="n">
        <v>44512</v>
      </c>
      <c r="C86" s="1" t="n">
        <v>46204</v>
      </c>
      <c r="D86" t="inlineStr">
        <is>
          <t>VÄSTMANLANDS LÄN</t>
        </is>
      </c>
      <c r="E86" t="inlineStr">
        <is>
          <t>KÖPING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18366-2025</t>
        </is>
      </c>
      <c r="B87" s="1" t="n">
        <v>45762</v>
      </c>
      <c r="C87" s="1" t="n">
        <v>46204</v>
      </c>
      <c r="D87" t="inlineStr">
        <is>
          <t>VÄSTMANLANDS LÄN</t>
        </is>
      </c>
      <c r="E87" t="inlineStr">
        <is>
          <t>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46659-2024</t>
        </is>
      </c>
      <c r="B88" s="1" t="n">
        <v>45583</v>
      </c>
      <c r="C88" s="1" t="n">
        <v>46204</v>
      </c>
      <c r="D88" t="inlineStr">
        <is>
          <t>VÄSTMANLANDS LÄN</t>
        </is>
      </c>
      <c r="E88" t="inlineStr">
        <is>
          <t>KÖPING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34290-2023</t>
        </is>
      </c>
      <c r="B89" s="1" t="n">
        <v>45138</v>
      </c>
      <c r="C89" s="1" t="n">
        <v>46204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68954-2021</t>
        </is>
      </c>
      <c r="B90" s="1" t="n">
        <v>44530</v>
      </c>
      <c r="C90" s="1" t="n">
        <v>46204</v>
      </c>
      <c r="D90" t="inlineStr">
        <is>
          <t>VÄSTMANLANDS LÄN</t>
        </is>
      </c>
      <c r="E90" t="inlineStr">
        <is>
          <t>KÖPING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2868-2023</t>
        </is>
      </c>
      <c r="B91" s="1" t="n">
        <v>44945</v>
      </c>
      <c r="C91" s="1" t="n">
        <v>46204</v>
      </c>
      <c r="D91" t="inlineStr">
        <is>
          <t>VÄSTMANLANDS LÄN</t>
        </is>
      </c>
      <c r="E91" t="inlineStr">
        <is>
          <t>KÖPING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37752-2023</t>
        </is>
      </c>
      <c r="B92" s="1" t="n">
        <v>45159</v>
      </c>
      <c r="C92" s="1" t="n">
        <v>46204</v>
      </c>
      <c r="D92" t="inlineStr">
        <is>
          <t>VÄSTMANLANDS LÄN</t>
        </is>
      </c>
      <c r="E92" t="inlineStr">
        <is>
          <t>KÖPING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61083-2022</t>
        </is>
      </c>
      <c r="B93" s="1" t="n">
        <v>44915</v>
      </c>
      <c r="C93" s="1" t="n">
        <v>46204</v>
      </c>
      <c r="D93" t="inlineStr">
        <is>
          <t>VÄSTMANLANDS LÄN</t>
        </is>
      </c>
      <c r="E93" t="inlineStr">
        <is>
          <t>KÖPING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20798-2022</t>
        </is>
      </c>
      <c r="B94" s="1" t="n">
        <v>44701</v>
      </c>
      <c r="C94" s="1" t="n">
        <v>46204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55720-2022</t>
        </is>
      </c>
      <c r="B95" s="1" t="n">
        <v>44888</v>
      </c>
      <c r="C95" s="1" t="n">
        <v>46204</v>
      </c>
      <c r="D95" t="inlineStr">
        <is>
          <t>VÄSTMANLANDS LÄN</t>
        </is>
      </c>
      <c r="E95" t="inlineStr">
        <is>
          <t>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10512-2022</t>
        </is>
      </c>
      <c r="B96" s="1" t="n">
        <v>44623</v>
      </c>
      <c r="C96" s="1" t="n">
        <v>46204</v>
      </c>
      <c r="D96" t="inlineStr">
        <is>
          <t>VÄSTMANLANDS LÄN</t>
        </is>
      </c>
      <c r="E96" t="inlineStr">
        <is>
          <t>KÖPING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27261-2022</t>
        </is>
      </c>
      <c r="B97" s="1" t="n">
        <v>44741</v>
      </c>
      <c r="C97" s="1" t="n">
        <v>46204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14664-2022</t>
        </is>
      </c>
      <c r="B98" s="1" t="n">
        <v>44655</v>
      </c>
      <c r="C98" s="1" t="n">
        <v>46204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28394-2024</t>
        </is>
      </c>
      <c r="B99" s="1" t="n">
        <v>45477</v>
      </c>
      <c r="C99" s="1" t="n">
        <v>46204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30136-2025</t>
        </is>
      </c>
      <c r="B100" s="1" t="n">
        <v>45826</v>
      </c>
      <c r="C100" s="1" t="n">
        <v>46204</v>
      </c>
      <c r="D100" t="inlineStr">
        <is>
          <t>VÄSTMANLANDS LÄN</t>
        </is>
      </c>
      <c r="E100" t="inlineStr">
        <is>
          <t>KÖPING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31068-2025</t>
        </is>
      </c>
      <c r="B101" s="1" t="n">
        <v>45832</v>
      </c>
      <c r="C101" s="1" t="n">
        <v>46204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15858-2025</t>
        </is>
      </c>
      <c r="B102" s="1" t="n">
        <v>45749</v>
      </c>
      <c r="C102" s="1" t="n">
        <v>46204</v>
      </c>
      <c r="D102" t="inlineStr">
        <is>
          <t>VÄSTMANLANDS LÄN</t>
        </is>
      </c>
      <c r="E102" t="inlineStr">
        <is>
          <t>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7370-2022</t>
        </is>
      </c>
      <c r="B103" s="1" t="n">
        <v>44606</v>
      </c>
      <c r="C103" s="1" t="n">
        <v>46204</v>
      </c>
      <c r="D103" t="inlineStr">
        <is>
          <t>VÄSTMANLANDS LÄN</t>
        </is>
      </c>
      <c r="E103" t="inlineStr">
        <is>
          <t>KÖPING</t>
        </is>
      </c>
      <c r="G103" t="n">
        <v>14.4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31071-2025</t>
        </is>
      </c>
      <c r="B104" s="1" t="n">
        <v>45832</v>
      </c>
      <c r="C104" s="1" t="n">
        <v>46204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44906-2022</t>
        </is>
      </c>
      <c r="B105" s="1" t="n">
        <v>44840</v>
      </c>
      <c r="C105" s="1" t="n">
        <v>46204</v>
      </c>
      <c r="D105" t="inlineStr">
        <is>
          <t>VÄSTMANLANDS LÄN</t>
        </is>
      </c>
      <c r="E105" t="inlineStr">
        <is>
          <t>KÖPING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31839-2025</t>
        </is>
      </c>
      <c r="B106" s="1" t="n">
        <v>45834</v>
      </c>
      <c r="C106" s="1" t="n">
        <v>46204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31830-2025</t>
        </is>
      </c>
      <c r="B107" s="1" t="n">
        <v>45834</v>
      </c>
      <c r="C107" s="1" t="n">
        <v>46204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31738-2025</t>
        </is>
      </c>
      <c r="B108" s="1" t="n">
        <v>45834</v>
      </c>
      <c r="C108" s="1" t="n">
        <v>46204</v>
      </c>
      <c r="D108" t="inlineStr">
        <is>
          <t>VÄSTMANLANDS LÄN</t>
        </is>
      </c>
      <c r="E108" t="inlineStr">
        <is>
          <t>KÖPING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1926-2025</t>
        </is>
      </c>
      <c r="B109" s="1" t="n">
        <v>45671</v>
      </c>
      <c r="C109" s="1" t="n">
        <v>46204</v>
      </c>
      <c r="D109" t="inlineStr">
        <is>
          <t>VÄSTMANLANDS LÄN</t>
        </is>
      </c>
      <c r="E109" t="inlineStr">
        <is>
          <t>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65740-2021</t>
        </is>
      </c>
      <c r="B110" s="1" t="n">
        <v>44516</v>
      </c>
      <c r="C110" s="1" t="n">
        <v>46204</v>
      </c>
      <c r="D110" t="inlineStr">
        <is>
          <t>VÄSTMANLANDS LÄN</t>
        </is>
      </c>
      <c r="E110" t="inlineStr">
        <is>
          <t>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40502-2025</t>
        </is>
      </c>
      <c r="B111" s="1" t="n">
        <v>45896</v>
      </c>
      <c r="C111" s="1" t="n">
        <v>46204</v>
      </c>
      <c r="D111" t="inlineStr">
        <is>
          <t>VÄSTMANLANDS LÄN</t>
        </is>
      </c>
      <c r="E111" t="inlineStr">
        <is>
          <t>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21157-2025</t>
        </is>
      </c>
      <c r="B112" s="1" t="n">
        <v>45779</v>
      </c>
      <c r="C112" s="1" t="n">
        <v>46204</v>
      </c>
      <c r="D112" t="inlineStr">
        <is>
          <t>VÄSTMANLANDS LÄN</t>
        </is>
      </c>
      <c r="E112" t="inlineStr">
        <is>
          <t>KÖPING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8703-2024</t>
        </is>
      </c>
      <c r="B113" s="1" t="n">
        <v>45356</v>
      </c>
      <c r="C113" s="1" t="n">
        <v>46204</v>
      </c>
      <c r="D113" t="inlineStr">
        <is>
          <t>VÄSTMANLANDS LÄN</t>
        </is>
      </c>
      <c r="E113" t="inlineStr">
        <is>
          <t>KÖPING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53996-2021</t>
        </is>
      </c>
      <c r="B114" s="1" t="n">
        <v>44470</v>
      </c>
      <c r="C114" s="1" t="n">
        <v>46204</v>
      </c>
      <c r="D114" t="inlineStr">
        <is>
          <t>VÄSTMANLANDS LÄN</t>
        </is>
      </c>
      <c r="E114" t="inlineStr">
        <is>
          <t>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39646-2023</t>
        </is>
      </c>
      <c r="B115" s="1" t="n">
        <v>45166</v>
      </c>
      <c r="C115" s="1" t="n">
        <v>46204</v>
      </c>
      <c r="D115" t="inlineStr">
        <is>
          <t>VÄSTMANLANDS LÄN</t>
        </is>
      </c>
      <c r="E115" t="inlineStr">
        <is>
          <t>KÖPING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30139-2025</t>
        </is>
      </c>
      <c r="B116" s="1" t="n">
        <v>45826</v>
      </c>
      <c r="C116" s="1" t="n">
        <v>46204</v>
      </c>
      <c r="D116" t="inlineStr">
        <is>
          <t>VÄSTMANLANDS LÄN</t>
        </is>
      </c>
      <c r="E116" t="inlineStr">
        <is>
          <t>KÖPING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23791-2022</t>
        </is>
      </c>
      <c r="B117" s="1" t="n">
        <v>44722</v>
      </c>
      <c r="C117" s="1" t="n">
        <v>46204</v>
      </c>
      <c r="D117" t="inlineStr">
        <is>
          <t>VÄSTMANLANDS LÄN</t>
        </is>
      </c>
      <c r="E117" t="inlineStr">
        <is>
          <t>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51132-2023</t>
        </is>
      </c>
      <c r="B118" s="1" t="n">
        <v>45219</v>
      </c>
      <c r="C118" s="1" t="n">
        <v>46204</v>
      </c>
      <c r="D118" t="inlineStr">
        <is>
          <t>VÄSTMANLANDS LÄN</t>
        </is>
      </c>
      <c r="E118" t="inlineStr">
        <is>
          <t>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43183-2025</t>
        </is>
      </c>
      <c r="B119" s="1" t="n">
        <v>45910</v>
      </c>
      <c r="C119" s="1" t="n">
        <v>46204</v>
      </c>
      <c r="D119" t="inlineStr">
        <is>
          <t>VÄSTMANLANDS LÄN</t>
        </is>
      </c>
      <c r="E119" t="inlineStr">
        <is>
          <t>KÖPING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43192-2025</t>
        </is>
      </c>
      <c r="B120" s="1" t="n">
        <v>45910</v>
      </c>
      <c r="C120" s="1" t="n">
        <v>46204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43187-2025</t>
        </is>
      </c>
      <c r="B121" s="1" t="n">
        <v>45910</v>
      </c>
      <c r="C121" s="1" t="n">
        <v>46204</v>
      </c>
      <c r="D121" t="inlineStr">
        <is>
          <t>VÄSTMANLANDS LÄN</t>
        </is>
      </c>
      <c r="E121" t="inlineStr">
        <is>
          <t>KÖPING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13041-2025</t>
        </is>
      </c>
      <c r="B122" s="1" t="n">
        <v>45734</v>
      </c>
      <c r="C122" s="1" t="n">
        <v>46204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36726-2025</t>
        </is>
      </c>
      <c r="B123" s="1" t="n">
        <v>45873</v>
      </c>
      <c r="C123" s="1" t="n">
        <v>46204</v>
      </c>
      <c r="D123" t="inlineStr">
        <is>
          <t>VÄSTMANLANDS LÄN</t>
        </is>
      </c>
      <c r="E123" t="inlineStr">
        <is>
          <t>KÖPING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17295-2023</t>
        </is>
      </c>
      <c r="B124" s="1" t="n">
        <v>45035</v>
      </c>
      <c r="C124" s="1" t="n">
        <v>46204</v>
      </c>
      <c r="D124" t="inlineStr">
        <is>
          <t>VÄSTMANLANDS LÄN</t>
        </is>
      </c>
      <c r="E124" t="inlineStr">
        <is>
          <t>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44171-2025</t>
        </is>
      </c>
      <c r="B125" s="1" t="n">
        <v>45915</v>
      </c>
      <c r="C125" s="1" t="n">
        <v>46204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45714-2021</t>
        </is>
      </c>
      <c r="B126" s="1" t="n">
        <v>44441</v>
      </c>
      <c r="C126" s="1" t="n">
        <v>46204</v>
      </c>
      <c r="D126" t="inlineStr">
        <is>
          <t>VÄSTMANLANDS LÄN</t>
        </is>
      </c>
      <c r="E126" t="inlineStr">
        <is>
          <t>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41472-2024</t>
        </is>
      </c>
      <c r="B127" s="1" t="n">
        <v>45560</v>
      </c>
      <c r="C127" s="1" t="n">
        <v>46204</v>
      </c>
      <c r="D127" t="inlineStr">
        <is>
          <t>VÄSTMANLANDS LÄN</t>
        </is>
      </c>
      <c r="E127" t="inlineStr">
        <is>
          <t>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47681-2025</t>
        </is>
      </c>
      <c r="B128" s="1" t="n">
        <v>45931</v>
      </c>
      <c r="C128" s="1" t="n">
        <v>46204</v>
      </c>
      <c r="D128" t="inlineStr">
        <is>
          <t>VÄSTMANLANDS LÄN</t>
        </is>
      </c>
      <c r="E128" t="inlineStr">
        <is>
          <t>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47576-2025</t>
        </is>
      </c>
      <c r="B129" s="1" t="n">
        <v>45931</v>
      </c>
      <c r="C129" s="1" t="n">
        <v>46204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28230-2023</t>
        </is>
      </c>
      <c r="B130" s="1" t="n">
        <v>45099</v>
      </c>
      <c r="C130" s="1" t="n">
        <v>46204</v>
      </c>
      <c r="D130" t="inlineStr">
        <is>
          <t>VÄSTMANLANDS LÄN</t>
        </is>
      </c>
      <c r="E130" t="inlineStr">
        <is>
          <t>KÖPING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48978-2025</t>
        </is>
      </c>
      <c r="B131" s="1" t="n">
        <v>45937</v>
      </c>
      <c r="C131" s="1" t="n">
        <v>46204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48979-2025</t>
        </is>
      </c>
      <c r="B132" s="1" t="n">
        <v>45937</v>
      </c>
      <c r="C132" s="1" t="n">
        <v>46204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64044-2023</t>
        </is>
      </c>
      <c r="B133" s="1" t="n">
        <v>45278</v>
      </c>
      <c r="C133" s="1" t="n">
        <v>46204</v>
      </c>
      <c r="D133" t="inlineStr">
        <is>
          <t>VÄSTMANLANDS LÄN</t>
        </is>
      </c>
      <c r="E133" t="inlineStr">
        <is>
          <t>KÖPING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17380-2023</t>
        </is>
      </c>
      <c r="B134" s="1" t="n">
        <v>45035</v>
      </c>
      <c r="C134" s="1" t="n">
        <v>46204</v>
      </c>
      <c r="D134" t="inlineStr">
        <is>
          <t>VÄSTMANLANDS LÄN</t>
        </is>
      </c>
      <c r="E134" t="inlineStr">
        <is>
          <t>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40693-2023</t>
        </is>
      </c>
      <c r="B135" s="1" t="n">
        <v>45170</v>
      </c>
      <c r="C135" s="1" t="n">
        <v>46204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54657-2023</t>
        </is>
      </c>
      <c r="B136" s="1" t="n">
        <v>45235</v>
      </c>
      <c r="C136" s="1" t="n">
        <v>46204</v>
      </c>
      <c r="D136" t="inlineStr">
        <is>
          <t>VÄSTMANLANDS LÄN</t>
        </is>
      </c>
      <c r="E136" t="inlineStr">
        <is>
          <t>KÖPING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13375-2026</t>
        </is>
      </c>
      <c r="B137" s="1" t="n">
        <v>46094</v>
      </c>
      <c r="C137" s="1" t="n">
        <v>46204</v>
      </c>
      <c r="D137" t="inlineStr">
        <is>
          <t>VÄSTMANLANDS LÄN</t>
        </is>
      </c>
      <c r="E137" t="inlineStr">
        <is>
          <t>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51407-2023</t>
        </is>
      </c>
      <c r="B138" s="1" t="n">
        <v>45219</v>
      </c>
      <c r="C138" s="1" t="n">
        <v>46204</v>
      </c>
      <c r="D138" t="inlineStr">
        <is>
          <t>VÄSTMANLANDS LÄN</t>
        </is>
      </c>
      <c r="E138" t="inlineStr">
        <is>
          <t>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23386-2023</t>
        </is>
      </c>
      <c r="B139" s="1" t="n">
        <v>45076</v>
      </c>
      <c r="C139" s="1" t="n">
        <v>46204</v>
      </c>
      <c r="D139" t="inlineStr">
        <is>
          <t>VÄSTMANLANDS LÄN</t>
        </is>
      </c>
      <c r="E139" t="inlineStr">
        <is>
          <t>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28374-2024</t>
        </is>
      </c>
      <c r="B140" s="1" t="n">
        <v>45477</v>
      </c>
      <c r="C140" s="1" t="n">
        <v>46204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43303-2022</t>
        </is>
      </c>
      <c r="B141" s="1" t="n">
        <v>44834</v>
      </c>
      <c r="C141" s="1" t="n">
        <v>46204</v>
      </c>
      <c r="D141" t="inlineStr">
        <is>
          <t>VÄSTMANLANDS LÄN</t>
        </is>
      </c>
      <c r="E141" t="inlineStr">
        <is>
          <t>KÖPING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65582-2021</t>
        </is>
      </c>
      <c r="B142" s="1" t="n">
        <v>44516</v>
      </c>
      <c r="C142" s="1" t="n">
        <v>46204</v>
      </c>
      <c r="D142" t="inlineStr">
        <is>
          <t>VÄSTMANLANDS LÄN</t>
        </is>
      </c>
      <c r="E142" t="inlineStr">
        <is>
          <t>KÖPING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44408-2022</t>
        </is>
      </c>
      <c r="B143" s="1" t="n">
        <v>44839</v>
      </c>
      <c r="C143" s="1" t="n">
        <v>46204</v>
      </c>
      <c r="D143" t="inlineStr">
        <is>
          <t>VÄSTMANLANDS LÄN</t>
        </is>
      </c>
      <c r="E143" t="inlineStr">
        <is>
          <t>KÖPING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30141-2022</t>
        </is>
      </c>
      <c r="B144" s="1" t="n">
        <v>44757</v>
      </c>
      <c r="C144" s="1" t="n">
        <v>46204</v>
      </c>
      <c r="D144" t="inlineStr">
        <is>
          <t>VÄSTMANLANDS LÄN</t>
        </is>
      </c>
      <c r="E144" t="inlineStr">
        <is>
          <t>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53351-2025</t>
        </is>
      </c>
      <c r="B145" s="1" t="n">
        <v>45959</v>
      </c>
      <c r="C145" s="1" t="n">
        <v>46204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15055-2026</t>
        </is>
      </c>
      <c r="B146" s="1" t="n">
        <v>46104</v>
      </c>
      <c r="C146" s="1" t="n">
        <v>46204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15053-2026</t>
        </is>
      </c>
      <c r="B147" s="1" t="n">
        <v>46104</v>
      </c>
      <c r="C147" s="1" t="n">
        <v>46204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55114-2025</t>
        </is>
      </c>
      <c r="B148" s="1" t="n">
        <v>45968</v>
      </c>
      <c r="C148" s="1" t="n">
        <v>46204</v>
      </c>
      <c r="D148" t="inlineStr">
        <is>
          <t>VÄSTMANLANDS LÄN</t>
        </is>
      </c>
      <c r="E148" t="inlineStr">
        <is>
          <t>KÖPING</t>
        </is>
      </c>
      <c r="G148" t="n">
        <v>15.5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44814-2023</t>
        </is>
      </c>
      <c r="B149" s="1" t="n">
        <v>45190</v>
      </c>
      <c r="C149" s="1" t="n">
        <v>46204</v>
      </c>
      <c r="D149" t="inlineStr">
        <is>
          <t>VÄSTMANLANDS LÄN</t>
        </is>
      </c>
      <c r="E149" t="inlineStr">
        <is>
          <t>KÖPING</t>
        </is>
      </c>
      <c r="G149" t="n">
        <v>24.2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56298-2025</t>
        </is>
      </c>
      <c r="B150" s="1" t="n">
        <v>45974</v>
      </c>
      <c r="C150" s="1" t="n">
        <v>46204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56301-2025</t>
        </is>
      </c>
      <c r="B151" s="1" t="n">
        <v>45974</v>
      </c>
      <c r="C151" s="1" t="n">
        <v>46204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56296-2025</t>
        </is>
      </c>
      <c r="B152" s="1" t="n">
        <v>45974</v>
      </c>
      <c r="C152" s="1" t="n">
        <v>46204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56294-2025</t>
        </is>
      </c>
      <c r="B153" s="1" t="n">
        <v>45974</v>
      </c>
      <c r="C153" s="1" t="n">
        <v>46204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33932-2024</t>
        </is>
      </c>
      <c r="B154" s="1" t="n">
        <v>45523</v>
      </c>
      <c r="C154" s="1" t="n">
        <v>46204</v>
      </c>
      <c r="D154" t="inlineStr">
        <is>
          <t>VÄSTMANLANDS LÄN</t>
        </is>
      </c>
      <c r="E154" t="inlineStr">
        <is>
          <t>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56936-2025</t>
        </is>
      </c>
      <c r="B155" s="1" t="n">
        <v>45978</v>
      </c>
      <c r="C155" s="1" t="n">
        <v>46204</v>
      </c>
      <c r="D155" t="inlineStr">
        <is>
          <t>VÄSTMANLANDS LÄN</t>
        </is>
      </c>
      <c r="E155" t="inlineStr">
        <is>
          <t>KÖPING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57048-2025</t>
        </is>
      </c>
      <c r="B156" s="1" t="n">
        <v>45979</v>
      </c>
      <c r="C156" s="1" t="n">
        <v>46204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57318-2025</t>
        </is>
      </c>
      <c r="B157" s="1" t="n">
        <v>45980</v>
      </c>
      <c r="C157" s="1" t="n">
        <v>46204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57572-2025</t>
        </is>
      </c>
      <c r="B158" s="1" t="n">
        <v>45980</v>
      </c>
      <c r="C158" s="1" t="n">
        <v>46204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58079-2025</t>
        </is>
      </c>
      <c r="B159" s="1" t="n">
        <v>45982</v>
      </c>
      <c r="C159" s="1" t="n">
        <v>46204</v>
      </c>
      <c r="D159" t="inlineStr">
        <is>
          <t>VÄSTMANLANDS LÄN</t>
        </is>
      </c>
      <c r="E159" t="inlineStr">
        <is>
          <t>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6948-2023</t>
        </is>
      </c>
      <c r="B160" s="1" t="n">
        <v>44967</v>
      </c>
      <c r="C160" s="1" t="n">
        <v>46204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13847-2025</t>
        </is>
      </c>
      <c r="B161" s="1" t="n">
        <v>45737</v>
      </c>
      <c r="C161" s="1" t="n">
        <v>46204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51190-2024</t>
        </is>
      </c>
      <c r="B162" s="1" t="n">
        <v>45603</v>
      </c>
      <c r="C162" s="1" t="n">
        <v>46204</v>
      </c>
      <c r="D162" t="inlineStr">
        <is>
          <t>VÄSTMANLANDS LÄN</t>
        </is>
      </c>
      <c r="E162" t="inlineStr">
        <is>
          <t>KÖPING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2071-2025</t>
        </is>
      </c>
      <c r="B163" s="1" t="n">
        <v>45672</v>
      </c>
      <c r="C163" s="1" t="n">
        <v>46204</v>
      </c>
      <c r="D163" t="inlineStr">
        <is>
          <t>VÄSTMANLANDS LÄN</t>
        </is>
      </c>
      <c r="E163" t="inlineStr">
        <is>
          <t>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44621-2023</t>
        </is>
      </c>
      <c r="B164" s="1" t="n">
        <v>45189</v>
      </c>
      <c r="C164" s="1" t="n">
        <v>46204</v>
      </c>
      <c r="D164" t="inlineStr">
        <is>
          <t>VÄSTMANLANDS LÄN</t>
        </is>
      </c>
      <c r="E164" t="inlineStr">
        <is>
          <t>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60963-2025</t>
        </is>
      </c>
      <c r="B165" s="1" t="n">
        <v>45999</v>
      </c>
      <c r="C165" s="1" t="n">
        <v>46204</v>
      </c>
      <c r="D165" t="inlineStr">
        <is>
          <t>VÄSTMANLANDS LÄN</t>
        </is>
      </c>
      <c r="E165" t="inlineStr">
        <is>
          <t>KÖPING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60830-2025</t>
        </is>
      </c>
      <c r="B166" s="1" t="n">
        <v>45999</v>
      </c>
      <c r="C166" s="1" t="n">
        <v>46204</v>
      </c>
      <c r="D166" t="inlineStr">
        <is>
          <t>VÄSTMANLANDS LÄN</t>
        </is>
      </c>
      <c r="E166" t="inlineStr">
        <is>
          <t>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30147-2022</t>
        </is>
      </c>
      <c r="B167" s="1" t="n">
        <v>44757</v>
      </c>
      <c r="C167" s="1" t="n">
        <v>46204</v>
      </c>
      <c r="D167" t="inlineStr">
        <is>
          <t>VÄSTMANLANDS LÄN</t>
        </is>
      </c>
      <c r="E167" t="inlineStr">
        <is>
          <t>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11034-2022</t>
        </is>
      </c>
      <c r="B168" s="1" t="n">
        <v>44628</v>
      </c>
      <c r="C168" s="1" t="n">
        <v>46204</v>
      </c>
      <c r="D168" t="inlineStr">
        <is>
          <t>VÄSTMANLANDS LÄN</t>
        </is>
      </c>
      <c r="E168" t="inlineStr">
        <is>
          <t>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23397-2026</t>
        </is>
      </c>
      <c r="B169" s="1" t="n">
        <v>46162</v>
      </c>
      <c r="C169" s="1" t="n">
        <v>46204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43567-2022</t>
        </is>
      </c>
      <c r="B170" s="1" t="n">
        <v>44837</v>
      </c>
      <c r="C170" s="1" t="n">
        <v>46204</v>
      </c>
      <c r="D170" t="inlineStr">
        <is>
          <t>VÄSTMANLANDS LÄN</t>
        </is>
      </c>
      <c r="E170" t="inlineStr">
        <is>
          <t>KÖPING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22793-2024</t>
        </is>
      </c>
      <c r="B171" s="1" t="n">
        <v>45448</v>
      </c>
      <c r="C171" s="1" t="n">
        <v>46204</v>
      </c>
      <c r="D171" t="inlineStr">
        <is>
          <t>VÄSTMANLANDS LÄN</t>
        </is>
      </c>
      <c r="E171" t="inlineStr">
        <is>
          <t>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46124-2022</t>
        </is>
      </c>
      <c r="B172" s="1" t="n">
        <v>44847</v>
      </c>
      <c r="C172" s="1" t="n">
        <v>46204</v>
      </c>
      <c r="D172" t="inlineStr">
        <is>
          <t>VÄSTMANLANDS LÄN</t>
        </is>
      </c>
      <c r="E172" t="inlineStr">
        <is>
          <t>KÖPING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62596-2025</t>
        </is>
      </c>
      <c r="B173" s="1" t="n">
        <v>46007</v>
      </c>
      <c r="C173" s="1" t="n">
        <v>46204</v>
      </c>
      <c r="D173" t="inlineStr">
        <is>
          <t>VÄSTMANLANDS LÄN</t>
        </is>
      </c>
      <c r="E173" t="inlineStr">
        <is>
          <t>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41815-2023</t>
        </is>
      </c>
      <c r="B174" s="1" t="n">
        <v>45176</v>
      </c>
      <c r="C174" s="1" t="n">
        <v>46204</v>
      </c>
      <c r="D174" t="inlineStr">
        <is>
          <t>VÄSTMANLANDS LÄN</t>
        </is>
      </c>
      <c r="E174" t="inlineStr">
        <is>
          <t>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68976-2021</t>
        </is>
      </c>
      <c r="B175" s="1" t="n">
        <v>44530</v>
      </c>
      <c r="C175" s="1" t="n">
        <v>46204</v>
      </c>
      <c r="D175" t="inlineStr">
        <is>
          <t>VÄSTMANLANDS LÄN</t>
        </is>
      </c>
      <c r="E175" t="inlineStr">
        <is>
          <t>KÖPING</t>
        </is>
      </c>
      <c r="G175" t="n">
        <v>13.1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23554-2026</t>
        </is>
      </c>
      <c r="B176" s="1" t="n">
        <v>46163</v>
      </c>
      <c r="C176" s="1" t="n">
        <v>46204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23559-2026</t>
        </is>
      </c>
      <c r="B177" s="1" t="n">
        <v>46163</v>
      </c>
      <c r="C177" s="1" t="n">
        <v>46204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63448-2025</t>
        </is>
      </c>
      <c r="B178" s="1" t="n">
        <v>46013</v>
      </c>
      <c r="C178" s="1" t="n">
        <v>46204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1290-2023</t>
        </is>
      </c>
      <c r="B179" s="1" t="n">
        <v>44936</v>
      </c>
      <c r="C179" s="1" t="n">
        <v>46204</v>
      </c>
      <c r="D179" t="inlineStr">
        <is>
          <t>VÄSTMANLANDS LÄN</t>
        </is>
      </c>
      <c r="E179" t="inlineStr">
        <is>
          <t>KÖPING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61322-2023</t>
        </is>
      </c>
      <c r="B180" s="1" t="n">
        <v>45264</v>
      </c>
      <c r="C180" s="1" t="n">
        <v>46204</v>
      </c>
      <c r="D180" t="inlineStr">
        <is>
          <t>VÄSTMANLANDS LÄN</t>
        </is>
      </c>
      <c r="E180" t="inlineStr">
        <is>
          <t>KÖPING</t>
        </is>
      </c>
      <c r="G180" t="n">
        <v>17.5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62449-2025</t>
        </is>
      </c>
      <c r="B181" s="1" t="n">
        <v>46007</v>
      </c>
      <c r="C181" s="1" t="n">
        <v>46204</v>
      </c>
      <c r="D181" t="inlineStr">
        <is>
          <t>VÄSTMANLANDS LÄN</t>
        </is>
      </c>
      <c r="E181" t="inlineStr">
        <is>
          <t>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23556-2026</t>
        </is>
      </c>
      <c r="B182" s="1" t="n">
        <v>46163</v>
      </c>
      <c r="C182" s="1" t="n">
        <v>46204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29934-2022</t>
        </is>
      </c>
      <c r="B183" s="1" t="n">
        <v>44757</v>
      </c>
      <c r="C183" s="1" t="n">
        <v>46204</v>
      </c>
      <c r="D183" t="inlineStr">
        <is>
          <t>VÄSTMANLANDS LÄN</t>
        </is>
      </c>
      <c r="E183" t="inlineStr">
        <is>
          <t>KÖPING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23656-2023</t>
        </is>
      </c>
      <c r="B184" s="1" t="n">
        <v>45077</v>
      </c>
      <c r="C184" s="1" t="n">
        <v>46204</v>
      </c>
      <c r="D184" t="inlineStr">
        <is>
          <t>VÄSTMANLANDS LÄN</t>
        </is>
      </c>
      <c r="E184" t="inlineStr">
        <is>
          <t>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23658-2023</t>
        </is>
      </c>
      <c r="B185" s="1" t="n">
        <v>45077</v>
      </c>
      <c r="C185" s="1" t="n">
        <v>46204</v>
      </c>
      <c r="D185" t="inlineStr">
        <is>
          <t>VÄSTMANLANDS LÄN</t>
        </is>
      </c>
      <c r="E185" t="inlineStr">
        <is>
          <t>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22881-2024</t>
        </is>
      </c>
      <c r="B186" s="1" t="n">
        <v>45448</v>
      </c>
      <c r="C186" s="1" t="n">
        <v>46204</v>
      </c>
      <c r="D186" t="inlineStr">
        <is>
          <t>VÄSTMANLANDS LÄN</t>
        </is>
      </c>
      <c r="E186" t="inlineStr">
        <is>
          <t>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15735-2024</t>
        </is>
      </c>
      <c r="B187" s="1" t="n">
        <v>45404</v>
      </c>
      <c r="C187" s="1" t="n">
        <v>46204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20395-2025</t>
        </is>
      </c>
      <c r="B188" s="1" t="n">
        <v>45775</v>
      </c>
      <c r="C188" s="1" t="n">
        <v>46204</v>
      </c>
      <c r="D188" t="inlineStr">
        <is>
          <t>VÄSTMANLANDS LÄN</t>
        </is>
      </c>
      <c r="E188" t="inlineStr">
        <is>
          <t>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39358-2024</t>
        </is>
      </c>
      <c r="B189" s="1" t="n">
        <v>45551</v>
      </c>
      <c r="C189" s="1" t="n">
        <v>46204</v>
      </c>
      <c r="D189" t="inlineStr">
        <is>
          <t>VÄSTMANLANDS LÄN</t>
        </is>
      </c>
      <c r="E189" t="inlineStr">
        <is>
          <t>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63241-2023</t>
        </is>
      </c>
      <c r="B190" s="1" t="n">
        <v>45273</v>
      </c>
      <c r="C190" s="1" t="n">
        <v>46204</v>
      </c>
      <c r="D190" t="inlineStr">
        <is>
          <t>VÄSTMANLANDS LÄN</t>
        </is>
      </c>
      <c r="E190" t="inlineStr">
        <is>
          <t>KÖPING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24482-2026</t>
        </is>
      </c>
      <c r="B191" s="1" t="n">
        <v>46170</v>
      </c>
      <c r="C191" s="1" t="n">
        <v>46204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4418-2026</t>
        </is>
      </c>
      <c r="B192" s="1" t="n">
        <v>46044</v>
      </c>
      <c r="C192" s="1" t="n">
        <v>46204</v>
      </c>
      <c r="D192" t="inlineStr">
        <is>
          <t>VÄSTMANLANDS LÄN</t>
        </is>
      </c>
      <c r="E192" t="inlineStr">
        <is>
          <t>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11220-2023</t>
        </is>
      </c>
      <c r="B193" s="1" t="n">
        <v>44988</v>
      </c>
      <c r="C193" s="1" t="n">
        <v>46204</v>
      </c>
      <c r="D193" t="inlineStr">
        <is>
          <t>VÄSTMANLANDS LÄN</t>
        </is>
      </c>
      <c r="E193" t="inlineStr">
        <is>
          <t>KÖPING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5711-2026</t>
        </is>
      </c>
      <c r="B194" s="1" t="n">
        <v>46051</v>
      </c>
      <c r="C194" s="1" t="n">
        <v>46204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5710-2026</t>
        </is>
      </c>
      <c r="B195" s="1" t="n">
        <v>46051</v>
      </c>
      <c r="C195" s="1" t="n">
        <v>46204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24488-2026</t>
        </is>
      </c>
      <c r="B196" s="1" t="n">
        <v>46170</v>
      </c>
      <c r="C196" s="1" t="n">
        <v>46204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16430-2022</t>
        </is>
      </c>
      <c r="B197" s="1" t="n">
        <v>44671</v>
      </c>
      <c r="C197" s="1" t="n">
        <v>46204</v>
      </c>
      <c r="D197" t="inlineStr">
        <is>
          <t>VÄSTMANLANDS LÄN</t>
        </is>
      </c>
      <c r="E197" t="inlineStr">
        <is>
          <t>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24302-2026</t>
        </is>
      </c>
      <c r="B198" s="1" t="n">
        <v>46169</v>
      </c>
      <c r="C198" s="1" t="n">
        <v>46204</v>
      </c>
      <c r="D198" t="inlineStr">
        <is>
          <t>VÄSTMANLANDS LÄN</t>
        </is>
      </c>
      <c r="E198" t="inlineStr">
        <is>
          <t>KÖPING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57514-2022</t>
        </is>
      </c>
      <c r="B199" s="1" t="n">
        <v>44896</v>
      </c>
      <c r="C199" s="1" t="n">
        <v>46204</v>
      </c>
      <c r="D199" t="inlineStr">
        <is>
          <t>VÄSTMANLANDS LÄN</t>
        </is>
      </c>
      <c r="E199" t="inlineStr">
        <is>
          <t>KÖPING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52799-2021</t>
        </is>
      </c>
      <c r="B200" s="1" t="n">
        <v>44467</v>
      </c>
      <c r="C200" s="1" t="n">
        <v>46204</v>
      </c>
      <c r="D200" t="inlineStr">
        <is>
          <t>VÄSTMANLANDS LÄN</t>
        </is>
      </c>
      <c r="E200" t="inlineStr">
        <is>
          <t>KÖPING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57760-2022</t>
        </is>
      </c>
      <c r="B201" s="1" t="n">
        <v>44897</v>
      </c>
      <c r="C201" s="1" t="n">
        <v>46204</v>
      </c>
      <c r="D201" t="inlineStr">
        <is>
          <t>VÄSTMANLANDS LÄN</t>
        </is>
      </c>
      <c r="E201" t="inlineStr">
        <is>
          <t>KÖPING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23399-2026</t>
        </is>
      </c>
      <c r="B202" s="1" t="n">
        <v>46162</v>
      </c>
      <c r="C202" s="1" t="n">
        <v>46204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17204-2023</t>
        </is>
      </c>
      <c r="B203" s="1" t="n">
        <v>45034</v>
      </c>
      <c r="C203" s="1" t="n">
        <v>46204</v>
      </c>
      <c r="D203" t="inlineStr">
        <is>
          <t>VÄSTMANLANDS LÄN</t>
        </is>
      </c>
      <c r="E203" t="inlineStr">
        <is>
          <t>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18785-2025</t>
        </is>
      </c>
      <c r="B204" s="1" t="n">
        <v>45764</v>
      </c>
      <c r="C204" s="1" t="n">
        <v>46204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18787-2025</t>
        </is>
      </c>
      <c r="B205" s="1" t="n">
        <v>45764</v>
      </c>
      <c r="C205" s="1" t="n">
        <v>46204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37660-2022</t>
        </is>
      </c>
      <c r="B206" s="1" t="n">
        <v>44810</v>
      </c>
      <c r="C206" s="1" t="n">
        <v>46204</v>
      </c>
      <c r="D206" t="inlineStr">
        <is>
          <t>VÄSTMANLANDS LÄN</t>
        </is>
      </c>
      <c r="E206" t="inlineStr">
        <is>
          <t>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37776-2022</t>
        </is>
      </c>
      <c r="B207" s="1" t="n">
        <v>44810</v>
      </c>
      <c r="C207" s="1" t="n">
        <v>46204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29749-2022</t>
        </is>
      </c>
      <c r="B208" s="1" t="n">
        <v>44755</v>
      </c>
      <c r="C208" s="1" t="n">
        <v>46204</v>
      </c>
      <c r="D208" t="inlineStr">
        <is>
          <t>VÄSTMANLANDS LÄN</t>
        </is>
      </c>
      <c r="E208" t="inlineStr">
        <is>
          <t>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37669-2023</t>
        </is>
      </c>
      <c r="B209" s="1" t="n">
        <v>45159</v>
      </c>
      <c r="C209" s="1" t="n">
        <v>46204</v>
      </c>
      <c r="D209" t="inlineStr">
        <is>
          <t>VÄSTMANLANDS LÄN</t>
        </is>
      </c>
      <c r="E209" t="inlineStr">
        <is>
          <t>KÖPING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25818-2026</t>
        </is>
      </c>
      <c r="B210" s="1" t="n">
        <v>46178</v>
      </c>
      <c r="C210" s="1" t="n">
        <v>46204</v>
      </c>
      <c r="D210" t="inlineStr">
        <is>
          <t>VÄSTMANLANDS LÄN</t>
        </is>
      </c>
      <c r="E210" t="inlineStr">
        <is>
          <t>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25815-2026</t>
        </is>
      </c>
      <c r="B211" s="1" t="n">
        <v>46178</v>
      </c>
      <c r="C211" s="1" t="n">
        <v>46204</v>
      </c>
      <c r="D211" t="inlineStr">
        <is>
          <t>VÄSTMANLANDS LÄN</t>
        </is>
      </c>
      <c r="E211" t="inlineStr">
        <is>
          <t>KÖPING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25819-2026</t>
        </is>
      </c>
      <c r="B212" s="1" t="n">
        <v>46178</v>
      </c>
      <c r="C212" s="1" t="n">
        <v>46204</v>
      </c>
      <c r="D212" t="inlineStr">
        <is>
          <t>VÄSTMANLANDS LÄN</t>
        </is>
      </c>
      <c r="E212" t="inlineStr">
        <is>
          <t>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55835-2021</t>
        </is>
      </c>
      <c r="B213" s="1" t="n">
        <v>44476</v>
      </c>
      <c r="C213" s="1" t="n">
        <v>46204</v>
      </c>
      <c r="D213" t="inlineStr">
        <is>
          <t>VÄSTMANLANDS LÄN</t>
        </is>
      </c>
      <c r="E213" t="inlineStr">
        <is>
          <t>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51412-2023</t>
        </is>
      </c>
      <c r="B214" s="1" t="n">
        <v>45219</v>
      </c>
      <c r="C214" s="1" t="n">
        <v>46204</v>
      </c>
      <c r="D214" t="inlineStr">
        <is>
          <t>VÄSTMANLANDS LÄN</t>
        </is>
      </c>
      <c r="E214" t="inlineStr">
        <is>
          <t>KÖPING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51119-2023</t>
        </is>
      </c>
      <c r="B215" s="1" t="n">
        <v>45219</v>
      </c>
      <c r="C215" s="1" t="n">
        <v>46204</v>
      </c>
      <c r="D215" t="inlineStr">
        <is>
          <t>VÄSTMANLANDS LÄN</t>
        </is>
      </c>
      <c r="E215" t="inlineStr">
        <is>
          <t>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36409-2023</t>
        </is>
      </c>
      <c r="B216" s="1" t="n">
        <v>45152</v>
      </c>
      <c r="C216" s="1" t="n">
        <v>46204</v>
      </c>
      <c r="D216" t="inlineStr">
        <is>
          <t>VÄSTMANLANDS LÄN</t>
        </is>
      </c>
      <c r="E216" t="inlineStr">
        <is>
          <t>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61339-2023</t>
        </is>
      </c>
      <c r="B217" s="1" t="n">
        <v>45264</v>
      </c>
      <c r="C217" s="1" t="n">
        <v>46204</v>
      </c>
      <c r="D217" t="inlineStr">
        <is>
          <t>VÄSTMANLANDS LÄN</t>
        </is>
      </c>
      <c r="E217" t="inlineStr">
        <is>
          <t>KÖPING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50045-2021</t>
        </is>
      </c>
      <c r="B218" s="1" t="n">
        <v>44456</v>
      </c>
      <c r="C218" s="1" t="n">
        <v>46204</v>
      </c>
      <c r="D218" t="inlineStr">
        <is>
          <t>VÄSTMANLANDS LÄN</t>
        </is>
      </c>
      <c r="E218" t="inlineStr">
        <is>
          <t>KÖPING</t>
        </is>
      </c>
      <c r="F218" t="inlineStr">
        <is>
          <t>Allmännings- och besparingsskogar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25662-2024</t>
        </is>
      </c>
      <c r="B219" s="1" t="n">
        <v>45463</v>
      </c>
      <c r="C219" s="1" t="n">
        <v>46204</v>
      </c>
      <c r="D219" t="inlineStr">
        <is>
          <t>VÄSTMANLANDS LÄN</t>
        </is>
      </c>
      <c r="E219" t="inlineStr">
        <is>
          <t>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25798-2026</t>
        </is>
      </c>
      <c r="B220" s="1" t="n">
        <v>46178</v>
      </c>
      <c r="C220" s="1" t="n">
        <v>46204</v>
      </c>
      <c r="D220" t="inlineStr">
        <is>
          <t>VÄSTMANLANDS LÄN</t>
        </is>
      </c>
      <c r="E220" t="inlineStr">
        <is>
          <t>KÖPING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25812-2026</t>
        </is>
      </c>
      <c r="B221" s="1" t="n">
        <v>46178</v>
      </c>
      <c r="C221" s="1" t="n">
        <v>46204</v>
      </c>
      <c r="D221" t="inlineStr">
        <is>
          <t>VÄSTMANLANDS LÄN</t>
        </is>
      </c>
      <c r="E221" t="inlineStr">
        <is>
          <t>KÖPING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13049-2025</t>
        </is>
      </c>
      <c r="B222" s="1" t="n">
        <v>45734</v>
      </c>
      <c r="C222" s="1" t="n">
        <v>46204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19593-2025</t>
        </is>
      </c>
      <c r="B223" s="1" t="n">
        <v>45770</v>
      </c>
      <c r="C223" s="1" t="n">
        <v>46204</v>
      </c>
      <c r="D223" t="inlineStr">
        <is>
          <t>VÄSTMANLANDS LÄN</t>
        </is>
      </c>
      <c r="E223" t="inlineStr">
        <is>
          <t>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29317-2022</t>
        </is>
      </c>
      <c r="B224" s="1" t="n">
        <v>44751</v>
      </c>
      <c r="C224" s="1" t="n">
        <v>46204</v>
      </c>
      <c r="D224" t="inlineStr">
        <is>
          <t>VÄSTMANLANDS LÄN</t>
        </is>
      </c>
      <c r="E224" t="inlineStr">
        <is>
          <t>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38844-2024</t>
        </is>
      </c>
      <c r="B225" s="1" t="n">
        <v>45547</v>
      </c>
      <c r="C225" s="1" t="n">
        <v>46204</v>
      </c>
      <c r="D225" t="inlineStr">
        <is>
          <t>VÄSTMANLANDS LÄN</t>
        </is>
      </c>
      <c r="E225" t="inlineStr">
        <is>
          <t>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15551-2024</t>
        </is>
      </c>
      <c r="B226" s="1" t="n">
        <v>45401</v>
      </c>
      <c r="C226" s="1" t="n">
        <v>46204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199-2025</t>
        </is>
      </c>
      <c r="B227" s="1" t="n">
        <v>45659</v>
      </c>
      <c r="C227" s="1" t="n">
        <v>46204</v>
      </c>
      <c r="D227" t="inlineStr">
        <is>
          <t>VÄSTMANLANDS LÄN</t>
        </is>
      </c>
      <c r="E227" t="inlineStr">
        <is>
          <t>KÖPING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38852-2025</t>
        </is>
      </c>
      <c r="B228" s="1" t="n">
        <v>45887</v>
      </c>
      <c r="C228" s="1" t="n">
        <v>46204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25820-2026</t>
        </is>
      </c>
      <c r="B229" s="1" t="n">
        <v>46178</v>
      </c>
      <c r="C229" s="1" t="n">
        <v>46204</v>
      </c>
      <c r="D229" t="inlineStr">
        <is>
          <t>VÄSTMANLANDS LÄN</t>
        </is>
      </c>
      <c r="E229" t="inlineStr">
        <is>
          <t>KÖPING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72463-2021</t>
        </is>
      </c>
      <c r="B230" s="1" t="n">
        <v>44545</v>
      </c>
      <c r="C230" s="1" t="n">
        <v>46204</v>
      </c>
      <c r="D230" t="inlineStr">
        <is>
          <t>VÄSTMANLANDS LÄN</t>
        </is>
      </c>
      <c r="E230" t="inlineStr">
        <is>
          <t>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54867-2024</t>
        </is>
      </c>
      <c r="B231" s="1" t="n">
        <v>45618</v>
      </c>
      <c r="C231" s="1" t="n">
        <v>46204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11.1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45684-2024</t>
        </is>
      </c>
      <c r="B232" s="1" t="n">
        <v>45579</v>
      </c>
      <c r="C232" s="1" t="n">
        <v>46204</v>
      </c>
      <c r="D232" t="inlineStr">
        <is>
          <t>VÄSTMANLANDS LÄN</t>
        </is>
      </c>
      <c r="E232" t="inlineStr">
        <is>
          <t>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1812-2022</t>
        </is>
      </c>
      <c r="B233" s="1" t="n">
        <v>44574</v>
      </c>
      <c r="C233" s="1" t="n">
        <v>46204</v>
      </c>
      <c r="D233" t="inlineStr">
        <is>
          <t>VÄSTMANLANDS LÄN</t>
        </is>
      </c>
      <c r="E233" t="inlineStr">
        <is>
          <t>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26327-2026</t>
        </is>
      </c>
      <c r="B234" s="1" t="n">
        <v>46182</v>
      </c>
      <c r="C234" s="1" t="n">
        <v>46204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26328-2026</t>
        </is>
      </c>
      <c r="B235" s="1" t="n">
        <v>46182</v>
      </c>
      <c r="C235" s="1" t="n">
        <v>46204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32029-2024</t>
        </is>
      </c>
      <c r="B236" s="1" t="n">
        <v>45510</v>
      </c>
      <c r="C236" s="1" t="n">
        <v>46204</v>
      </c>
      <c r="D236" t="inlineStr">
        <is>
          <t>VÄSTMANLANDS LÄN</t>
        </is>
      </c>
      <c r="E236" t="inlineStr">
        <is>
          <t>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44616-2023</t>
        </is>
      </c>
      <c r="B237" s="1" t="n">
        <v>45189</v>
      </c>
      <c r="C237" s="1" t="n">
        <v>46204</v>
      </c>
      <c r="D237" t="inlineStr">
        <is>
          <t>VÄSTMANLANDS LÄN</t>
        </is>
      </c>
      <c r="E237" t="inlineStr">
        <is>
          <t>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20713-2026</t>
        </is>
      </c>
      <c r="B238" s="1" t="n">
        <v>46141</v>
      </c>
      <c r="C238" s="1" t="n">
        <v>46204</v>
      </c>
      <c r="D238" t="inlineStr">
        <is>
          <t>VÄSTMANLANDS LÄN</t>
        </is>
      </c>
      <c r="E238" t="inlineStr">
        <is>
          <t>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26332-2026</t>
        </is>
      </c>
      <c r="B239" s="1" t="n">
        <v>46182</v>
      </c>
      <c r="C239" s="1" t="n">
        <v>46204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36476-2024</t>
        </is>
      </c>
      <c r="B240" s="1" t="n">
        <v>45537</v>
      </c>
      <c r="C240" s="1" t="n">
        <v>46204</v>
      </c>
      <c r="D240" t="inlineStr">
        <is>
          <t>VÄSTMANLANDS LÄN</t>
        </is>
      </c>
      <c r="E240" t="inlineStr">
        <is>
          <t>KÖPING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51409-2023</t>
        </is>
      </c>
      <c r="B241" s="1" t="n">
        <v>45219</v>
      </c>
      <c r="C241" s="1" t="n">
        <v>46204</v>
      </c>
      <c r="D241" t="inlineStr">
        <is>
          <t>VÄSTMANLANDS LÄN</t>
        </is>
      </c>
      <c r="E241" t="inlineStr">
        <is>
          <t>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26945-2026</t>
        </is>
      </c>
      <c r="B242" s="1" t="n">
        <v>46185</v>
      </c>
      <c r="C242" s="1" t="n">
        <v>46204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26948-2026</t>
        </is>
      </c>
      <c r="B243" s="1" t="n">
        <v>46185</v>
      </c>
      <c r="C243" s="1" t="n">
        <v>46204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40690-2023</t>
        </is>
      </c>
      <c r="B244" s="1" t="n">
        <v>45170</v>
      </c>
      <c r="C244" s="1" t="n">
        <v>46204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39836-2024</t>
        </is>
      </c>
      <c r="B245" s="1" t="n">
        <v>45553</v>
      </c>
      <c r="C245" s="1" t="n">
        <v>46204</v>
      </c>
      <c r="D245" t="inlineStr">
        <is>
          <t>VÄSTMANLANDS LÄN</t>
        </is>
      </c>
      <c r="E245" t="inlineStr">
        <is>
          <t>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14114-2024</t>
        </is>
      </c>
      <c r="B246" s="1" t="n">
        <v>45392</v>
      </c>
      <c r="C246" s="1" t="n">
        <v>46204</v>
      </c>
      <c r="D246" t="inlineStr">
        <is>
          <t>VÄSTMANLANDS LÄN</t>
        </is>
      </c>
      <c r="E246" t="inlineStr">
        <is>
          <t>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60485-2022</t>
        </is>
      </c>
      <c r="B247" s="1" t="n">
        <v>44911</v>
      </c>
      <c r="C247" s="1" t="n">
        <v>46204</v>
      </c>
      <c r="D247" t="inlineStr">
        <is>
          <t>VÄSTMANLANDS LÄN</t>
        </is>
      </c>
      <c r="E247" t="inlineStr">
        <is>
          <t>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15657-2023</t>
        </is>
      </c>
      <c r="B248" s="1" t="n">
        <v>45021</v>
      </c>
      <c r="C248" s="1" t="n">
        <v>46204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14062-2024</t>
        </is>
      </c>
      <c r="B249" s="1" t="n">
        <v>45392</v>
      </c>
      <c r="C249" s="1" t="n">
        <v>46204</v>
      </c>
      <c r="D249" t="inlineStr">
        <is>
          <t>VÄSTMANLANDS LÄN</t>
        </is>
      </c>
      <c r="E249" t="inlineStr">
        <is>
          <t>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10948-2024</t>
        </is>
      </c>
      <c r="B250" s="1" t="n">
        <v>45370</v>
      </c>
      <c r="C250" s="1" t="n">
        <v>46204</v>
      </c>
      <c r="D250" t="inlineStr">
        <is>
          <t>VÄSTMANLANDS LÄN</t>
        </is>
      </c>
      <c r="E250" t="inlineStr">
        <is>
          <t>KÖPING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10979-2024</t>
        </is>
      </c>
      <c r="B251" s="1" t="n">
        <v>45370</v>
      </c>
      <c r="C251" s="1" t="n">
        <v>46204</v>
      </c>
      <c r="D251" t="inlineStr">
        <is>
          <t>VÄSTMANLANDS LÄN</t>
        </is>
      </c>
      <c r="E251" t="inlineStr">
        <is>
          <t>KÖPING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20151-2023</t>
        </is>
      </c>
      <c r="B252" s="1" t="n">
        <v>45051</v>
      </c>
      <c r="C252" s="1" t="n">
        <v>46204</v>
      </c>
      <c r="D252" t="inlineStr">
        <is>
          <t>VÄSTMANLANDS LÄN</t>
        </is>
      </c>
      <c r="E252" t="inlineStr">
        <is>
          <t>KÖPING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10750-2023</t>
        </is>
      </c>
      <c r="B253" s="1" t="n">
        <v>44985</v>
      </c>
      <c r="C253" s="1" t="n">
        <v>46204</v>
      </c>
      <c r="D253" t="inlineStr">
        <is>
          <t>VÄSTMANLANDS LÄN</t>
        </is>
      </c>
      <c r="E253" t="inlineStr">
        <is>
          <t>KÖPING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18799-2025</t>
        </is>
      </c>
      <c r="B254" s="1" t="n">
        <v>45764</v>
      </c>
      <c r="C254" s="1" t="n">
        <v>46204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38055-2023</t>
        </is>
      </c>
      <c r="B255" s="1" t="n">
        <v>45160</v>
      </c>
      <c r="C255" s="1" t="n">
        <v>46204</v>
      </c>
      <c r="D255" t="inlineStr">
        <is>
          <t>VÄSTMANLANDS LÄN</t>
        </is>
      </c>
      <c r="E255" t="inlineStr">
        <is>
          <t>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37751-2022</t>
        </is>
      </c>
      <c r="B256" s="1" t="n">
        <v>44810</v>
      </c>
      <c r="C256" s="1" t="n">
        <v>46204</v>
      </c>
      <c r="D256" t="inlineStr">
        <is>
          <t>VÄSTMANLANDS LÄN</t>
        </is>
      </c>
      <c r="E256" t="inlineStr">
        <is>
          <t>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27891-2023</t>
        </is>
      </c>
      <c r="B257" s="1" t="n">
        <v>45098</v>
      </c>
      <c r="C257" s="1" t="n">
        <v>46204</v>
      </c>
      <c r="D257" t="inlineStr">
        <is>
          <t>VÄSTMANLANDS LÄN</t>
        </is>
      </c>
      <c r="E257" t="inlineStr">
        <is>
          <t>KÖPING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9303-2024</t>
        </is>
      </c>
      <c r="B258" s="1" t="n">
        <v>45358</v>
      </c>
      <c r="C258" s="1" t="n">
        <v>46204</v>
      </c>
      <c r="D258" t="inlineStr">
        <is>
          <t>VÄSTMANLANDS LÄN</t>
        </is>
      </c>
      <c r="E258" t="inlineStr">
        <is>
          <t>KÖPING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22402-2026</t>
        </is>
      </c>
      <c r="B259" s="1" t="n">
        <v>46154</v>
      </c>
      <c r="C259" s="1" t="n">
        <v>46204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28357-2026</t>
        </is>
      </c>
      <c r="B260" s="1" t="n">
        <v>46196</v>
      </c>
      <c r="C260" s="1" t="n">
        <v>46204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22457-2026</t>
        </is>
      </c>
      <c r="B261" s="1" t="n">
        <v>46155</v>
      </c>
      <c r="C261" s="1" t="n">
        <v>46204</v>
      </c>
      <c r="D261" t="inlineStr">
        <is>
          <t>VÄSTMANLANDS LÄN</t>
        </is>
      </c>
      <c r="E261" t="inlineStr">
        <is>
          <t>KÖPING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3508-2025</t>
        </is>
      </c>
      <c r="B262" s="1" t="n">
        <v>45680</v>
      </c>
      <c r="C262" s="1" t="n">
        <v>46204</v>
      </c>
      <c r="D262" t="inlineStr">
        <is>
          <t>VÄSTMANLANDS LÄN</t>
        </is>
      </c>
      <c r="E262" t="inlineStr">
        <is>
          <t>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28353-2026</t>
        </is>
      </c>
      <c r="B263" s="1" t="n">
        <v>46196</v>
      </c>
      <c r="C263" s="1" t="n">
        <v>46204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22403-2026</t>
        </is>
      </c>
      <c r="B264" s="1" t="n">
        <v>46154</v>
      </c>
      <c r="C264" s="1" t="n">
        <v>46204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28937-2024</t>
        </is>
      </c>
      <c r="B265" s="1" t="n">
        <v>45480</v>
      </c>
      <c r="C265" s="1" t="n">
        <v>46204</v>
      </c>
      <c r="D265" t="inlineStr">
        <is>
          <t>VÄSTMANLANDS LÄN</t>
        </is>
      </c>
      <c r="E265" t="inlineStr">
        <is>
          <t>KÖPING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61358-2023</t>
        </is>
      </c>
      <c r="B266" s="1" t="n">
        <v>45264</v>
      </c>
      <c r="C266" s="1" t="n">
        <v>46204</v>
      </c>
      <c r="D266" t="inlineStr">
        <is>
          <t>VÄSTMANLANDS LÄN</t>
        </is>
      </c>
      <c r="E266" t="inlineStr">
        <is>
          <t>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22750-2026</t>
        </is>
      </c>
      <c r="B267" s="1" t="n">
        <v>46157</v>
      </c>
      <c r="C267" s="1" t="n">
        <v>46204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22749-2026</t>
        </is>
      </c>
      <c r="B268" s="1" t="n">
        <v>46157</v>
      </c>
      <c r="C268" s="1" t="n">
        <v>46204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59735-2022</t>
        </is>
      </c>
      <c r="B269" s="1" t="n">
        <v>44908</v>
      </c>
      <c r="C269" s="1" t="n">
        <v>46204</v>
      </c>
      <c r="D269" t="inlineStr">
        <is>
          <t>VÄSTMANLANDS LÄN</t>
        </is>
      </c>
      <c r="E269" t="inlineStr">
        <is>
          <t>KÖPING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23389-2023</t>
        </is>
      </c>
      <c r="B270" s="1" t="n">
        <v>45076</v>
      </c>
      <c r="C270" s="1" t="n">
        <v>46204</v>
      </c>
      <c r="D270" t="inlineStr">
        <is>
          <t>VÄSTMANLANDS LÄN</t>
        </is>
      </c>
      <c r="E270" t="inlineStr">
        <is>
          <t>KÖPING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2854-2022</t>
        </is>
      </c>
      <c r="B271" s="1" t="n">
        <v>44581</v>
      </c>
      <c r="C271" s="1" t="n">
        <v>46204</v>
      </c>
      <c r="D271" t="inlineStr">
        <is>
          <t>VÄSTMANLANDS LÄN</t>
        </is>
      </c>
      <c r="E271" t="inlineStr">
        <is>
          <t>KÖPING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22866-2026</t>
        </is>
      </c>
      <c r="B272" s="1" t="n">
        <v>46160</v>
      </c>
      <c r="C272" s="1" t="n">
        <v>46204</v>
      </c>
      <c r="D272" t="inlineStr">
        <is>
          <t>VÄSTMANLANDS LÄN</t>
        </is>
      </c>
      <c r="E272" t="inlineStr">
        <is>
          <t>KÖPING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44370-2022</t>
        </is>
      </c>
      <c r="B273" s="1" t="n">
        <v>44839</v>
      </c>
      <c r="C273" s="1" t="n">
        <v>46204</v>
      </c>
      <c r="D273" t="inlineStr">
        <is>
          <t>VÄSTMANLANDS LÄN</t>
        </is>
      </c>
      <c r="E273" t="inlineStr">
        <is>
          <t>KÖPING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59724-2025</t>
        </is>
      </c>
      <c r="B274" s="1" t="n">
        <v>45992</v>
      </c>
      <c r="C274" s="1" t="n">
        <v>46204</v>
      </c>
      <c r="D274" t="inlineStr">
        <is>
          <t>VÄSTMANLANDS LÄN</t>
        </is>
      </c>
      <c r="E274" t="inlineStr">
        <is>
          <t>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23825-2023</t>
        </is>
      </c>
      <c r="B275" s="1" t="n">
        <v>45078</v>
      </c>
      <c r="C275" s="1" t="n">
        <v>46204</v>
      </c>
      <c r="D275" t="inlineStr">
        <is>
          <t>VÄSTMANLANDS LÄN</t>
        </is>
      </c>
      <c r="E275" t="inlineStr">
        <is>
          <t>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17816-2024</t>
        </is>
      </c>
      <c r="B276" s="1" t="n">
        <v>45418</v>
      </c>
      <c r="C276" s="1" t="n">
        <v>46204</v>
      </c>
      <c r="D276" t="inlineStr">
        <is>
          <t>VÄSTMANLANDS LÄN</t>
        </is>
      </c>
      <c r="E276" t="inlineStr">
        <is>
          <t>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25804-2022</t>
        </is>
      </c>
      <c r="B277" s="1" t="n">
        <v>44733</v>
      </c>
      <c r="C277" s="1" t="n">
        <v>46204</v>
      </c>
      <c r="D277" t="inlineStr">
        <is>
          <t>VÄSTMANLANDS LÄN</t>
        </is>
      </c>
      <c r="E277" t="inlineStr">
        <is>
          <t>KÖPING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63236-2023</t>
        </is>
      </c>
      <c r="B278" s="1" t="n">
        <v>45273</v>
      </c>
      <c r="C278" s="1" t="n">
        <v>46204</v>
      </c>
      <c r="D278" t="inlineStr">
        <is>
          <t>VÄSTMANLANDS LÄN</t>
        </is>
      </c>
      <c r="E278" t="inlineStr">
        <is>
          <t>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30079-2022</t>
        </is>
      </c>
      <c r="B279" s="1" t="n">
        <v>44757</v>
      </c>
      <c r="C279" s="1" t="n">
        <v>46204</v>
      </c>
      <c r="D279" t="inlineStr">
        <is>
          <t>VÄSTMANLANDS LÄN</t>
        </is>
      </c>
      <c r="E279" t="inlineStr">
        <is>
          <t>KÖPING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68714-2021</t>
        </is>
      </c>
      <c r="B280" s="1" t="n">
        <v>44529</v>
      </c>
      <c r="C280" s="1" t="n">
        <v>46204</v>
      </c>
      <c r="D280" t="inlineStr">
        <is>
          <t>VÄSTMANLANDS LÄN</t>
        </is>
      </c>
      <c r="E280" t="inlineStr">
        <is>
          <t>KÖPING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53061-2023</t>
        </is>
      </c>
      <c r="B281" s="1" t="n">
        <v>45227</v>
      </c>
      <c r="C281" s="1" t="n">
        <v>46204</v>
      </c>
      <c r="D281" t="inlineStr">
        <is>
          <t>VÄSTMANLANDS LÄN</t>
        </is>
      </c>
      <c r="E281" t="inlineStr">
        <is>
          <t>KÖPING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39332-2024</t>
        </is>
      </c>
      <c r="B282" s="1" t="n">
        <v>45551</v>
      </c>
      <c r="C282" s="1" t="n">
        <v>46204</v>
      </c>
      <c r="D282" t="inlineStr">
        <is>
          <t>VÄSTMANLANDS LÄN</t>
        </is>
      </c>
      <c r="E282" t="inlineStr">
        <is>
          <t>KÖPING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18361-2025</t>
        </is>
      </c>
      <c r="B283" s="1" t="n">
        <v>45762</v>
      </c>
      <c r="C283" s="1" t="n">
        <v>46204</v>
      </c>
      <c r="D283" t="inlineStr">
        <is>
          <t>VÄSTMANLANDS LÄN</t>
        </is>
      </c>
      <c r="E283" t="inlineStr">
        <is>
          <t>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44749-2021</t>
        </is>
      </c>
      <c r="B284" s="1" t="n">
        <v>44438</v>
      </c>
      <c r="C284" s="1" t="n">
        <v>46204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17345-2022</t>
        </is>
      </c>
      <c r="B285" s="1" t="n">
        <v>44678</v>
      </c>
      <c r="C285" s="1" t="n">
        <v>46204</v>
      </c>
      <c r="D285" t="inlineStr">
        <is>
          <t>VÄSTMANLANDS LÄN</t>
        </is>
      </c>
      <c r="E285" t="inlineStr">
        <is>
          <t>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42621-2021</t>
        </is>
      </c>
      <c r="B286" s="1" t="n">
        <v>44428</v>
      </c>
      <c r="C286" s="1" t="n">
        <v>46204</v>
      </c>
      <c r="D286" t="inlineStr">
        <is>
          <t>VÄSTMANLANDS LÄN</t>
        </is>
      </c>
      <c r="E286" t="inlineStr">
        <is>
          <t>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15158-2022</t>
        </is>
      </c>
      <c r="B287" s="1" t="n">
        <v>44658</v>
      </c>
      <c r="C287" s="1" t="n">
        <v>46204</v>
      </c>
      <c r="D287" t="inlineStr">
        <is>
          <t>VÄSTMANLANDS LÄN</t>
        </is>
      </c>
      <c r="E287" t="inlineStr">
        <is>
          <t>KÖPING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15162-2022</t>
        </is>
      </c>
      <c r="B288" s="1" t="n">
        <v>44658</v>
      </c>
      <c r="C288" s="1" t="n">
        <v>46204</v>
      </c>
      <c r="D288" t="inlineStr">
        <is>
          <t>VÄSTMANLANDS LÄN</t>
        </is>
      </c>
      <c r="E288" t="inlineStr">
        <is>
          <t>KÖPING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13043-2025</t>
        </is>
      </c>
      <c r="B289" s="1" t="n">
        <v>45734</v>
      </c>
      <c r="C289" s="1" t="n">
        <v>46204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63561-2021</t>
        </is>
      </c>
      <c r="B290" s="1" t="n">
        <v>44508</v>
      </c>
      <c r="C290" s="1" t="n">
        <v>46204</v>
      </c>
      <c r="D290" t="inlineStr">
        <is>
          <t>VÄSTMANLANDS LÄN</t>
        </is>
      </c>
      <c r="E290" t="inlineStr">
        <is>
          <t>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21163-2025</t>
        </is>
      </c>
      <c r="B291" s="1" t="n">
        <v>45779</v>
      </c>
      <c r="C291" s="1" t="n">
        <v>46204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51156-2024</t>
        </is>
      </c>
      <c r="B292" s="1" t="n">
        <v>45603</v>
      </c>
      <c r="C292" s="1" t="n">
        <v>46204</v>
      </c>
      <c r="D292" t="inlineStr">
        <is>
          <t>VÄSTMANLANDS LÄN</t>
        </is>
      </c>
      <c r="E292" t="inlineStr">
        <is>
          <t>KÖPING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21691-2025</t>
        </is>
      </c>
      <c r="B293" s="1" t="n">
        <v>45783</v>
      </c>
      <c r="C293" s="1" t="n">
        <v>46204</v>
      </c>
      <c r="D293" t="inlineStr">
        <is>
          <t>VÄSTMANLANDS LÄN</t>
        </is>
      </c>
      <c r="E293" t="inlineStr">
        <is>
          <t>KÖPING</t>
        </is>
      </c>
      <c r="G293" t="n">
        <v>10.1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1387-2025</t>
        </is>
      </c>
      <c r="B294" s="1" t="n">
        <v>45667</v>
      </c>
      <c r="C294" s="1" t="n">
        <v>46204</v>
      </c>
      <c r="D294" t="inlineStr">
        <is>
          <t>VÄSTMANLANDS LÄN</t>
        </is>
      </c>
      <c r="E294" t="inlineStr">
        <is>
          <t>KÖPING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57496-2024</t>
        </is>
      </c>
      <c r="B295" s="1" t="n">
        <v>45630</v>
      </c>
      <c r="C295" s="1" t="n">
        <v>46204</v>
      </c>
      <c r="D295" t="inlineStr">
        <is>
          <t>VÄSTMANLANDS LÄN</t>
        </is>
      </c>
      <c r="E295" t="inlineStr">
        <is>
          <t>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50409-2024</t>
        </is>
      </c>
      <c r="B296" s="1" t="n">
        <v>45601</v>
      </c>
      <c r="C296" s="1" t="n">
        <v>46204</v>
      </c>
      <c r="D296" t="inlineStr">
        <is>
          <t>VÄSTMANLANDS LÄN</t>
        </is>
      </c>
      <c r="E296" t="inlineStr">
        <is>
          <t>KÖPING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1360-2024</t>
        </is>
      </c>
      <c r="B297" s="1" t="n">
        <v>45303</v>
      </c>
      <c r="C297" s="1" t="n">
        <v>46204</v>
      </c>
      <c r="D297" t="inlineStr">
        <is>
          <t>VÄSTMANLANDS LÄN</t>
        </is>
      </c>
      <c r="E297" t="inlineStr">
        <is>
          <t>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895-2025</t>
        </is>
      </c>
      <c r="B298" s="1" t="n">
        <v>45665</v>
      </c>
      <c r="C298" s="1" t="n">
        <v>46204</v>
      </c>
      <c r="D298" t="inlineStr">
        <is>
          <t>VÄSTMANLANDS LÄN</t>
        </is>
      </c>
      <c r="E298" t="inlineStr">
        <is>
          <t>KÖPING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34436-2024</t>
        </is>
      </c>
      <c r="B299" s="1" t="n">
        <v>45525</v>
      </c>
      <c r="C299" s="1" t="n">
        <v>46204</v>
      </c>
      <c r="D299" t="inlineStr">
        <is>
          <t>VÄSTMANLANDS LÄN</t>
        </is>
      </c>
      <c r="E299" t="inlineStr">
        <is>
          <t>KÖPING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28902-2024</t>
        </is>
      </c>
      <c r="B300" s="1" t="n">
        <v>45480</v>
      </c>
      <c r="C300" s="1" t="n">
        <v>46204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857-2025</t>
        </is>
      </c>
      <c r="B301" s="1" t="n">
        <v>45665</v>
      </c>
      <c r="C301" s="1" t="n">
        <v>46204</v>
      </c>
      <c r="D301" t="inlineStr">
        <is>
          <t>VÄSTMANLANDS LÄN</t>
        </is>
      </c>
      <c r="E301" t="inlineStr">
        <is>
          <t>KÖPING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24481-2025</t>
        </is>
      </c>
      <c r="B302" s="1" t="n">
        <v>45798</v>
      </c>
      <c r="C302" s="1" t="n">
        <v>46204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24469-2025</t>
        </is>
      </c>
      <c r="B303" s="1" t="n">
        <v>45798</v>
      </c>
      <c r="C303" s="1" t="n">
        <v>46204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24471-2025</t>
        </is>
      </c>
      <c r="B304" s="1" t="n">
        <v>45798</v>
      </c>
      <c r="C304" s="1" t="n">
        <v>46204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28904-2024</t>
        </is>
      </c>
      <c r="B305" s="1" t="n">
        <v>45480</v>
      </c>
      <c r="C305" s="1" t="n">
        <v>46204</v>
      </c>
      <c r="D305" t="inlineStr">
        <is>
          <t>VÄSTMANLANDS LÄN</t>
        </is>
      </c>
      <c r="E305" t="inlineStr">
        <is>
          <t>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24472-2025</t>
        </is>
      </c>
      <c r="B306" s="1" t="n">
        <v>45798</v>
      </c>
      <c r="C306" s="1" t="n">
        <v>46204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24478-2025</t>
        </is>
      </c>
      <c r="B307" s="1" t="n">
        <v>45798</v>
      </c>
      <c r="C307" s="1" t="n">
        <v>46204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1440-2025</t>
        </is>
      </c>
      <c r="B308" s="1" t="n">
        <v>45669</v>
      </c>
      <c r="C308" s="1" t="n">
        <v>46204</v>
      </c>
      <c r="D308" t="inlineStr">
        <is>
          <t>VÄSTMANLANDS LÄN</t>
        </is>
      </c>
      <c r="E308" t="inlineStr">
        <is>
          <t>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24473-2025</t>
        </is>
      </c>
      <c r="B309" s="1" t="n">
        <v>45798</v>
      </c>
      <c r="C309" s="1" t="n">
        <v>46204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24477-2025</t>
        </is>
      </c>
      <c r="B310" s="1" t="n">
        <v>45798</v>
      </c>
      <c r="C310" s="1" t="n">
        <v>46204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24479-2025</t>
        </is>
      </c>
      <c r="B311" s="1" t="n">
        <v>45798</v>
      </c>
      <c r="C311" s="1" t="n">
        <v>46204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25543-2025</t>
        </is>
      </c>
      <c r="B312" s="1" t="n">
        <v>45803</v>
      </c>
      <c r="C312" s="1" t="n">
        <v>46204</v>
      </c>
      <c r="D312" t="inlineStr">
        <is>
          <t>VÄSTMANLANDS LÄN</t>
        </is>
      </c>
      <c r="E312" t="inlineStr">
        <is>
          <t>KÖPING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26839-2025</t>
        </is>
      </c>
      <c r="B313" s="1" t="n">
        <v>45810</v>
      </c>
      <c r="C313" s="1" t="n">
        <v>46204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27207-2025</t>
        </is>
      </c>
      <c r="B314" s="1" t="n">
        <v>45812</v>
      </c>
      <c r="C314" s="1" t="n">
        <v>46204</v>
      </c>
      <c r="D314" t="inlineStr">
        <is>
          <t>VÄSTMANLANDS LÄN</t>
        </is>
      </c>
      <c r="E314" t="inlineStr">
        <is>
          <t>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5225-2025</t>
        </is>
      </c>
      <c r="B315" s="1" t="n">
        <v>45691</v>
      </c>
      <c r="C315" s="1" t="n">
        <v>46204</v>
      </c>
      <c r="D315" t="inlineStr">
        <is>
          <t>VÄSTMANLANDS LÄN</t>
        </is>
      </c>
      <c r="E315" t="inlineStr">
        <is>
          <t>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28872-2025</t>
        </is>
      </c>
      <c r="B316" s="1" t="n">
        <v>45820</v>
      </c>
      <c r="C316" s="1" t="n">
        <v>46204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2026-07-01T00:58:52Z</dcterms:created>
  <dcterms:modified xmlns:dcterms="http://purl.org/dc/terms/" xmlns:xsi="http://www.w3.org/2001/XMLSchema-instance" xsi:type="dcterms:W3CDTF">2026-07-01T00:58:52Z</dcterms:modified>
</cp:coreProperties>
</file>