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45762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45762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45762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45762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45762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45762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45762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45762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45762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45762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45762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45762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45762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45762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45762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45762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45762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45762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45762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45762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45762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45762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45762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45762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68531-2020</t>
        </is>
      </c>
      <c r="B26" s="1" t="n">
        <v>44186</v>
      </c>
      <c r="C26" s="1" t="n">
        <v>45762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68531-2020 artfynd.xlsx", "A 68531-2020")</f>
        <v/>
      </c>
      <c r="T26">
        <f>HYPERLINK("https://klasma.github.io/Logging_1983/kartor/A 68531-2020 karta.png", "A 68531-2020")</f>
        <v/>
      </c>
      <c r="V26">
        <f>HYPERLINK("https://klasma.github.io/Logging_1983/klagomål/A 68531-2020 FSC-klagomål.docx", "A 68531-2020")</f>
        <v/>
      </c>
      <c r="W26">
        <f>HYPERLINK("https://klasma.github.io/Logging_1983/klagomålsmail/A 68531-2020 FSC-klagomål mail.docx", "A 68531-2020")</f>
        <v/>
      </c>
      <c r="X26">
        <f>HYPERLINK("https://klasma.github.io/Logging_1983/tillsyn/A 68531-2020 tillsynsbegäran.docx", "A 68531-2020")</f>
        <v/>
      </c>
      <c r="Y26">
        <f>HYPERLINK("https://klasma.github.io/Logging_1983/tillsynsmail/A 68531-2020 tillsynsbegäran mail.docx", "A 68531-2020")</f>
        <v/>
      </c>
      <c r="Z26">
        <f>HYPERLINK("https://klasma.github.io/Logging_1983/fåglar/A 68531-2020 prioriterade fågelarter.docx", "A 68531-2020")</f>
        <v/>
      </c>
    </row>
    <row r="27" ht="15" customHeight="1">
      <c r="A27" t="inlineStr">
        <is>
          <t>A 24535-2021</t>
        </is>
      </c>
      <c r="B27" s="1" t="n">
        <v>44339</v>
      </c>
      <c r="C27" s="1" t="n">
        <v>45762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HYPERLINK("https://klasma.github.io/Logging_1983/artfynd/A 24535-2021 artfynd.xlsx", "A 24535-2021")</f>
        <v/>
      </c>
      <c r="T27">
        <f>HYPERLINK("https://klasma.github.io/Logging_1983/kartor/A 24535-2021 karta.png", "A 24535-2021")</f>
        <v/>
      </c>
      <c r="V27">
        <f>HYPERLINK("https://klasma.github.io/Logging_1983/klagomål/A 24535-2021 FSC-klagomål.docx", "A 24535-2021")</f>
        <v/>
      </c>
      <c r="W27">
        <f>HYPERLINK("https://klasma.github.io/Logging_1983/klagomålsmail/A 24535-2021 FSC-klagomål mail.docx", "A 24535-2021")</f>
        <v/>
      </c>
      <c r="X27">
        <f>HYPERLINK("https://klasma.github.io/Logging_1983/tillsyn/A 24535-2021 tillsynsbegäran.docx", "A 24535-2021")</f>
        <v/>
      </c>
      <c r="Y27">
        <f>HYPERLINK("https://klasma.github.io/Logging_1983/tillsynsmail/A 24535-2021 tillsynsbegäran mail.docx", "A 24535-2021")</f>
        <v/>
      </c>
    </row>
    <row r="28" ht="15" customHeight="1">
      <c r="A28" t="inlineStr">
        <is>
          <t>A 36209-2021</t>
        </is>
      </c>
      <c r="B28" s="1" t="n">
        <v>44389</v>
      </c>
      <c r="C28" s="1" t="n">
        <v>45762</v>
      </c>
      <c r="D28" t="inlineStr">
        <is>
          <t>VÄSTMANLANDS LÄN</t>
        </is>
      </c>
      <c r="E28" t="inlineStr">
        <is>
          <t>KÖPING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HYPERLINK("https://klasma.github.io/Logging_1983/artfynd/A 36209-2021 artfynd.xlsx", "A 36209-2021")</f>
        <v/>
      </c>
      <c r="T28">
        <f>HYPERLINK("https://klasma.github.io/Logging_1983/kartor/A 36209-2021 karta.png", "A 36209-2021")</f>
        <v/>
      </c>
      <c r="V28">
        <f>HYPERLINK("https://klasma.github.io/Logging_1983/klagomål/A 36209-2021 FSC-klagomål.docx", "A 36209-2021")</f>
        <v/>
      </c>
      <c r="W28">
        <f>HYPERLINK("https://klasma.github.io/Logging_1983/klagomålsmail/A 36209-2021 FSC-klagomål mail.docx", "A 36209-2021")</f>
        <v/>
      </c>
      <c r="X28">
        <f>HYPERLINK("https://klasma.github.io/Logging_1983/tillsyn/A 36209-2021 tillsynsbegäran.docx", "A 36209-2021")</f>
        <v/>
      </c>
      <c r="Y28">
        <f>HYPERLINK("https://klasma.github.io/Logging_1983/tillsynsmail/A 36209-2021 tillsynsbegäran mail.docx", "A 36209-2021")</f>
        <v/>
      </c>
    </row>
    <row r="29" ht="15" customHeight="1">
      <c r="A29" t="inlineStr">
        <is>
          <t>A 45826-2021</t>
        </is>
      </c>
      <c r="B29" s="1" t="n">
        <v>44441</v>
      </c>
      <c r="C29" s="1" t="n">
        <v>45762</v>
      </c>
      <c r="D29" t="inlineStr">
        <is>
          <t>VÄSTMANLANDS LÄN</t>
        </is>
      </c>
      <c r="E29" t="inlineStr">
        <is>
          <t>KÖPING</t>
        </is>
      </c>
      <c r="G29" t="n">
        <v>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45826-2021 artfynd.xlsx", "A 45826-2021")</f>
        <v/>
      </c>
      <c r="T29">
        <f>HYPERLINK("https://klasma.github.io/Logging_1983/kartor/A 45826-2021 karta.png", "A 45826-2021")</f>
        <v/>
      </c>
      <c r="V29">
        <f>HYPERLINK("https://klasma.github.io/Logging_1983/klagomål/A 45826-2021 FSC-klagomål.docx", "A 45826-2021")</f>
        <v/>
      </c>
      <c r="W29">
        <f>HYPERLINK("https://klasma.github.io/Logging_1983/klagomålsmail/A 45826-2021 FSC-klagomål mail.docx", "A 45826-2021")</f>
        <v/>
      </c>
      <c r="X29">
        <f>HYPERLINK("https://klasma.github.io/Logging_1983/tillsyn/A 45826-2021 tillsynsbegäran.docx", "A 45826-2021")</f>
        <v/>
      </c>
      <c r="Y29">
        <f>HYPERLINK("https://klasma.github.io/Logging_1983/tillsynsmail/A 45826-2021 tillsynsbegäran mail.docx", "A 45826-2021")</f>
        <v/>
      </c>
    </row>
    <row r="30" ht="15" customHeight="1">
      <c r="A30" t="inlineStr">
        <is>
          <t>A 53151-2021</t>
        </is>
      </c>
      <c r="B30" s="1" t="n">
        <v>44468</v>
      </c>
      <c r="C30" s="1" t="n">
        <v>45762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53151-2021 artfynd.xlsx", "A 53151-2021")</f>
        <v/>
      </c>
      <c r="T30">
        <f>HYPERLINK("https://klasma.github.io/Logging_1983/kartor/A 53151-2021 karta.png", "A 53151-2021")</f>
        <v/>
      </c>
      <c r="V30">
        <f>HYPERLINK("https://klasma.github.io/Logging_1983/klagomål/A 53151-2021 FSC-klagomål.docx", "A 53151-2021")</f>
        <v/>
      </c>
      <c r="W30">
        <f>HYPERLINK("https://klasma.github.io/Logging_1983/klagomålsmail/A 53151-2021 FSC-klagomål mail.docx", "A 53151-2021")</f>
        <v/>
      </c>
      <c r="X30">
        <f>HYPERLINK("https://klasma.github.io/Logging_1983/tillsyn/A 53151-2021 tillsynsbegäran.docx", "A 53151-2021")</f>
        <v/>
      </c>
      <c r="Y30">
        <f>HYPERLINK("https://klasma.github.io/Logging_1983/tillsynsmail/A 53151-2021 tillsynsbegäran mail.docx", "A 53151-2021")</f>
        <v/>
      </c>
    </row>
    <row r="31" ht="15" customHeight="1">
      <c r="A31" t="inlineStr">
        <is>
          <t>A 69022-2021</t>
        </is>
      </c>
      <c r="B31" s="1" t="n">
        <v>44530</v>
      </c>
      <c r="C31" s="1" t="n">
        <v>45762</v>
      </c>
      <c r="D31" t="inlineStr">
        <is>
          <t>VÄSTMANLANDS LÄN</t>
        </is>
      </c>
      <c r="E31" t="inlineStr">
        <is>
          <t>KÖPING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69022-2021 artfynd.xlsx", "A 69022-2021")</f>
        <v/>
      </c>
      <c r="T31">
        <f>HYPERLINK("https://klasma.github.io/Logging_1983/kartor/A 69022-2021 karta.png", "A 69022-2021")</f>
        <v/>
      </c>
      <c r="V31">
        <f>HYPERLINK("https://klasma.github.io/Logging_1983/klagomål/A 69022-2021 FSC-klagomål.docx", "A 69022-2021")</f>
        <v/>
      </c>
      <c r="W31">
        <f>HYPERLINK("https://klasma.github.io/Logging_1983/klagomålsmail/A 69022-2021 FSC-klagomål mail.docx", "A 69022-2021")</f>
        <v/>
      </c>
      <c r="X31">
        <f>HYPERLINK("https://klasma.github.io/Logging_1983/tillsyn/A 69022-2021 tillsynsbegäran.docx", "A 69022-2021")</f>
        <v/>
      </c>
      <c r="Y31">
        <f>HYPERLINK("https://klasma.github.io/Logging_1983/tillsynsmail/A 69022-2021 tillsynsbegäran mail.docx", "A 69022-2021")</f>
        <v/>
      </c>
    </row>
    <row r="32" ht="15" customHeight="1">
      <c r="A32" t="inlineStr">
        <is>
          <t>A 10900-2022</t>
        </is>
      </c>
      <c r="B32" s="1" t="n">
        <v>44627</v>
      </c>
      <c r="C32" s="1" t="n">
        <v>45762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25789-2022</t>
        </is>
      </c>
      <c r="B33" s="1" t="n">
        <v>44733</v>
      </c>
      <c r="C33" s="1" t="n">
        <v>45762</v>
      </c>
      <c r="D33" t="inlineStr">
        <is>
          <t>VÄSTMANLANDS LÄN</t>
        </is>
      </c>
      <c r="E33" t="inlineStr">
        <is>
          <t>KÖPING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HYPERLINK("https://klasma.github.io/Logging_1983/artfynd/A 25789-2022 artfynd.xlsx", "A 25789-2022")</f>
        <v/>
      </c>
      <c r="T33">
        <f>HYPERLINK("https://klasma.github.io/Logging_1983/kartor/A 25789-2022 karta.png", "A 25789-2022")</f>
        <v/>
      </c>
      <c r="V33">
        <f>HYPERLINK("https://klasma.github.io/Logging_1983/klagomål/A 25789-2022 FSC-klagomål.docx", "A 25789-2022")</f>
        <v/>
      </c>
      <c r="W33">
        <f>HYPERLINK("https://klasma.github.io/Logging_1983/klagomålsmail/A 25789-2022 FSC-klagomål mail.docx", "A 25789-2022")</f>
        <v/>
      </c>
      <c r="X33">
        <f>HYPERLINK("https://klasma.github.io/Logging_1983/tillsyn/A 25789-2022 tillsynsbegäran.docx", "A 25789-2022")</f>
        <v/>
      </c>
      <c r="Y33">
        <f>HYPERLINK("https://klasma.github.io/Logging_1983/tillsynsmail/A 25789-2022 tillsynsbegäran mail.docx", "A 25789-2022")</f>
        <v/>
      </c>
      <c r="Z33">
        <f>HYPERLINK("https://klasma.github.io/Logging_1983/fåglar/A 25789-2022 prioriterade fågelarter.docx", "A 25789-2022")</f>
        <v/>
      </c>
    </row>
    <row r="34" ht="15" customHeight="1">
      <c r="A34" t="inlineStr">
        <is>
          <t>A 48269-2022</t>
        </is>
      </c>
      <c r="B34" s="1" t="n">
        <v>44858</v>
      </c>
      <c r="C34" s="1" t="n">
        <v>45762</v>
      </c>
      <c r="D34" t="inlineStr">
        <is>
          <t>VÄSTMANLANDS LÄN</t>
        </is>
      </c>
      <c r="E34" t="inlineStr">
        <is>
          <t>KÖPING</t>
        </is>
      </c>
      <c r="G34" t="n">
        <v>8.699999999999999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48269-2022 artfynd.xlsx", "A 48269-2022")</f>
        <v/>
      </c>
      <c r="T34">
        <f>HYPERLINK("https://klasma.github.io/Logging_1983/kartor/A 48269-2022 karta.png", "A 48269-2022")</f>
        <v/>
      </c>
      <c r="V34">
        <f>HYPERLINK("https://klasma.github.io/Logging_1983/klagomål/A 48269-2022 FSC-klagomål.docx", "A 48269-2022")</f>
        <v/>
      </c>
      <c r="W34">
        <f>HYPERLINK("https://klasma.github.io/Logging_1983/klagomålsmail/A 48269-2022 FSC-klagomål mail.docx", "A 48269-2022")</f>
        <v/>
      </c>
      <c r="X34">
        <f>HYPERLINK("https://klasma.github.io/Logging_1983/tillsyn/A 48269-2022 tillsynsbegäran.docx", "A 48269-2022")</f>
        <v/>
      </c>
      <c r="Y34">
        <f>HYPERLINK("https://klasma.github.io/Logging_1983/tillsynsmail/A 48269-2022 tillsynsbegäran mail.docx", "A 48269-2022")</f>
        <v/>
      </c>
    </row>
    <row r="35" ht="15" customHeight="1">
      <c r="A35" t="inlineStr">
        <is>
          <t>A 56823-2022</t>
        </is>
      </c>
      <c r="B35" s="1" t="n">
        <v>44894</v>
      </c>
      <c r="C35" s="1" t="n">
        <v>45762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HYPERLINK("https://klasma.github.io/Logging_1983/artfynd/A 56823-2022 artfynd.xlsx", "A 56823-2022")</f>
        <v/>
      </c>
      <c r="T35">
        <f>HYPERLINK("https://klasma.github.io/Logging_1983/kartor/A 56823-2022 karta.png", "A 56823-2022")</f>
        <v/>
      </c>
      <c r="V35">
        <f>HYPERLINK("https://klasma.github.io/Logging_1983/klagomål/A 56823-2022 FSC-klagomål.docx", "A 56823-2022")</f>
        <v/>
      </c>
      <c r="W35">
        <f>HYPERLINK("https://klasma.github.io/Logging_1983/klagomålsmail/A 56823-2022 FSC-klagomål mail.docx", "A 56823-2022")</f>
        <v/>
      </c>
      <c r="X35">
        <f>HYPERLINK("https://klasma.github.io/Logging_1983/tillsyn/A 56823-2022 tillsynsbegäran.docx", "A 56823-2022")</f>
        <v/>
      </c>
      <c r="Y35">
        <f>HYPERLINK("https://klasma.github.io/Logging_1983/tillsynsmail/A 56823-2022 tillsynsbegäran mail.docx", "A 56823-2022")</f>
        <v/>
      </c>
      <c r="Z35">
        <f>HYPERLINK("https://klasma.github.io/Logging_1983/fåglar/A 56823-2022 prioriterade fågelarter.docx", "A 56823-2022")</f>
        <v/>
      </c>
    </row>
    <row r="36" ht="15" customHeight="1">
      <c r="A36" t="inlineStr">
        <is>
          <t>A 56809-2022</t>
        </is>
      </c>
      <c r="B36" s="1" t="n">
        <v>44894</v>
      </c>
      <c r="C36" s="1" t="n">
        <v>45762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HYPERLINK("https://klasma.github.io/Logging_1983/artfynd/A 56809-2022 artfynd.xlsx", "A 56809-2022")</f>
        <v/>
      </c>
      <c r="T36">
        <f>HYPERLINK("https://klasma.github.io/Logging_1983/kartor/A 56809-2022 karta.png", "A 56809-2022")</f>
        <v/>
      </c>
      <c r="V36">
        <f>HYPERLINK("https://klasma.github.io/Logging_1983/klagomål/A 56809-2022 FSC-klagomål.docx", "A 56809-2022")</f>
        <v/>
      </c>
      <c r="W36">
        <f>HYPERLINK("https://klasma.github.io/Logging_1983/klagomålsmail/A 56809-2022 FSC-klagomål mail.docx", "A 56809-2022")</f>
        <v/>
      </c>
      <c r="X36">
        <f>HYPERLINK("https://klasma.github.io/Logging_1983/tillsyn/A 56809-2022 tillsynsbegäran.docx", "A 56809-2022")</f>
        <v/>
      </c>
      <c r="Y36">
        <f>HYPERLINK("https://klasma.github.io/Logging_1983/tillsynsmail/A 56809-2022 tillsynsbegäran mail.docx", "A 56809-2022")</f>
        <v/>
      </c>
      <c r="Z36">
        <f>HYPERLINK("https://klasma.github.io/Logging_1983/fåglar/A 56809-2022 prioriterade fågelarter.docx", "A 56809-2022")</f>
        <v/>
      </c>
    </row>
    <row r="37" ht="15" customHeight="1">
      <c r="A37" t="inlineStr">
        <is>
          <t>A 52476-2023</t>
        </is>
      </c>
      <c r="B37" s="1" t="n">
        <v>45225</v>
      </c>
      <c r="C37" s="1" t="n">
        <v>45762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HYPERLINK("https://klasma.github.io/Logging_1983/artfynd/A 52476-2023 artfynd.xlsx", "A 52476-2023")</f>
        <v/>
      </c>
      <c r="T37">
        <f>HYPERLINK("https://klasma.github.io/Logging_1983/kartor/A 52476-2023 karta.png", "A 52476-2023")</f>
        <v/>
      </c>
      <c r="V37">
        <f>HYPERLINK("https://klasma.github.io/Logging_1983/klagomål/A 52476-2023 FSC-klagomål.docx", "A 52476-2023")</f>
        <v/>
      </c>
      <c r="W37">
        <f>HYPERLINK("https://klasma.github.io/Logging_1983/klagomålsmail/A 52476-2023 FSC-klagomål mail.docx", "A 52476-2023")</f>
        <v/>
      </c>
      <c r="X37">
        <f>HYPERLINK("https://klasma.github.io/Logging_1983/tillsyn/A 52476-2023 tillsynsbegäran.docx", "A 52476-2023")</f>
        <v/>
      </c>
      <c r="Y37">
        <f>HYPERLINK("https://klasma.github.io/Logging_1983/tillsynsmail/A 52476-2023 tillsynsbegäran mail.docx", "A 52476-2023")</f>
        <v/>
      </c>
    </row>
    <row r="38" ht="15" customHeight="1">
      <c r="A38" t="inlineStr">
        <is>
          <t>A 55157-2023</t>
        </is>
      </c>
      <c r="B38" s="1" t="n">
        <v>45237</v>
      </c>
      <c r="C38" s="1" t="n">
        <v>45762</v>
      </c>
      <c r="D38" t="inlineStr">
        <is>
          <t>VÄSTMANLANDS LÄN</t>
        </is>
      </c>
      <c r="E38" t="inlineStr">
        <is>
          <t>KÖPING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HYPERLINK("https://klasma.github.io/Logging_1983/artfynd/A 55157-2023 artfynd.xlsx", "A 55157-2023")</f>
        <v/>
      </c>
      <c r="T38">
        <f>HYPERLINK("https://klasma.github.io/Logging_1983/kartor/A 55157-2023 karta.png", "A 55157-2023")</f>
        <v/>
      </c>
      <c r="V38">
        <f>HYPERLINK("https://klasma.github.io/Logging_1983/klagomål/A 55157-2023 FSC-klagomål.docx", "A 55157-2023")</f>
        <v/>
      </c>
      <c r="W38">
        <f>HYPERLINK("https://klasma.github.io/Logging_1983/klagomålsmail/A 55157-2023 FSC-klagomål mail.docx", "A 55157-2023")</f>
        <v/>
      </c>
      <c r="X38">
        <f>HYPERLINK("https://klasma.github.io/Logging_1983/tillsyn/A 55157-2023 tillsynsbegäran.docx", "A 55157-2023")</f>
        <v/>
      </c>
      <c r="Y38">
        <f>HYPERLINK("https://klasma.github.io/Logging_1983/tillsynsmail/A 55157-2023 tillsynsbegäran mail.docx", "A 55157-2023")</f>
        <v/>
      </c>
    </row>
    <row r="39" ht="15" customHeight="1">
      <c r="A39" t="inlineStr">
        <is>
          <t>A 3927-2024</t>
        </is>
      </c>
      <c r="B39" s="1" t="n">
        <v>45322</v>
      </c>
      <c r="C39" s="1" t="n">
        <v>45762</v>
      </c>
      <c r="D39" t="inlineStr">
        <is>
          <t>VÄSTMANLANDS LÄN</t>
        </is>
      </c>
      <c r="E39" t="inlineStr">
        <is>
          <t>KÖPING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Druvfingersvamp</t>
        </is>
      </c>
      <c r="S39">
        <f>HYPERLINK("https://klasma.github.io/Logging_1983/artfynd/A 3927-2024 artfynd.xlsx", "A 3927-2024")</f>
        <v/>
      </c>
      <c r="T39">
        <f>HYPERLINK("https://klasma.github.io/Logging_1983/kartor/A 3927-2024 karta.png", "A 3927-2024")</f>
        <v/>
      </c>
      <c r="V39">
        <f>HYPERLINK("https://klasma.github.io/Logging_1983/klagomål/A 3927-2024 FSC-klagomål.docx", "A 3927-2024")</f>
        <v/>
      </c>
      <c r="W39">
        <f>HYPERLINK("https://klasma.github.io/Logging_1983/klagomålsmail/A 3927-2024 FSC-klagomål mail.docx", "A 3927-2024")</f>
        <v/>
      </c>
      <c r="X39">
        <f>HYPERLINK("https://klasma.github.io/Logging_1983/tillsyn/A 3927-2024 tillsynsbegäran.docx", "A 3927-2024")</f>
        <v/>
      </c>
      <c r="Y39">
        <f>HYPERLINK("https://klasma.github.io/Logging_1983/tillsynsmail/A 3927-2024 tillsynsbegäran mail.docx", "A 3927-2024")</f>
        <v/>
      </c>
    </row>
    <row r="40" ht="15" customHeight="1">
      <c r="A40" t="inlineStr">
        <is>
          <t>A 9510-2024</t>
        </is>
      </c>
      <c r="B40" s="1" t="n">
        <v>45359</v>
      </c>
      <c r="C40" s="1" t="n">
        <v>45762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HYPERLINK("https://klasma.github.io/Logging_1983/artfynd/A 9510-2024 artfynd.xlsx", "A 9510-2024")</f>
        <v/>
      </c>
      <c r="T40">
        <f>HYPERLINK("https://klasma.github.io/Logging_1983/kartor/A 9510-2024 karta.png", "A 9510-2024")</f>
        <v/>
      </c>
      <c r="V40">
        <f>HYPERLINK("https://klasma.github.io/Logging_1983/klagomål/A 9510-2024 FSC-klagomål.docx", "A 9510-2024")</f>
        <v/>
      </c>
      <c r="W40">
        <f>HYPERLINK("https://klasma.github.io/Logging_1983/klagomålsmail/A 9510-2024 FSC-klagomål mail.docx", "A 9510-2024")</f>
        <v/>
      </c>
      <c r="X40">
        <f>HYPERLINK("https://klasma.github.io/Logging_1983/tillsyn/A 9510-2024 tillsynsbegäran.docx", "A 9510-2024")</f>
        <v/>
      </c>
      <c r="Y40">
        <f>HYPERLINK("https://klasma.github.io/Logging_1983/tillsynsmail/A 9510-2024 tillsynsbegäran mail.docx", "A 9510-2024")</f>
        <v/>
      </c>
    </row>
    <row r="41" ht="15" customHeight="1">
      <c r="A41" t="inlineStr">
        <is>
          <t>A 12179-2024</t>
        </is>
      </c>
      <c r="B41" s="1" t="n">
        <v>45377</v>
      </c>
      <c r="C41" s="1" t="n">
        <v>45762</v>
      </c>
      <c r="D41" t="inlineStr">
        <is>
          <t>VÄSTMANLANDS LÄN</t>
        </is>
      </c>
      <c r="E41" t="inlineStr">
        <is>
          <t>KÖPING</t>
        </is>
      </c>
      <c r="F41" t="inlineStr">
        <is>
          <t>Allmännings- och besparingsskogar</t>
        </is>
      </c>
      <c r="G41" t="n">
        <v>11.4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HYPERLINK("https://klasma.github.io/Logging_1983/artfynd/A 12179-2024 artfynd.xlsx", "A 12179-2024")</f>
        <v/>
      </c>
      <c r="T41">
        <f>HYPERLINK("https://klasma.github.io/Logging_1983/kartor/A 12179-2024 karta.png", "A 12179-2024")</f>
        <v/>
      </c>
      <c r="V41">
        <f>HYPERLINK("https://klasma.github.io/Logging_1983/klagomål/A 12179-2024 FSC-klagomål.docx", "A 12179-2024")</f>
        <v/>
      </c>
      <c r="W41">
        <f>HYPERLINK("https://klasma.github.io/Logging_1983/klagomålsmail/A 12179-2024 FSC-klagomål mail.docx", "A 12179-2024")</f>
        <v/>
      </c>
      <c r="X41">
        <f>HYPERLINK("https://klasma.github.io/Logging_1983/tillsyn/A 12179-2024 tillsynsbegäran.docx", "A 12179-2024")</f>
        <v/>
      </c>
      <c r="Y41">
        <f>HYPERLINK("https://klasma.github.io/Logging_1983/tillsynsmail/A 12179-2024 tillsynsbegäran mail.docx", "A 12179-2024")</f>
        <v/>
      </c>
      <c r="Z41">
        <f>HYPERLINK("https://klasma.github.io/Logging_1983/fåglar/A 12179-2024 prioriterade fågelarter.docx", "A 12179-2024")</f>
        <v/>
      </c>
    </row>
    <row r="42" ht="15" customHeight="1">
      <c r="A42" t="inlineStr">
        <is>
          <t>A 21576-2024</t>
        </is>
      </c>
      <c r="B42" s="1" t="n">
        <v>45441</v>
      </c>
      <c r="C42" s="1" t="n">
        <v>45762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HYPERLINK("https://klasma.github.io/Logging_1983/artfynd/A 21576-2024 artfynd.xlsx", "A 21576-2024")</f>
        <v/>
      </c>
      <c r="T42">
        <f>HYPERLINK("https://klasma.github.io/Logging_1983/kartor/A 21576-2024 karta.png", "A 21576-2024")</f>
        <v/>
      </c>
      <c r="V42">
        <f>HYPERLINK("https://klasma.github.io/Logging_1983/klagomål/A 21576-2024 FSC-klagomål.docx", "A 21576-2024")</f>
        <v/>
      </c>
      <c r="W42">
        <f>HYPERLINK("https://klasma.github.io/Logging_1983/klagomålsmail/A 21576-2024 FSC-klagomål mail.docx", "A 21576-2024")</f>
        <v/>
      </c>
      <c r="X42">
        <f>HYPERLINK("https://klasma.github.io/Logging_1983/tillsyn/A 21576-2024 tillsynsbegäran.docx", "A 21576-2024")</f>
        <v/>
      </c>
      <c r="Y42">
        <f>HYPERLINK("https://klasma.github.io/Logging_1983/tillsynsmail/A 21576-2024 tillsynsbegäran mail.docx", "A 21576-2024")</f>
        <v/>
      </c>
    </row>
    <row r="43" ht="15" customHeight="1">
      <c r="A43" t="inlineStr">
        <is>
          <t>A 31263-2024</t>
        </is>
      </c>
      <c r="B43" s="1" t="n">
        <v>45503</v>
      </c>
      <c r="C43" s="1" t="n">
        <v>45762</v>
      </c>
      <c r="D43" t="inlineStr">
        <is>
          <t>VÄSTMANLANDS LÄN</t>
        </is>
      </c>
      <c r="E43" t="inlineStr">
        <is>
          <t>KÖPING</t>
        </is>
      </c>
      <c r="G43" t="n">
        <v>12.4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bastardsvärmare</t>
        </is>
      </c>
      <c r="S43">
        <f>HYPERLINK("https://klasma.github.io/Logging_1983/artfynd/A 31263-2024 artfynd.xlsx", "A 31263-2024")</f>
        <v/>
      </c>
      <c r="T43">
        <f>HYPERLINK("https://klasma.github.io/Logging_1983/kartor/A 31263-2024 karta.png", "A 31263-2024")</f>
        <v/>
      </c>
      <c r="V43">
        <f>HYPERLINK("https://klasma.github.io/Logging_1983/klagomål/A 31263-2024 FSC-klagomål.docx", "A 31263-2024")</f>
        <v/>
      </c>
      <c r="W43">
        <f>HYPERLINK("https://klasma.github.io/Logging_1983/klagomålsmail/A 31263-2024 FSC-klagomål mail.docx", "A 31263-2024")</f>
        <v/>
      </c>
      <c r="X43">
        <f>HYPERLINK("https://klasma.github.io/Logging_1983/tillsyn/A 31263-2024 tillsynsbegäran.docx", "A 31263-2024")</f>
        <v/>
      </c>
      <c r="Y43">
        <f>HYPERLINK("https://klasma.github.io/Logging_1983/tillsynsmail/A 31263-2024 tillsynsbegäran mail.docx", "A 31263-2024")</f>
        <v/>
      </c>
    </row>
    <row r="44" ht="15" customHeight="1">
      <c r="A44" t="inlineStr">
        <is>
          <t>A 39292-2024</t>
        </is>
      </c>
      <c r="B44" s="1" t="n">
        <v>45551</v>
      </c>
      <c r="C44" s="1" t="n">
        <v>45762</v>
      </c>
      <c r="D44" t="inlineStr">
        <is>
          <t>VÄSTMANLANDS LÄN</t>
        </is>
      </c>
      <c r="E44" t="inlineStr">
        <is>
          <t>KÖPING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HYPERLINK("https://klasma.github.io/Logging_1983/artfynd/A 39292-2024 artfynd.xlsx", "A 39292-2024")</f>
        <v/>
      </c>
      <c r="T44">
        <f>HYPERLINK("https://klasma.github.io/Logging_1983/kartor/A 39292-2024 karta.png", "A 39292-2024")</f>
        <v/>
      </c>
      <c r="U44">
        <f>HYPERLINK("https://klasma.github.io/Logging_1983/knärot/A 39292-2024 karta knärot.png", "A 39292-2024")</f>
        <v/>
      </c>
      <c r="V44">
        <f>HYPERLINK("https://klasma.github.io/Logging_1983/klagomål/A 39292-2024 FSC-klagomål.docx", "A 39292-2024")</f>
        <v/>
      </c>
      <c r="W44">
        <f>HYPERLINK("https://klasma.github.io/Logging_1983/klagomålsmail/A 39292-2024 FSC-klagomål mail.docx", "A 39292-2024")</f>
        <v/>
      </c>
      <c r="X44">
        <f>HYPERLINK("https://klasma.github.io/Logging_1983/tillsyn/A 39292-2024 tillsynsbegäran.docx", "A 39292-2024")</f>
        <v/>
      </c>
      <c r="Y44">
        <f>HYPERLINK("https://klasma.github.io/Logging_1983/tillsynsmail/A 39292-2024 tillsynsbegäran mail.docx", "A 39292-2024")</f>
        <v/>
      </c>
    </row>
    <row r="45" ht="15" customHeight="1">
      <c r="A45" t="inlineStr">
        <is>
          <t>A 54868-2024</t>
        </is>
      </c>
      <c r="B45" s="1" t="n">
        <v>45618</v>
      </c>
      <c r="C45" s="1" t="n">
        <v>45762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HYPERLINK("https://klasma.github.io/Logging_1983/artfynd/A 54868-2024 artfynd.xlsx", "A 54868-2024")</f>
        <v/>
      </c>
      <c r="T45">
        <f>HYPERLINK("https://klasma.github.io/Logging_1983/kartor/A 54868-2024 karta.png", "A 54868-2024")</f>
        <v/>
      </c>
      <c r="V45">
        <f>HYPERLINK("https://klasma.github.io/Logging_1983/klagomål/A 54868-2024 FSC-klagomål.docx", "A 54868-2024")</f>
        <v/>
      </c>
      <c r="W45">
        <f>HYPERLINK("https://klasma.github.io/Logging_1983/klagomålsmail/A 54868-2024 FSC-klagomål mail.docx", "A 54868-2024")</f>
        <v/>
      </c>
      <c r="X45">
        <f>HYPERLINK("https://klasma.github.io/Logging_1983/tillsyn/A 54868-2024 tillsynsbegäran.docx", "A 54868-2024")</f>
        <v/>
      </c>
      <c r="Y45">
        <f>HYPERLINK("https://klasma.github.io/Logging_1983/tillsynsmail/A 54868-2024 tillsynsbegäran mail.docx", "A 54868-2024")</f>
        <v/>
      </c>
    </row>
    <row r="46" ht="15" customHeight="1">
      <c r="A46" t="inlineStr">
        <is>
          <t>A 58122-2024</t>
        </is>
      </c>
      <c r="B46" s="1" t="n">
        <v>45632</v>
      </c>
      <c r="C46" s="1" t="n">
        <v>45762</v>
      </c>
      <c r="D46" t="inlineStr">
        <is>
          <t>VÄSTMANLANDS LÄN</t>
        </is>
      </c>
      <c r="E46" t="inlineStr">
        <is>
          <t>KÖPING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HYPERLINK("https://klasma.github.io/Logging_1983/artfynd/A 58122-2024 artfynd.xlsx", "A 58122-2024")</f>
        <v/>
      </c>
      <c r="T46">
        <f>HYPERLINK("https://klasma.github.io/Logging_1983/kartor/A 58122-2024 karta.png", "A 58122-2024")</f>
        <v/>
      </c>
      <c r="V46">
        <f>HYPERLINK("https://klasma.github.io/Logging_1983/klagomål/A 58122-2024 FSC-klagomål.docx", "A 58122-2024")</f>
        <v/>
      </c>
      <c r="W46">
        <f>HYPERLINK("https://klasma.github.io/Logging_1983/klagomålsmail/A 58122-2024 FSC-klagomål mail.docx", "A 58122-2024")</f>
        <v/>
      </c>
      <c r="X46">
        <f>HYPERLINK("https://klasma.github.io/Logging_1983/tillsyn/A 58122-2024 tillsynsbegäran.docx", "A 58122-2024")</f>
        <v/>
      </c>
      <c r="Y46">
        <f>HYPERLINK("https://klasma.github.io/Logging_1983/tillsynsmail/A 58122-2024 tillsynsbegäran mail.docx", "A 58122-2024")</f>
        <v/>
      </c>
    </row>
    <row r="47" ht="15" customHeight="1">
      <c r="A47" t="inlineStr">
        <is>
          <t>A 61577-2024</t>
        </is>
      </c>
      <c r="B47" s="1" t="n">
        <v>45646</v>
      </c>
      <c r="C47" s="1" t="n">
        <v>45762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HYPERLINK("https://klasma.github.io/Logging_1983/artfynd/A 61577-2024 artfynd.xlsx", "A 61577-2024")</f>
        <v/>
      </c>
      <c r="T47">
        <f>HYPERLINK("https://klasma.github.io/Logging_1983/kartor/A 61577-2024 karta.png", "A 61577-2024")</f>
        <v/>
      </c>
      <c r="V47">
        <f>HYPERLINK("https://klasma.github.io/Logging_1983/klagomål/A 61577-2024 FSC-klagomål.docx", "A 61577-2024")</f>
        <v/>
      </c>
      <c r="W47">
        <f>HYPERLINK("https://klasma.github.io/Logging_1983/klagomålsmail/A 61577-2024 FSC-klagomål mail.docx", "A 61577-2024")</f>
        <v/>
      </c>
      <c r="X47">
        <f>HYPERLINK("https://klasma.github.io/Logging_1983/tillsyn/A 61577-2024 tillsynsbegäran.docx", "A 61577-2024")</f>
        <v/>
      </c>
      <c r="Y47">
        <f>HYPERLINK("https://klasma.github.io/Logging_1983/tillsynsmail/A 61577-2024 tillsynsbegäran mail.docx", "A 61577-2024")</f>
        <v/>
      </c>
    </row>
    <row r="48" ht="15" customHeight="1">
      <c r="A48" t="inlineStr">
        <is>
          <t>A 6603-2025</t>
        </is>
      </c>
      <c r="B48" s="1" t="n">
        <v>45700</v>
      </c>
      <c r="C48" s="1" t="n">
        <v>45762</v>
      </c>
      <c r="D48" t="inlineStr">
        <is>
          <t>VÄSTMANLANDS LÄN</t>
        </is>
      </c>
      <c r="E48" t="inlineStr">
        <is>
          <t>KÖPING</t>
        </is>
      </c>
      <c r="G48" t="n">
        <v>12.1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HYPERLINK("https://klasma.github.io/Logging_1983/artfynd/A 6603-2025 artfynd.xlsx", "A 6603-2025")</f>
        <v/>
      </c>
      <c r="T48">
        <f>HYPERLINK("https://klasma.github.io/Logging_1983/kartor/A 6603-2025 karta.png", "A 6603-2025")</f>
        <v/>
      </c>
      <c r="V48">
        <f>HYPERLINK("https://klasma.github.io/Logging_1983/klagomål/A 6603-2025 FSC-klagomål.docx", "A 6603-2025")</f>
        <v/>
      </c>
      <c r="W48">
        <f>HYPERLINK("https://klasma.github.io/Logging_1983/klagomålsmail/A 6603-2025 FSC-klagomål mail.docx", "A 6603-2025")</f>
        <v/>
      </c>
      <c r="X48">
        <f>HYPERLINK("https://klasma.github.io/Logging_1983/tillsyn/A 6603-2025 tillsynsbegäran.docx", "A 6603-2025")</f>
        <v/>
      </c>
      <c r="Y48">
        <f>HYPERLINK("https://klasma.github.io/Logging_1983/tillsynsmail/A 6603-2025 tillsynsbegäran mail.docx", "A 6603-2025")</f>
        <v/>
      </c>
    </row>
    <row r="49" ht="15" customHeight="1">
      <c r="A49" t="inlineStr">
        <is>
          <t>A 13066-2025</t>
        </is>
      </c>
      <c r="B49" s="1" t="n">
        <v>45734</v>
      </c>
      <c r="C49" s="1" t="n">
        <v>45762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HYPERLINK("https://klasma.github.io/Logging_191983/artfynd/A 13066-2025 artfynd.xlsx", "A 13066-2025")</f>
        <v/>
      </c>
      <c r="T49">
        <f>HYPERLINK("https://klasma.github.io/Logging_191983/kartor/A 13066-2025 karta.png", "A 13066-2025")</f>
        <v/>
      </c>
      <c r="V49">
        <f>HYPERLINK("https://klasma.github.io/Logging_191983/klagomål/A 13066-2025 FSC-klagomål.docx", "A 13066-2025")</f>
        <v/>
      </c>
      <c r="W49">
        <f>HYPERLINK("https://klasma.github.io/Logging_191983/klagomålsmail/A 13066-2025 FSC-klagomål mail.docx", "A 13066-2025")</f>
        <v/>
      </c>
      <c r="X49">
        <f>HYPERLINK("https://klasma.github.io/Logging_191983/tillsyn/A 13066-2025 tillsynsbegäran.docx", "A 13066-2025")</f>
        <v/>
      </c>
      <c r="Y49">
        <f>HYPERLINK("https://klasma.github.io/Logging_191983/tillsynsmail/A 13066-2025 tillsynsbegäran mail.docx", "A 13066-2025")</f>
        <v/>
      </c>
    </row>
    <row r="50" ht="15" customHeight="1">
      <c r="A50" t="inlineStr">
        <is>
          <t>A 17915-2019</t>
        </is>
      </c>
      <c r="B50" s="1" t="n">
        <v>43557</v>
      </c>
      <c r="C50" s="1" t="n">
        <v>45762</v>
      </c>
      <c r="D50" t="inlineStr">
        <is>
          <t>VÄSTMANLANDS LÄN</t>
        </is>
      </c>
      <c r="E50" t="inlineStr">
        <is>
          <t>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24107-2019</t>
        </is>
      </c>
      <c r="B51" s="1" t="n">
        <v>43595</v>
      </c>
      <c r="C51" s="1" t="n">
        <v>45762</v>
      </c>
      <c r="D51" t="inlineStr">
        <is>
          <t>VÄSTMANLANDS LÄN</t>
        </is>
      </c>
      <c r="E51" t="inlineStr">
        <is>
          <t>KÖPING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24017-2019</t>
        </is>
      </c>
      <c r="B52" s="1" t="n">
        <v>43598</v>
      </c>
      <c r="C52" s="1" t="n">
        <v>45762</v>
      </c>
      <c r="D52" t="inlineStr">
        <is>
          <t>VÄSTMANLANDS LÄN</t>
        </is>
      </c>
      <c r="E52" t="inlineStr">
        <is>
          <t>KÖPING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24417-2019</t>
        </is>
      </c>
      <c r="B53" s="1" t="n">
        <v>43600</v>
      </c>
      <c r="C53" s="1" t="n">
        <v>45762</v>
      </c>
      <c r="D53" t="inlineStr">
        <is>
          <t>VÄSTMANLANDS LÄN</t>
        </is>
      </c>
      <c r="E53" t="inlineStr">
        <is>
          <t>KÖPING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24909-2019</t>
        </is>
      </c>
      <c r="B54" s="1" t="n">
        <v>43602</v>
      </c>
      <c r="C54" s="1" t="n">
        <v>45762</v>
      </c>
      <c r="D54" t="inlineStr">
        <is>
          <t>VÄSTMANLANDS LÄN</t>
        </is>
      </c>
      <c r="E54" t="inlineStr">
        <is>
          <t>KÖPING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25741-2019</t>
        </is>
      </c>
      <c r="B55" s="1" t="n">
        <v>43608</v>
      </c>
      <c r="C55" s="1" t="n">
        <v>45762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26414-2019</t>
        </is>
      </c>
      <c r="B56" s="1" t="n">
        <v>43612</v>
      </c>
      <c r="C56" s="1" t="n">
        <v>45762</v>
      </c>
      <c r="D56" t="inlineStr">
        <is>
          <t>VÄSTMANLANDS LÄN</t>
        </is>
      </c>
      <c r="E56" t="inlineStr">
        <is>
          <t>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27182-2019</t>
        </is>
      </c>
      <c r="B57" s="1" t="n">
        <v>43614</v>
      </c>
      <c r="C57" s="1" t="n">
        <v>45762</v>
      </c>
      <c r="D57" t="inlineStr">
        <is>
          <t>VÄSTMANLANDS LÄN</t>
        </is>
      </c>
      <c r="E57" t="inlineStr">
        <is>
          <t>KÖPING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27381-2019</t>
        </is>
      </c>
      <c r="B58" s="1" t="n">
        <v>43616</v>
      </c>
      <c r="C58" s="1" t="n">
        <v>45762</v>
      </c>
      <c r="D58" t="inlineStr">
        <is>
          <t>VÄSTMANLANDS LÄN</t>
        </is>
      </c>
      <c r="E58" t="inlineStr">
        <is>
          <t>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27391-2019</t>
        </is>
      </c>
      <c r="B59" s="1" t="n">
        <v>43616</v>
      </c>
      <c r="C59" s="1" t="n">
        <v>45762</v>
      </c>
      <c r="D59" t="inlineStr">
        <is>
          <t>VÄSTMANLANDS LÄN</t>
        </is>
      </c>
      <c r="E59" t="inlineStr">
        <is>
          <t>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27914-2019</t>
        </is>
      </c>
      <c r="B60" s="1" t="n">
        <v>43620</v>
      </c>
      <c r="C60" s="1" t="n">
        <v>45762</v>
      </c>
      <c r="D60" t="inlineStr">
        <is>
          <t>VÄSTMANLANDS LÄN</t>
        </is>
      </c>
      <c r="E60" t="inlineStr">
        <is>
          <t>KÖPING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28189-2019</t>
        </is>
      </c>
      <c r="B61" s="1" t="n">
        <v>43621</v>
      </c>
      <c r="C61" s="1" t="n">
        <v>45762</v>
      </c>
      <c r="D61" t="inlineStr">
        <is>
          <t>VÄSTMANLANDS LÄN</t>
        </is>
      </c>
      <c r="E61" t="inlineStr">
        <is>
          <t>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28359-2019</t>
        </is>
      </c>
      <c r="B62" s="1" t="n">
        <v>43625</v>
      </c>
      <c r="C62" s="1" t="n">
        <v>45762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31641-2019</t>
        </is>
      </c>
      <c r="B63" s="1" t="n">
        <v>43640</v>
      </c>
      <c r="C63" s="1" t="n">
        <v>45762</v>
      </c>
      <c r="D63" t="inlineStr">
        <is>
          <t>VÄSTMANLANDS LÄN</t>
        </is>
      </c>
      <c r="E63" t="inlineStr">
        <is>
          <t>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32448-2019</t>
        </is>
      </c>
      <c r="B64" s="1" t="n">
        <v>43644</v>
      </c>
      <c r="C64" s="1" t="n">
        <v>45762</v>
      </c>
      <c r="D64" t="inlineStr">
        <is>
          <t>VÄSTMANLANDS LÄN</t>
        </is>
      </c>
      <c r="E64" t="inlineStr">
        <is>
          <t>KÖPING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33758-2019</t>
        </is>
      </c>
      <c r="B65" s="1" t="n">
        <v>43651</v>
      </c>
      <c r="C65" s="1" t="n">
        <v>45762</v>
      </c>
      <c r="D65" t="inlineStr">
        <is>
          <t>VÄSTMANLANDS LÄN</t>
        </is>
      </c>
      <c r="E65" t="inlineStr">
        <is>
          <t>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33782-2019</t>
        </is>
      </c>
      <c r="B66" s="1" t="n">
        <v>43651</v>
      </c>
      <c r="C66" s="1" t="n">
        <v>45762</v>
      </c>
      <c r="D66" t="inlineStr">
        <is>
          <t>VÄSTMANLANDS LÄN</t>
        </is>
      </c>
      <c r="E66" t="inlineStr">
        <is>
          <t>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34010-2019</t>
        </is>
      </c>
      <c r="B67" s="1" t="n">
        <v>43654</v>
      </c>
      <c r="C67" s="1" t="n">
        <v>45762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35787-2019</t>
        </is>
      </c>
      <c r="B68" s="1" t="n">
        <v>43656</v>
      </c>
      <c r="C68" s="1" t="n">
        <v>45762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35779-2019</t>
        </is>
      </c>
      <c r="B69" s="1" t="n">
        <v>43656</v>
      </c>
      <c r="C69" s="1" t="n">
        <v>45762</v>
      </c>
      <c r="D69" t="inlineStr">
        <is>
          <t>VÄSTMANLANDS LÄN</t>
        </is>
      </c>
      <c r="E69" t="inlineStr">
        <is>
          <t>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35939-2019</t>
        </is>
      </c>
      <c r="B70" s="1" t="n">
        <v>43665</v>
      </c>
      <c r="C70" s="1" t="n">
        <v>45762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38489-2019</t>
        </is>
      </c>
      <c r="B71" s="1" t="n">
        <v>43685</v>
      </c>
      <c r="C71" s="1" t="n">
        <v>45762</v>
      </c>
      <c r="D71" t="inlineStr">
        <is>
          <t>VÄSTMANLANDS LÄN</t>
        </is>
      </c>
      <c r="E71" t="inlineStr">
        <is>
          <t>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38487-2019</t>
        </is>
      </c>
      <c r="B72" s="1" t="n">
        <v>43685</v>
      </c>
      <c r="C72" s="1" t="n">
        <v>45762</v>
      </c>
      <c r="D72" t="inlineStr">
        <is>
          <t>VÄSTMANLANDS LÄN</t>
        </is>
      </c>
      <c r="E72" t="inlineStr">
        <is>
          <t>KÖPING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39803-2019</t>
        </is>
      </c>
      <c r="B73" s="1" t="n">
        <v>43692</v>
      </c>
      <c r="C73" s="1" t="n">
        <v>45762</v>
      </c>
      <c r="D73" t="inlineStr">
        <is>
          <t>VÄSTMANLANDS LÄN</t>
        </is>
      </c>
      <c r="E73" t="inlineStr">
        <is>
          <t>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40923-2019</t>
        </is>
      </c>
      <c r="B74" s="1" t="n">
        <v>43697</v>
      </c>
      <c r="C74" s="1" t="n">
        <v>45762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40925-2019</t>
        </is>
      </c>
      <c r="B75" s="1" t="n">
        <v>43697</v>
      </c>
      <c r="C75" s="1" t="n">
        <v>45762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41568-2019</t>
        </is>
      </c>
      <c r="B76" s="1" t="n">
        <v>43699</v>
      </c>
      <c r="C76" s="1" t="n">
        <v>45762</v>
      </c>
      <c r="D76" t="inlineStr">
        <is>
          <t>VÄSTMANLANDS LÄN</t>
        </is>
      </c>
      <c r="E76" t="inlineStr">
        <is>
          <t>KÖPING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42438-2019</t>
        </is>
      </c>
      <c r="B77" s="1" t="n">
        <v>43704</v>
      </c>
      <c r="C77" s="1" t="n">
        <v>45762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42437-2019</t>
        </is>
      </c>
      <c r="B78" s="1" t="n">
        <v>43704</v>
      </c>
      <c r="C78" s="1" t="n">
        <v>45762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42480-2019</t>
        </is>
      </c>
      <c r="B79" s="1" t="n">
        <v>43704</v>
      </c>
      <c r="C79" s="1" t="n">
        <v>45762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46303-2019</t>
        </is>
      </c>
      <c r="B80" s="1" t="n">
        <v>43718</v>
      </c>
      <c r="C80" s="1" t="n">
        <v>45762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46306-2019</t>
        </is>
      </c>
      <c r="B81" s="1" t="n">
        <v>43718</v>
      </c>
      <c r="C81" s="1" t="n">
        <v>45762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49968-2019</t>
        </is>
      </c>
      <c r="B82" s="1" t="n">
        <v>43733</v>
      </c>
      <c r="C82" s="1" t="n">
        <v>45762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49821-2019</t>
        </is>
      </c>
      <c r="B83" s="1" t="n">
        <v>43733</v>
      </c>
      <c r="C83" s="1" t="n">
        <v>45762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52788-2019</t>
        </is>
      </c>
      <c r="B84" s="1" t="n">
        <v>43739</v>
      </c>
      <c r="C84" s="1" t="n">
        <v>45762</v>
      </c>
      <c r="D84" t="inlineStr">
        <is>
          <t>VÄSTMANLANDS LÄN</t>
        </is>
      </c>
      <c r="E84" t="inlineStr">
        <is>
          <t>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51647-2019</t>
        </is>
      </c>
      <c r="B85" s="1" t="n">
        <v>43740</v>
      </c>
      <c r="C85" s="1" t="n">
        <v>45762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51769-2019</t>
        </is>
      </c>
      <c r="B86" s="1" t="n">
        <v>43741</v>
      </c>
      <c r="C86" s="1" t="n">
        <v>45762</v>
      </c>
      <c r="D86" t="inlineStr">
        <is>
          <t>VÄSTMANLANDS LÄN</t>
        </is>
      </c>
      <c r="E86" t="inlineStr">
        <is>
          <t>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51844-2019</t>
        </is>
      </c>
      <c r="B87" s="1" t="n">
        <v>43741</v>
      </c>
      <c r="C87" s="1" t="n">
        <v>45762</v>
      </c>
      <c r="D87" t="inlineStr">
        <is>
          <t>VÄSTMANLANDS LÄN</t>
        </is>
      </c>
      <c r="E87" t="inlineStr">
        <is>
          <t>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55400-2019</t>
        </is>
      </c>
      <c r="B88" s="1" t="n">
        <v>43758</v>
      </c>
      <c r="C88" s="1" t="n">
        <v>45762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55659-2019</t>
        </is>
      </c>
      <c r="B89" s="1" t="n">
        <v>43760</v>
      </c>
      <c r="C89" s="1" t="n">
        <v>45762</v>
      </c>
      <c r="D89" t="inlineStr">
        <is>
          <t>VÄSTMANLANDS LÄN</t>
        </is>
      </c>
      <c r="E89" t="inlineStr">
        <is>
          <t>KÖPING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56012-2019</t>
        </is>
      </c>
      <c r="B90" s="1" t="n">
        <v>43760</v>
      </c>
      <c r="C90" s="1" t="n">
        <v>45762</v>
      </c>
      <c r="D90" t="inlineStr">
        <is>
          <t>VÄSTMANLANDS LÄN</t>
        </is>
      </c>
      <c r="E90" t="inlineStr">
        <is>
          <t>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56152-2019</t>
        </is>
      </c>
      <c r="B91" s="1" t="n">
        <v>43761</v>
      </c>
      <c r="C91" s="1" t="n">
        <v>45762</v>
      </c>
      <c r="D91" t="inlineStr">
        <is>
          <t>VÄSTMANLANDS LÄN</t>
        </is>
      </c>
      <c r="E91" t="inlineStr">
        <is>
          <t>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55837-2019</t>
        </is>
      </c>
      <c r="B92" s="1" t="n">
        <v>43761</v>
      </c>
      <c r="C92" s="1" t="n">
        <v>45762</v>
      </c>
      <c r="D92" t="inlineStr">
        <is>
          <t>VÄSTMANLANDS LÄN</t>
        </is>
      </c>
      <c r="E92" t="inlineStr">
        <is>
          <t>KÖPING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56156-2019</t>
        </is>
      </c>
      <c r="B93" s="1" t="n">
        <v>43761</v>
      </c>
      <c r="C93" s="1" t="n">
        <v>45762</v>
      </c>
      <c r="D93" t="inlineStr">
        <is>
          <t>VÄSTMANLANDS LÄN</t>
        </is>
      </c>
      <c r="E93" t="inlineStr">
        <is>
          <t>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56618-2019</t>
        </is>
      </c>
      <c r="B94" s="1" t="n">
        <v>43763</v>
      </c>
      <c r="C94" s="1" t="n">
        <v>45762</v>
      </c>
      <c r="D94" t="inlineStr">
        <is>
          <t>VÄSTMANLANDS LÄN</t>
        </is>
      </c>
      <c r="E94" t="inlineStr">
        <is>
          <t>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56616-2019</t>
        </is>
      </c>
      <c r="B95" s="1" t="n">
        <v>43763</v>
      </c>
      <c r="C95" s="1" t="n">
        <v>45762</v>
      </c>
      <c r="D95" t="inlineStr">
        <is>
          <t>VÄSTMANLANDS LÄN</t>
        </is>
      </c>
      <c r="E95" t="inlineStr">
        <is>
          <t>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56607-2019</t>
        </is>
      </c>
      <c r="B96" s="1" t="n">
        <v>43763</v>
      </c>
      <c r="C96" s="1" t="n">
        <v>45762</v>
      </c>
      <c r="D96" t="inlineStr">
        <is>
          <t>VÄSTMANLANDS LÄN</t>
        </is>
      </c>
      <c r="E96" t="inlineStr">
        <is>
          <t>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57409-2019</t>
        </is>
      </c>
      <c r="B97" s="1" t="n">
        <v>43767</v>
      </c>
      <c r="C97" s="1" t="n">
        <v>45762</v>
      </c>
      <c r="D97" t="inlineStr">
        <is>
          <t>VÄSTMANLANDS LÄN</t>
        </is>
      </c>
      <c r="E97" t="inlineStr">
        <is>
          <t>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57406-2019</t>
        </is>
      </c>
      <c r="B98" s="1" t="n">
        <v>43767</v>
      </c>
      <c r="C98" s="1" t="n">
        <v>45762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59467-2019</t>
        </is>
      </c>
      <c r="B99" s="1" t="n">
        <v>43775</v>
      </c>
      <c r="C99" s="1" t="n">
        <v>45762</v>
      </c>
      <c r="D99" t="inlineStr">
        <is>
          <t>VÄSTMANLANDS LÄN</t>
        </is>
      </c>
      <c r="E99" t="inlineStr">
        <is>
          <t>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61016-2019</t>
        </is>
      </c>
      <c r="B100" s="1" t="n">
        <v>43782</v>
      </c>
      <c r="C100" s="1" t="n">
        <v>45762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61081-2019</t>
        </is>
      </c>
      <c r="B101" s="1" t="n">
        <v>43782</v>
      </c>
      <c r="C101" s="1" t="n">
        <v>45762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61762-2019</t>
        </is>
      </c>
      <c r="B102" s="1" t="n">
        <v>43784</v>
      </c>
      <c r="C102" s="1" t="n">
        <v>45762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62912-2019</t>
        </is>
      </c>
      <c r="B103" s="1" t="n">
        <v>43784</v>
      </c>
      <c r="C103" s="1" t="n">
        <v>45762</v>
      </c>
      <c r="D103" t="inlineStr">
        <is>
          <t>VÄSTMANLANDS LÄN</t>
        </is>
      </c>
      <c r="E103" t="inlineStr">
        <is>
          <t>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61760-2019</t>
        </is>
      </c>
      <c r="B104" s="1" t="n">
        <v>43784</v>
      </c>
      <c r="C104" s="1" t="n">
        <v>45762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62020-2019</t>
        </is>
      </c>
      <c r="B105" s="1" t="n">
        <v>43787</v>
      </c>
      <c r="C105" s="1" t="n">
        <v>45762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62410-2019</t>
        </is>
      </c>
      <c r="B106" s="1" t="n">
        <v>43788</v>
      </c>
      <c r="C106" s="1" t="n">
        <v>45762</v>
      </c>
      <c r="D106" t="inlineStr">
        <is>
          <t>VÄSTMANLANDS LÄN</t>
        </is>
      </c>
      <c r="E106" t="inlineStr">
        <is>
          <t>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64223-2019</t>
        </is>
      </c>
      <c r="B107" s="1" t="n">
        <v>43797</v>
      </c>
      <c r="C107" s="1" t="n">
        <v>45762</v>
      </c>
      <c r="D107" t="inlineStr">
        <is>
          <t>VÄSTMANLANDS LÄN</t>
        </is>
      </c>
      <c r="E107" t="inlineStr">
        <is>
          <t>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66576-2019</t>
        </is>
      </c>
      <c r="B108" s="1" t="n">
        <v>43803</v>
      </c>
      <c r="C108" s="1" t="n">
        <v>45762</v>
      </c>
      <c r="D108" t="inlineStr">
        <is>
          <t>VÄSTMANLANDS LÄN</t>
        </is>
      </c>
      <c r="E108" t="inlineStr">
        <is>
          <t>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66476-2019</t>
        </is>
      </c>
      <c r="B109" s="1" t="n">
        <v>43809</v>
      </c>
      <c r="C109" s="1" t="n">
        <v>45762</v>
      </c>
      <c r="D109" t="inlineStr">
        <is>
          <t>VÄSTMANLANDS LÄN</t>
        </is>
      </c>
      <c r="E109" t="inlineStr">
        <is>
          <t>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66934-2019</t>
        </is>
      </c>
      <c r="B110" s="1" t="n">
        <v>43810</v>
      </c>
      <c r="C110" s="1" t="n">
        <v>45762</v>
      </c>
      <c r="D110" t="inlineStr">
        <is>
          <t>VÄSTMANLANDS LÄN</t>
        </is>
      </c>
      <c r="E110" t="inlineStr">
        <is>
          <t>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66952-2019</t>
        </is>
      </c>
      <c r="B111" s="1" t="n">
        <v>43810</v>
      </c>
      <c r="C111" s="1" t="n">
        <v>45762</v>
      </c>
      <c r="D111" t="inlineStr">
        <is>
          <t>VÄSTMANLANDS LÄN</t>
        </is>
      </c>
      <c r="E111" t="inlineStr">
        <is>
          <t>KÖPING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67061-2019</t>
        </is>
      </c>
      <c r="B112" s="1" t="n">
        <v>43811</v>
      </c>
      <c r="C112" s="1" t="n">
        <v>45762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549-2020</t>
        </is>
      </c>
      <c r="B113" s="1" t="n">
        <v>43838</v>
      </c>
      <c r="C113" s="1" t="n">
        <v>45762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2323-2020</t>
        </is>
      </c>
      <c r="B114" s="1" t="n">
        <v>43840</v>
      </c>
      <c r="C114" s="1" t="n">
        <v>45762</v>
      </c>
      <c r="D114" t="inlineStr">
        <is>
          <t>VÄSTMANLANDS LÄN</t>
        </is>
      </c>
      <c r="E114" t="inlineStr">
        <is>
          <t>KÖPING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5693-2020</t>
        </is>
      </c>
      <c r="B115" s="1" t="n">
        <v>43861</v>
      </c>
      <c r="C115" s="1" t="n">
        <v>45762</v>
      </c>
      <c r="D115" t="inlineStr">
        <is>
          <t>VÄSTMANLANDS LÄN</t>
        </is>
      </c>
      <c r="E115" t="inlineStr">
        <is>
          <t>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7294-2020</t>
        </is>
      </c>
      <c r="B116" s="1" t="n">
        <v>43871</v>
      </c>
      <c r="C116" s="1" t="n">
        <v>45762</v>
      </c>
      <c r="D116" t="inlineStr">
        <is>
          <t>VÄSTMANLANDS LÄN</t>
        </is>
      </c>
      <c r="E116" t="inlineStr">
        <is>
          <t>KÖPING</t>
        </is>
      </c>
      <c r="F116" t="inlineStr">
        <is>
          <t>Allmännings- och besparingsskogar</t>
        </is>
      </c>
      <c r="G116" t="n">
        <v>31.2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9706-2020</t>
        </is>
      </c>
      <c r="B117" s="1" t="n">
        <v>43881</v>
      </c>
      <c r="C117" s="1" t="n">
        <v>45762</v>
      </c>
      <c r="D117" t="inlineStr">
        <is>
          <t>VÄSTMANLANDS LÄN</t>
        </is>
      </c>
      <c r="E117" t="inlineStr">
        <is>
          <t>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10472-2020</t>
        </is>
      </c>
      <c r="B118" s="1" t="n">
        <v>43886</v>
      </c>
      <c r="C118" s="1" t="n">
        <v>45762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11452-2020</t>
        </is>
      </c>
      <c r="B119" s="1" t="n">
        <v>43893</v>
      </c>
      <c r="C119" s="1" t="n">
        <v>45762</v>
      </c>
      <c r="D119" t="inlineStr">
        <is>
          <t>VÄSTMANLANDS LÄN</t>
        </is>
      </c>
      <c r="E119" t="inlineStr">
        <is>
          <t>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13158-2020</t>
        </is>
      </c>
      <c r="B120" s="1" t="n">
        <v>43901</v>
      </c>
      <c r="C120" s="1" t="n">
        <v>45762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14295-2020</t>
        </is>
      </c>
      <c r="B121" s="1" t="n">
        <v>43907</v>
      </c>
      <c r="C121" s="1" t="n">
        <v>45762</v>
      </c>
      <c r="D121" t="inlineStr">
        <is>
          <t>VÄSTMANLANDS LÄN</t>
        </is>
      </c>
      <c r="E121" t="inlineStr">
        <is>
          <t>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14403-2020</t>
        </is>
      </c>
      <c r="B122" s="1" t="n">
        <v>43908</v>
      </c>
      <c r="C122" s="1" t="n">
        <v>45762</v>
      </c>
      <c r="D122" t="inlineStr">
        <is>
          <t>VÄSTMANLANDS LÄN</t>
        </is>
      </c>
      <c r="E122" t="inlineStr">
        <is>
          <t>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14898-2020</t>
        </is>
      </c>
      <c r="B123" s="1" t="n">
        <v>43910</v>
      </c>
      <c r="C123" s="1" t="n">
        <v>45762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16989-2020</t>
        </is>
      </c>
      <c r="B124" s="1" t="n">
        <v>43921</v>
      </c>
      <c r="C124" s="1" t="n">
        <v>45762</v>
      </c>
      <c r="D124" t="inlineStr">
        <is>
          <t>VÄSTMANLANDS LÄN</t>
        </is>
      </c>
      <c r="E124" t="inlineStr">
        <is>
          <t>KÖPING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16912-2020</t>
        </is>
      </c>
      <c r="B125" s="1" t="n">
        <v>43921</v>
      </c>
      <c r="C125" s="1" t="n">
        <v>45762</v>
      </c>
      <c r="D125" t="inlineStr">
        <is>
          <t>VÄSTMANLANDS LÄN</t>
        </is>
      </c>
      <c r="E125" t="inlineStr">
        <is>
          <t>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20740-2020</t>
        </is>
      </c>
      <c r="B126" s="1" t="n">
        <v>43949</v>
      </c>
      <c r="C126" s="1" t="n">
        <v>45762</v>
      </c>
      <c r="D126" t="inlineStr">
        <is>
          <t>VÄSTMANLANDS LÄN</t>
        </is>
      </c>
      <c r="E126" t="inlineStr">
        <is>
          <t>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21691-2020</t>
        </is>
      </c>
      <c r="B127" s="1" t="n">
        <v>43957</v>
      </c>
      <c r="C127" s="1" t="n">
        <v>45762</v>
      </c>
      <c r="D127" t="inlineStr">
        <is>
          <t>VÄSTMANLANDS LÄN</t>
        </is>
      </c>
      <c r="E127" t="inlineStr">
        <is>
          <t>KÖPING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22523-2020</t>
        </is>
      </c>
      <c r="B128" s="1" t="n">
        <v>43963</v>
      </c>
      <c r="C128" s="1" t="n">
        <v>45762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23780-2020</t>
        </is>
      </c>
      <c r="B129" s="1" t="n">
        <v>43970</v>
      </c>
      <c r="C129" s="1" t="n">
        <v>45762</v>
      </c>
      <c r="D129" t="inlineStr">
        <is>
          <t>VÄSTMANLANDS LÄN</t>
        </is>
      </c>
      <c r="E129" t="inlineStr">
        <is>
          <t>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24271-2020</t>
        </is>
      </c>
      <c r="B130" s="1" t="n">
        <v>43976</v>
      </c>
      <c r="C130" s="1" t="n">
        <v>45762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24309-2020</t>
        </is>
      </c>
      <c r="B131" s="1" t="n">
        <v>43976</v>
      </c>
      <c r="C131" s="1" t="n">
        <v>45762</v>
      </c>
      <c r="D131" t="inlineStr">
        <is>
          <t>VÄSTMANLANDS LÄN</t>
        </is>
      </c>
      <c r="E131" t="inlineStr">
        <is>
          <t>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25480-2020</t>
        </is>
      </c>
      <c r="B132" s="1" t="n">
        <v>43983</v>
      </c>
      <c r="C132" s="1" t="n">
        <v>45762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26013-2020</t>
        </is>
      </c>
      <c r="B133" s="1" t="n">
        <v>43985</v>
      </c>
      <c r="C133" s="1" t="n">
        <v>45762</v>
      </c>
      <c r="D133" t="inlineStr">
        <is>
          <t>VÄSTMANLANDS LÄN</t>
        </is>
      </c>
      <c r="E133" t="inlineStr">
        <is>
          <t>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26343-2020</t>
        </is>
      </c>
      <c r="B134" s="1" t="n">
        <v>43986</v>
      </c>
      <c r="C134" s="1" t="n">
        <v>45762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26743-2020</t>
        </is>
      </c>
      <c r="B135" s="1" t="n">
        <v>43990</v>
      </c>
      <c r="C135" s="1" t="n">
        <v>45762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26754-2020</t>
        </is>
      </c>
      <c r="B136" s="1" t="n">
        <v>43990</v>
      </c>
      <c r="C136" s="1" t="n">
        <v>45762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26771-2020</t>
        </is>
      </c>
      <c r="B137" s="1" t="n">
        <v>43990</v>
      </c>
      <c r="C137" s="1" t="n">
        <v>45762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26749-2020</t>
        </is>
      </c>
      <c r="B138" s="1" t="n">
        <v>43990</v>
      </c>
      <c r="C138" s="1" t="n">
        <v>45762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26759-2020</t>
        </is>
      </c>
      <c r="B139" s="1" t="n">
        <v>43990</v>
      </c>
      <c r="C139" s="1" t="n">
        <v>45762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26765-2020</t>
        </is>
      </c>
      <c r="B140" s="1" t="n">
        <v>43990</v>
      </c>
      <c r="C140" s="1" t="n">
        <v>45762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26740-2020</t>
        </is>
      </c>
      <c r="B141" s="1" t="n">
        <v>43990</v>
      </c>
      <c r="C141" s="1" t="n">
        <v>45762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26769-2020</t>
        </is>
      </c>
      <c r="B142" s="1" t="n">
        <v>43990</v>
      </c>
      <c r="C142" s="1" t="n">
        <v>45762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26782-2020</t>
        </is>
      </c>
      <c r="B143" s="1" t="n">
        <v>43990</v>
      </c>
      <c r="C143" s="1" t="n">
        <v>45762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28555-2020</t>
        </is>
      </c>
      <c r="B144" s="1" t="n">
        <v>43999</v>
      </c>
      <c r="C144" s="1" t="n">
        <v>45762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30928-2020</t>
        </is>
      </c>
      <c r="B145" s="1" t="n">
        <v>44011</v>
      </c>
      <c r="C145" s="1" t="n">
        <v>45762</v>
      </c>
      <c r="D145" t="inlineStr">
        <is>
          <t>VÄSTMANLANDS LÄN</t>
        </is>
      </c>
      <c r="E145" t="inlineStr">
        <is>
          <t>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30985-2020</t>
        </is>
      </c>
      <c r="B146" s="1" t="n">
        <v>44011</v>
      </c>
      <c r="C146" s="1" t="n">
        <v>45762</v>
      </c>
      <c r="D146" t="inlineStr">
        <is>
          <t>VÄSTMANLANDS LÄN</t>
        </is>
      </c>
      <c r="E146" t="inlineStr">
        <is>
          <t>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32265-2020</t>
        </is>
      </c>
      <c r="B147" s="1" t="n">
        <v>44015</v>
      </c>
      <c r="C147" s="1" t="n">
        <v>45762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32605-2020</t>
        </is>
      </c>
      <c r="B148" s="1" t="n">
        <v>44019</v>
      </c>
      <c r="C148" s="1" t="n">
        <v>45762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33417-2020</t>
        </is>
      </c>
      <c r="B149" s="1" t="n">
        <v>44022</v>
      </c>
      <c r="C149" s="1" t="n">
        <v>45762</v>
      </c>
      <c r="D149" t="inlineStr">
        <is>
          <t>VÄSTMANLANDS LÄN</t>
        </is>
      </c>
      <c r="E149" t="inlineStr">
        <is>
          <t>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33865-2020</t>
        </is>
      </c>
      <c r="B150" s="1" t="n">
        <v>44027</v>
      </c>
      <c r="C150" s="1" t="n">
        <v>45762</v>
      </c>
      <c r="D150" t="inlineStr">
        <is>
          <t>VÄSTMANLANDS LÄN</t>
        </is>
      </c>
      <c r="E150" t="inlineStr">
        <is>
          <t>KÖPING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33916-2020</t>
        </is>
      </c>
      <c r="B151" s="1" t="n">
        <v>44027</v>
      </c>
      <c r="C151" s="1" t="n">
        <v>45762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33919-2020</t>
        </is>
      </c>
      <c r="B152" s="1" t="n">
        <v>44027</v>
      </c>
      <c r="C152" s="1" t="n">
        <v>45762</v>
      </c>
      <c r="D152" t="inlineStr">
        <is>
          <t>VÄSTMANLANDS LÄN</t>
        </is>
      </c>
      <c r="E152" t="inlineStr">
        <is>
          <t>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34065-2020</t>
        </is>
      </c>
      <c r="B153" s="1" t="n">
        <v>44028</v>
      </c>
      <c r="C153" s="1" t="n">
        <v>45762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34011-2020</t>
        </is>
      </c>
      <c r="B154" s="1" t="n">
        <v>44028</v>
      </c>
      <c r="C154" s="1" t="n">
        <v>45762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34864-2020</t>
        </is>
      </c>
      <c r="B155" s="1" t="n">
        <v>44036</v>
      </c>
      <c r="C155" s="1" t="n">
        <v>45762</v>
      </c>
      <c r="D155" t="inlineStr">
        <is>
          <t>VÄSTMANLANDS LÄN</t>
        </is>
      </c>
      <c r="E155" t="inlineStr">
        <is>
          <t>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35532-2020</t>
        </is>
      </c>
      <c r="B156" s="1" t="n">
        <v>44043</v>
      </c>
      <c r="C156" s="1" t="n">
        <v>45762</v>
      </c>
      <c r="D156" t="inlineStr">
        <is>
          <t>VÄSTMANLANDS LÄN</t>
        </is>
      </c>
      <c r="E156" t="inlineStr">
        <is>
          <t>KÖPING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37467-2020</t>
        </is>
      </c>
      <c r="B157" s="1" t="n">
        <v>44055</v>
      </c>
      <c r="C157" s="1" t="n">
        <v>45762</v>
      </c>
      <c r="D157" t="inlineStr">
        <is>
          <t>VÄSTMANLANDS LÄN</t>
        </is>
      </c>
      <c r="E157" t="inlineStr">
        <is>
          <t>KÖPING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39936-2020</t>
        </is>
      </c>
      <c r="B158" s="1" t="n">
        <v>44067</v>
      </c>
      <c r="C158" s="1" t="n">
        <v>45762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39982-2020</t>
        </is>
      </c>
      <c r="B159" s="1" t="n">
        <v>44067</v>
      </c>
      <c r="C159" s="1" t="n">
        <v>45762</v>
      </c>
      <c r="D159" t="inlineStr">
        <is>
          <t>VÄSTMANLANDS LÄN</t>
        </is>
      </c>
      <c r="E159" t="inlineStr">
        <is>
          <t>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40486-2020</t>
        </is>
      </c>
      <c r="B160" s="1" t="n">
        <v>44069</v>
      </c>
      <c r="C160" s="1" t="n">
        <v>45762</v>
      </c>
      <c r="D160" t="inlineStr">
        <is>
          <t>VÄSTMANLANDS LÄN</t>
        </is>
      </c>
      <c r="E160" t="inlineStr">
        <is>
          <t>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40547-2020</t>
        </is>
      </c>
      <c r="B161" s="1" t="n">
        <v>44069</v>
      </c>
      <c r="C161" s="1" t="n">
        <v>45762</v>
      </c>
      <c r="D161" t="inlineStr">
        <is>
          <t>VÄSTMANLANDS LÄN</t>
        </is>
      </c>
      <c r="E161" t="inlineStr">
        <is>
          <t>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40671-2020</t>
        </is>
      </c>
      <c r="B162" s="1" t="n">
        <v>44069</v>
      </c>
      <c r="C162" s="1" t="n">
        <v>45762</v>
      </c>
      <c r="D162" t="inlineStr">
        <is>
          <t>VÄSTMANLANDS LÄN</t>
        </is>
      </c>
      <c r="E162" t="inlineStr">
        <is>
          <t>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41464-2020</t>
        </is>
      </c>
      <c r="B163" s="1" t="n">
        <v>44069</v>
      </c>
      <c r="C163" s="1" t="n">
        <v>45762</v>
      </c>
      <c r="D163" t="inlineStr">
        <is>
          <t>VÄSTMANLANDS LÄN</t>
        </is>
      </c>
      <c r="E163" t="inlineStr">
        <is>
          <t>KÖPING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41568-2020</t>
        </is>
      </c>
      <c r="B164" s="1" t="n">
        <v>44069</v>
      </c>
      <c r="C164" s="1" t="n">
        <v>45762</v>
      </c>
      <c r="D164" t="inlineStr">
        <is>
          <t>VÄSTMANLANDS LÄN</t>
        </is>
      </c>
      <c r="E164" t="inlineStr">
        <is>
          <t>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41074-2020</t>
        </is>
      </c>
      <c r="B165" s="1" t="n">
        <v>44071</v>
      </c>
      <c r="C165" s="1" t="n">
        <v>45762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42309-2020</t>
        </is>
      </c>
      <c r="B166" s="1" t="n">
        <v>44076</v>
      </c>
      <c r="C166" s="1" t="n">
        <v>45762</v>
      </c>
      <c r="D166" t="inlineStr">
        <is>
          <t>VÄSTMANLANDS LÄN</t>
        </is>
      </c>
      <c r="E166" t="inlineStr">
        <is>
          <t>KÖPING</t>
        </is>
      </c>
      <c r="F166" t="inlineStr">
        <is>
          <t>Allmännings- och besparingsskogar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43244-2020</t>
        </is>
      </c>
      <c r="B167" s="1" t="n">
        <v>44081</v>
      </c>
      <c r="C167" s="1" t="n">
        <v>45762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44969-2020</t>
        </is>
      </c>
      <c r="B168" s="1" t="n">
        <v>44088</v>
      </c>
      <c r="C168" s="1" t="n">
        <v>45762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47048-2020</t>
        </is>
      </c>
      <c r="B169" s="1" t="n">
        <v>44096</v>
      </c>
      <c r="C169" s="1" t="n">
        <v>45762</v>
      </c>
      <c r="D169" t="inlineStr">
        <is>
          <t>VÄSTMANLANDS LÄN</t>
        </is>
      </c>
      <c r="E169" t="inlineStr">
        <is>
          <t>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47944-2020</t>
        </is>
      </c>
      <c r="B170" s="1" t="n">
        <v>44099</v>
      </c>
      <c r="C170" s="1" t="n">
        <v>45762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50357-2020</t>
        </is>
      </c>
      <c r="B171" s="1" t="n">
        <v>44110</v>
      </c>
      <c r="C171" s="1" t="n">
        <v>45762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50360-2020</t>
        </is>
      </c>
      <c r="B172" s="1" t="n">
        <v>44110</v>
      </c>
      <c r="C172" s="1" t="n">
        <v>45762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51349-2020</t>
        </is>
      </c>
      <c r="B173" s="1" t="n">
        <v>44112</v>
      </c>
      <c r="C173" s="1" t="n">
        <v>45762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51350-2020</t>
        </is>
      </c>
      <c r="B174" s="1" t="n">
        <v>44112</v>
      </c>
      <c r="C174" s="1" t="n">
        <v>45762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51607-2020</t>
        </is>
      </c>
      <c r="B175" s="1" t="n">
        <v>44113</v>
      </c>
      <c r="C175" s="1" t="n">
        <v>45762</v>
      </c>
      <c r="D175" t="inlineStr">
        <is>
          <t>VÄSTMANLANDS LÄN</t>
        </is>
      </c>
      <c r="E175" t="inlineStr">
        <is>
          <t>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52289-2020</t>
        </is>
      </c>
      <c r="B176" s="1" t="n">
        <v>44117</v>
      </c>
      <c r="C176" s="1" t="n">
        <v>45762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53306-2020</t>
        </is>
      </c>
      <c r="B177" s="1" t="n">
        <v>44123</v>
      </c>
      <c r="C177" s="1" t="n">
        <v>45762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54117-2020</t>
        </is>
      </c>
      <c r="B178" s="1" t="n">
        <v>44123</v>
      </c>
      <c r="C178" s="1" t="n">
        <v>45762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54276-2020</t>
        </is>
      </c>
      <c r="B179" s="1" t="n">
        <v>44126</v>
      </c>
      <c r="C179" s="1" t="n">
        <v>45762</v>
      </c>
      <c r="D179" t="inlineStr">
        <is>
          <t>VÄSTMANLANDS LÄN</t>
        </is>
      </c>
      <c r="E179" t="inlineStr">
        <is>
          <t>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54769-2020</t>
        </is>
      </c>
      <c r="B180" s="1" t="n">
        <v>44127</v>
      </c>
      <c r="C180" s="1" t="n">
        <v>45762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23.2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57629-2020</t>
        </is>
      </c>
      <c r="B181" s="1" t="n">
        <v>44140</v>
      </c>
      <c r="C181" s="1" t="n">
        <v>45762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57979-2020</t>
        </is>
      </c>
      <c r="B182" s="1" t="n">
        <v>44143</v>
      </c>
      <c r="C182" s="1" t="n">
        <v>45762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61201-2020</t>
        </is>
      </c>
      <c r="B183" s="1" t="n">
        <v>44155</v>
      </c>
      <c r="C183" s="1" t="n">
        <v>45762</v>
      </c>
      <c r="D183" t="inlineStr">
        <is>
          <t>VÄSTMANLANDS LÄN</t>
        </is>
      </c>
      <c r="E183" t="inlineStr">
        <is>
          <t>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61202-2020</t>
        </is>
      </c>
      <c r="B184" s="1" t="n">
        <v>44155</v>
      </c>
      <c r="C184" s="1" t="n">
        <v>45762</v>
      </c>
      <c r="D184" t="inlineStr">
        <is>
          <t>VÄSTMANLANDS LÄN</t>
        </is>
      </c>
      <c r="E184" t="inlineStr">
        <is>
          <t>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64317-2020</t>
        </is>
      </c>
      <c r="B185" s="1" t="n">
        <v>44167</v>
      </c>
      <c r="C185" s="1" t="n">
        <v>45762</v>
      </c>
      <c r="D185" t="inlineStr">
        <is>
          <t>VÄSTMANLANDS LÄN</t>
        </is>
      </c>
      <c r="E185" t="inlineStr">
        <is>
          <t>KÖPING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65193-2020</t>
        </is>
      </c>
      <c r="B186" s="1" t="n">
        <v>44172</v>
      </c>
      <c r="C186" s="1" t="n">
        <v>45762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67005-2020</t>
        </is>
      </c>
      <c r="B187" s="1" t="n">
        <v>44180</v>
      </c>
      <c r="C187" s="1" t="n">
        <v>45762</v>
      </c>
      <c r="D187" t="inlineStr">
        <is>
          <t>VÄSTMANLANDS LÄN</t>
        </is>
      </c>
      <c r="E187" t="inlineStr">
        <is>
          <t>KÖPING</t>
        </is>
      </c>
      <c r="F187" t="inlineStr">
        <is>
          <t>Allmännings- och besparingsskogar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68513-2020</t>
        </is>
      </c>
      <c r="B188" s="1" t="n">
        <v>44186</v>
      </c>
      <c r="C188" s="1" t="n">
        <v>45762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45762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45762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45762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45762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45762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45762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45762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45762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45762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45762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45762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45762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45762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45762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45762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45762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45762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45762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45762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45762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45762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45762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45762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45762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45762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45762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45762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45762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45762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45762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45762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45762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45762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45762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45762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45762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45762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45762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45762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45762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45762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45762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45762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45762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45762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45762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45762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45762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45762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45762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45762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45762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45762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45762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45762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45762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45762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45762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45762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45762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45762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45762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45762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45762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45762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45762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45762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45762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45762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45762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45762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45762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45762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45762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45762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45762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45762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45762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45762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45762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45762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45762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45762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45762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45762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45762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45762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45762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45762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45762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45762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45762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45762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45762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45762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45762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45762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45762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45762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45762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45762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45762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45762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45762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45762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45762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45762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45762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45762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45762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45762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45762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45762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45762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45762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45762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45762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45762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45762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45762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45762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45762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45762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45762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45762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45762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45762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45762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45762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45762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45762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45762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45762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45762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45762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45762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45762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45762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45762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45762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45762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45762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45762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45762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45762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45762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45762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45762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45762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45762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45762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45762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45762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45762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45762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45762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45762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45762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45762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45762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45762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45762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45762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45762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45762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45762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45762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45762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45762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45762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45762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45762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45762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45762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45762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45762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45762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45762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45762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45762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45762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45762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45762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45762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45762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45762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45762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45762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45762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45762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45762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45762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45762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45762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45762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45762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45762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45762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45762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45762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45762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45762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45762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45762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45762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45762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45762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45762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45762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45762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45762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45762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45762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45762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45762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45762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45762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45762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45762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45762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45762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45762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45762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45762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45762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45762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45762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45762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45762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45762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45762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45762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45762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45762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45762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45762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45762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45762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45762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45762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45762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45762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45762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45762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45762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45762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45762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45762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45762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45762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45762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45762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45762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45762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45762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45762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45762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45762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45762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45762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45762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45762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45762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45762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45762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45762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45762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45762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45762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45762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45762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45762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45762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45762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45762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45762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45762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45762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45762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45762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45762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45762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45762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45762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45762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45762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45762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45762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45762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45762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45762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45762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45762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45762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45762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45762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45762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45762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45762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45762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45762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45762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45762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45762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45762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45762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45762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45762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45762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45762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45762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45762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45762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45762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45762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45762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45762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45762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45762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45762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45762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45762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45762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45762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45762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45762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45762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45762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45762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45762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45762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45762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45762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45762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45762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45762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45762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45762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45762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45762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45762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45762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45762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45762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45762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45762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45762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45762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45762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45762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45762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45762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45762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45762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45762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45762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45762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45762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45762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45762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45762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45762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45762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45762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45762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45762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45762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45762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45762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45762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45762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45762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45762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45762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45762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45762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45762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45762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45762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45762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45762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45762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45762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45762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45762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45762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45762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45762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45762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45762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45762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45762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45762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45762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45762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45762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45762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45762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45762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45762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45762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45762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45762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45762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45762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45762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45762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45762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45762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45762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45762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45762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45762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45762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45762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45762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45762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45762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45762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45762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45762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45762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45762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45762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45762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45762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45762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45762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45762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45762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45762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45762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45762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45762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45762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45762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45762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45762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45762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45762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45762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45762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45762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45762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45762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45762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45762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45762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45762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45762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45762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45762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45762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45762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45762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45762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45762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45762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45762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45762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45762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45762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45762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45762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45762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45762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45762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45762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45762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45762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45762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45762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45762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45762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45762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45762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45762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45762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45762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45762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45762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45762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45762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45762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45762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45762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45762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45762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45762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45762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45762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45762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45762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45762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45762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45762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45762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45762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45762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45762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45762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45762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45762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45762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45762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45762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45762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45762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45762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45762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45762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45762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45762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45762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45762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45762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15858-2025</t>
        </is>
      </c>
      <c r="B705" s="1" t="n">
        <v>45749</v>
      </c>
      <c r="C705" s="1" t="n">
        <v>45762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16922-2025</t>
        </is>
      </c>
      <c r="B706" s="1" t="n">
        <v>45755</v>
      </c>
      <c r="C706" s="1" t="n">
        <v>45762</v>
      </c>
      <c r="D706" t="inlineStr">
        <is>
          <t>VÄSTMANLANDS LÄN</t>
        </is>
      </c>
      <c r="E706" t="inlineStr">
        <is>
          <t>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17235-2025</t>
        </is>
      </c>
      <c r="B707" s="1" t="n">
        <v>45756</v>
      </c>
      <c r="C707" s="1" t="n">
        <v>45762</v>
      </c>
      <c r="D707" t="inlineStr">
        <is>
          <t>VÄSTMANLANDS LÄN</t>
        </is>
      </c>
      <c r="E707" t="inlineStr">
        <is>
          <t>KÖPING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18162-2025</t>
        </is>
      </c>
      <c r="B708" s="1" t="n">
        <v>45761</v>
      </c>
      <c r="C708" s="1" t="n">
        <v>45762</v>
      </c>
      <c r="D708" t="inlineStr">
        <is>
          <t>VÄSTMANLANDS LÄN</t>
        </is>
      </c>
      <c r="E708" t="inlineStr">
        <is>
          <t>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2025-04-15T16:16:09Z</dcterms:created>
  <dcterms:modified xmlns:dcterms="http://purl.org/dc/terms/" xmlns:xsi="http://www.w3.org/2001/XMLSchema-instance" xsi:type="dcterms:W3CDTF">2025-04-15T16:16:10Z</dcterms:modified>
</cp:coreProperties>
</file>