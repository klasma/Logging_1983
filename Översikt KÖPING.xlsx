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46258</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46258</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46258</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56048-2024</t>
        </is>
      </c>
      <c r="B6" t="inlineStr">
        <is>
          <t>avverkningsanmälan</t>
        </is>
      </c>
      <c r="C6" t="inlineStr">
        <is>
          <t>Föryngringsavverkning</t>
        </is>
      </c>
      <c r="D6" s="1" t="n">
        <v>45624</v>
      </c>
      <c r="E6" s="1" t="n">
        <v>46258</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46258</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46258</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46258</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46258</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46258</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46258</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46258</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46258</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46258</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46258</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46258</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46258</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10900-2022</t>
        </is>
      </c>
      <c r="B19" t="inlineStr">
        <is>
          <t>avverkningsanmälan</t>
        </is>
      </c>
      <c r="C19" t="inlineStr">
        <is>
          <t>Föryngringsavverkning</t>
        </is>
      </c>
      <c r="D19" s="1" t="n">
        <v>44627</v>
      </c>
      <c r="E19" s="1" t="n">
        <v>46258</v>
      </c>
      <c r="F19" t="inlineStr">
        <is>
          <t>VÄSTMANLANDS LÄN</t>
        </is>
      </c>
      <c r="G19" t="inlineStr">
        <is>
          <t>KÖPING</t>
        </is>
      </c>
      <c r="I19" t="n">
        <v>1.5</v>
      </c>
      <c r="J19" t="n">
        <v>0</v>
      </c>
      <c r="K19" t="n">
        <v>0</v>
      </c>
      <c r="L19" t="n">
        <v>1</v>
      </c>
      <c r="M19" t="n">
        <v>0</v>
      </c>
      <c r="N19" t="n">
        <v>0</v>
      </c>
      <c r="O19" t="n">
        <v>0</v>
      </c>
      <c r="P19" t="n">
        <v>0</v>
      </c>
      <c r="Q19" t="n">
        <v>1</v>
      </c>
      <c r="R19" t="n">
        <v>0</v>
      </c>
      <c r="S19" t="n">
        <v>1</v>
      </c>
      <c r="T19" t="n">
        <v>1</v>
      </c>
      <c r="U19" t="n">
        <v>1</v>
      </c>
      <c r="V19" s="2" t="inlineStr">
        <is>
          <t>Klofibbla</t>
        </is>
      </c>
      <c r="W19">
        <f>HYPERLINK("https://klasma.github.io/Logging_1983/artfynd/A 10900-2022 artfynd.xlsx", "A 10900-2022")</f>
        <v/>
      </c>
      <c r="X19">
        <f>HYPERLINK("https://klasma.github.io/Logging_1983/kartor/A 10900-2022 karta.png", "A 10900-2022")</f>
        <v/>
      </c>
      <c r="Y19">
        <f>HYPERLINK("https://klasma.github.io/Logging_1983/kartor_geotiff/A 10900-2022 georefererad karta.tif", "A 10900-2022")</f>
        <v/>
      </c>
      <c r="AA19">
        <f>HYPERLINK("https://klasma.github.io/Logging_1983/klagomål/A 10900-2022 FSC-klagomål.docx", "A 10900-2022")</f>
        <v/>
      </c>
      <c r="AB19">
        <f>HYPERLINK("https://klasma.github.io/Logging_1983/klagomålsmail/A 10900-2022 FSC-klagomål mail.docx", "A 10900-2022")</f>
        <v/>
      </c>
      <c r="AC19">
        <f>HYPERLINK("https://klasma.github.io/Logging_1983/tillsyn/A 10900-2022 tillsynsbegäran.docx", "A 10900-2022")</f>
        <v/>
      </c>
      <c r="AD19">
        <f>HYPERLINK("https://klasma.github.io/Logging_1983/tillsynsmail/A 10900-2022 tillsynsbegäran mail.docx", "A 10900-2022")</f>
        <v/>
      </c>
    </row>
    <row r="20" ht="15" customHeight="1">
      <c r="A20" t="inlineStr">
        <is>
          <t>A 45826-2021</t>
        </is>
      </c>
      <c r="B20" t="inlineStr">
        <is>
          <t>avverkningsanmälan</t>
        </is>
      </c>
      <c r="C20" t="inlineStr">
        <is>
          <t>Föryngringsavverkning</t>
        </is>
      </c>
      <c r="D20" s="1" t="n">
        <v>44441</v>
      </c>
      <c r="E20" s="1" t="n">
        <v>46258</v>
      </c>
      <c r="F20" t="inlineStr">
        <is>
          <t>VÄSTMANLANDS LÄN</t>
        </is>
      </c>
      <c r="G20" t="inlineStr">
        <is>
          <t>KÖPING</t>
        </is>
      </c>
      <c r="I20" t="n">
        <v>9</v>
      </c>
      <c r="J20" t="n">
        <v>1</v>
      </c>
      <c r="K20" t="n">
        <v>0</v>
      </c>
      <c r="L20" t="n">
        <v>0</v>
      </c>
      <c r="M20" t="n">
        <v>0</v>
      </c>
      <c r="N20" t="n">
        <v>0</v>
      </c>
      <c r="O20" t="n">
        <v>0</v>
      </c>
      <c r="P20" t="n">
        <v>0</v>
      </c>
      <c r="Q20" t="n">
        <v>0</v>
      </c>
      <c r="R20" t="n">
        <v>0</v>
      </c>
      <c r="S20" t="n">
        <v>1</v>
      </c>
      <c r="T20" t="n">
        <v>2</v>
      </c>
      <c r="U20" t="n">
        <v>2</v>
      </c>
      <c r="V20" s="2" t="inlineStr">
        <is>
          <t>Fläcknycklar</t>
        </is>
      </c>
      <c r="W20">
        <f>HYPERLINK("https://klasma.github.io/Logging_1983/artfynd/A 45826-2021 artfynd.xlsx", "A 45826-2021")</f>
        <v/>
      </c>
      <c r="X20">
        <f>HYPERLINK("https://klasma.github.io/Logging_1983/kartor/A 45826-2021 karta.png", "A 45826-2021")</f>
        <v/>
      </c>
      <c r="Y20">
        <f>HYPERLINK("https://klasma.github.io/Logging_1983/kartor_geotiff/A 45826-2021 georefererad karta.tif", "A 45826-2021")</f>
        <v/>
      </c>
      <c r="AA20">
        <f>HYPERLINK("https://klasma.github.io/Logging_1983/klagomål/A 45826-2021 FSC-klagomål.docx", "A 45826-2021")</f>
        <v/>
      </c>
      <c r="AB20">
        <f>HYPERLINK("https://klasma.github.io/Logging_1983/klagomålsmail/A 45826-2021 FSC-klagomål mail.docx", "A 45826-2021")</f>
        <v/>
      </c>
      <c r="AC20">
        <f>HYPERLINK("https://klasma.github.io/Logging_1983/tillsyn/A 45826-2021 tillsynsbegäran.docx", "A 45826-2021")</f>
        <v/>
      </c>
      <c r="AD20">
        <f>HYPERLINK("https://klasma.github.io/Logging_1983/tillsynsmail/A 45826-2021 tillsynsbegäran mail.docx", "A 45826-2021")</f>
        <v/>
      </c>
    </row>
    <row r="21" ht="15" customHeight="1">
      <c r="A21" t="inlineStr">
        <is>
          <t>A 40696-2025</t>
        </is>
      </c>
      <c r="B21" t="inlineStr">
        <is>
          <t>avverkningsanmälan</t>
        </is>
      </c>
      <c r="C21" t="inlineStr">
        <is>
          <t>Föryngringsavverkning</t>
        </is>
      </c>
      <c r="D21" s="1" t="n">
        <v>45897</v>
      </c>
      <c r="E21" s="1" t="n">
        <v>46258</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46258</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46258</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12503-2023</t>
        </is>
      </c>
      <c r="B24" t="inlineStr">
        <is>
          <t>avverkningsanmälan</t>
        </is>
      </c>
      <c r="C24" t="inlineStr">
        <is>
          <t>Föryngringsavverkning</t>
        </is>
      </c>
      <c r="D24" s="1" t="n">
        <v>44999</v>
      </c>
      <c r="E24" s="1" t="n">
        <v>46258</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HYPERLINK("https://klasma.github.io/Logging_1983/artfynd/A 12503-2023 artfynd.xlsx", "A 12503-2023")</f>
        <v/>
      </c>
      <c r="X24">
        <f>HYPERLINK("https://klasma.github.io/Logging_1983/kartor/A 12503-2023 karta.png", "A 12503-2023")</f>
        <v/>
      </c>
      <c r="Y24">
        <f>HYPERLINK("https://klasma.github.io/Logging_1983/kartor_geotiff/A 12503-2023 georefererad karta.tif", "A 12503-2023")</f>
        <v/>
      </c>
      <c r="AA24">
        <f>HYPERLINK("https://klasma.github.io/Logging_1983/klagomål/A 12503-2023 FSC-klagomål.docx", "A 12503-2023")</f>
        <v/>
      </c>
      <c r="AB24">
        <f>HYPERLINK("https://klasma.github.io/Logging_1983/klagomålsmail/A 12503-2023 FSC-klagomål mail.docx", "A 12503-2023")</f>
        <v/>
      </c>
      <c r="AC24">
        <f>HYPERLINK("https://klasma.github.io/Logging_1983/tillsyn/A 12503-2023 tillsynsbegäran.docx", "A 12503-2023")</f>
        <v/>
      </c>
      <c r="AD24">
        <f>HYPERLINK("https://klasma.github.io/Logging_1983/tillsynsmail/A 12503-2023 tillsynsbegäran mail.docx", "A 12503-2023")</f>
        <v/>
      </c>
      <c r="AE24">
        <f>HYPERLINK("https://klasma.github.io/Logging_1983/fåglar/A 12503-2023 prioriterade fågelarter.docx", "A 12503-2023")</f>
        <v/>
      </c>
    </row>
    <row r="25" ht="15" customHeight="1">
      <c r="A25" t="inlineStr">
        <is>
          <t>A 46126-2022</t>
        </is>
      </c>
      <c r="B25" t="inlineStr">
        <is>
          <t>avverkningsanmälan</t>
        </is>
      </c>
      <c r="C25" t="inlineStr">
        <is>
          <t>Föryngringsavverkning</t>
        </is>
      </c>
      <c r="D25" s="1" t="n">
        <v>44847</v>
      </c>
      <c r="E25" s="1" t="n">
        <v>46258</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46258</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46258</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13066-2025</t>
        </is>
      </c>
      <c r="B28" t="inlineStr">
        <is>
          <t>avverkningsanmälan</t>
        </is>
      </c>
      <c r="C28" t="inlineStr">
        <is>
          <t>Föryngringsavverkning</t>
        </is>
      </c>
      <c r="D28" s="1" t="n">
        <v>45734</v>
      </c>
      <c r="E28" s="1" t="n">
        <v>46258</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46258</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46258</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26941-2026</t>
        </is>
      </c>
      <c r="B31" t="inlineStr">
        <is>
          <t>avverkningsanmälan</t>
        </is>
      </c>
      <c r="C31" t="inlineStr">
        <is>
          <t>Föryngringsavverkning</t>
        </is>
      </c>
      <c r="D31" s="1" t="n">
        <v>46185</v>
      </c>
      <c r="E31" s="1" t="n">
        <v>46258</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32097-2026</t>
        </is>
      </c>
      <c r="B32" t="inlineStr">
        <is>
          <t>avverkningsanmälan</t>
        </is>
      </c>
      <c r="C32" t="inlineStr">
        <is>
          <t>Föryngringsavverkning</t>
        </is>
      </c>
      <c r="D32" s="1" t="n">
        <v>46234</v>
      </c>
      <c r="E32" s="1" t="n">
        <v>46258</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32767-2026</t>
        </is>
      </c>
      <c r="B33" t="inlineStr">
        <is>
          <t>avverkningsanmälan</t>
        </is>
      </c>
      <c r="C33" t="inlineStr">
        <is>
          <t>Föryngringsavverkning</t>
        </is>
      </c>
      <c r="D33" s="1" t="n">
        <v>46241</v>
      </c>
      <c r="E33" s="1" t="n">
        <v>46258</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29089-2026</t>
        </is>
      </c>
      <c r="B34" t="inlineStr">
        <is>
          <t>avverkningsanmälan</t>
        </is>
      </c>
      <c r="C34" t="inlineStr">
        <is>
          <t>Föryngringsavverkning</t>
        </is>
      </c>
      <c r="D34" s="1" t="n">
        <v>46200</v>
      </c>
      <c r="E34" s="1" t="n">
        <v>46258</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60991-2023</t>
        </is>
      </c>
      <c r="B35" t="inlineStr">
        <is>
          <t>avverkningsanmälan</t>
        </is>
      </c>
      <c r="C35" t="inlineStr">
        <is>
          <t>Avverkning för annat ändamål</t>
        </is>
      </c>
      <c r="D35" s="1" t="n">
        <v>45261</v>
      </c>
      <c r="E35" s="1" t="n">
        <v>46258</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33498-2025</t>
        </is>
      </c>
      <c r="B36" t="inlineStr">
        <is>
          <t>avverkningsanmälan</t>
        </is>
      </c>
      <c r="C36" t="inlineStr">
        <is>
          <t>Föryngringsavverkning</t>
        </is>
      </c>
      <c r="D36" s="1" t="n">
        <v>45841</v>
      </c>
      <c r="E36" s="1" t="n">
        <v>46258</v>
      </c>
      <c r="F36" t="inlineStr">
        <is>
          <t>VÄSTMANLANDS LÄN</t>
        </is>
      </c>
      <c r="G36" t="inlineStr">
        <is>
          <t>KÖPING</t>
        </is>
      </c>
      <c r="H36" t="inlineStr">
        <is>
          <t>Sveaskog</t>
        </is>
      </c>
      <c r="I36" t="n">
        <v>1</v>
      </c>
      <c r="J36" t="n">
        <v>0</v>
      </c>
      <c r="K36" t="n">
        <v>0</v>
      </c>
      <c r="L36" t="n">
        <v>1</v>
      </c>
      <c r="M36" t="n">
        <v>0</v>
      </c>
      <c r="N36" t="n">
        <v>0</v>
      </c>
      <c r="O36" t="n">
        <v>0</v>
      </c>
      <c r="P36" t="n">
        <v>0</v>
      </c>
      <c r="Q36" t="n">
        <v>1</v>
      </c>
      <c r="R36" t="n">
        <v>0</v>
      </c>
      <c r="S36" t="n">
        <v>1</v>
      </c>
      <c r="T36" t="n">
        <v>2</v>
      </c>
      <c r="U36" t="n">
        <v>0</v>
      </c>
      <c r="V36" s="2" t="inlineStr">
        <is>
          <t>Skogsklocka</t>
        </is>
      </c>
      <c r="W36">
        <f>HYPERLINK("https://klasma.github.io/Logging_1983/artfynd/A 33498-2025 artfynd.xlsx", "A 33498-2025")</f>
        <v/>
      </c>
      <c r="X36">
        <f>HYPERLINK("https://klasma.github.io/Logging_1983/kartor/A 33498-2025 karta.png", "A 33498-2025")</f>
        <v/>
      </c>
      <c r="Y36">
        <f>HYPERLINK("https://klasma.github.io/Logging_1983/kartor_geotiff/A 33498-2025 georefererad karta.tif", "A 33498-2025")</f>
        <v/>
      </c>
      <c r="AA36">
        <f>HYPERLINK("https://klasma.github.io/Logging_1983/klagomål/A 33498-2025 FSC-klagomål.docx", "A 33498-2025")</f>
        <v/>
      </c>
      <c r="AB36">
        <f>HYPERLINK("https://klasma.github.io/Logging_1983/klagomålsmail/A 33498-2025 FSC-klagomål mail.docx", "A 33498-2025")</f>
        <v/>
      </c>
      <c r="AC36">
        <f>HYPERLINK("https://klasma.github.io/Logging_1983/tillsyn/A 33498-2025 tillsynsbegäran.docx", "A 33498-2025")</f>
        <v/>
      </c>
      <c r="AD36">
        <f>HYPERLINK("https://klasma.github.io/Logging_1983/tillsynsmail/A 33498-2025 tillsynsbegäran mail.docx", "A 33498-2025")</f>
        <v/>
      </c>
    </row>
    <row r="37" ht="15" customHeight="1">
      <c r="A37" t="inlineStr">
        <is>
          <t>A 30315-2026</t>
        </is>
      </c>
      <c r="B37" t="inlineStr">
        <is>
          <t>avverkningsanmälan</t>
        </is>
      </c>
      <c r="C37" t="inlineStr">
        <is>
          <t>Föryngringsavverkning</t>
        </is>
      </c>
      <c r="D37" s="1" t="n">
        <v>46206</v>
      </c>
      <c r="E37" s="1" t="n">
        <v>46258</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46258</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46258</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46258</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46258</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46258</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46258</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46258</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46258</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46258</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46258</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46258</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46258</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46258</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46258</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41052-2022</t>
        </is>
      </c>
      <c r="B52" t="inlineStr">
        <is>
          <t>avverkningsanmälan</t>
        </is>
      </c>
      <c r="C52" t="inlineStr">
        <is>
          <t>Föryngringsavverkning</t>
        </is>
      </c>
      <c r="D52" s="1" t="n">
        <v>44825</v>
      </c>
      <c r="E52" s="1" t="n">
        <v>46258</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46258</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46258</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46258</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46258</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46258</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46258</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46258</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46258</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46258</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46258</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46258</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46258</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46258</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46258</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24473-2025</t>
        </is>
      </c>
      <c r="B67" t="inlineStr">
        <is>
          <t>avverkningsanmälan</t>
        </is>
      </c>
      <c r="C67" t="inlineStr">
        <is>
          <t>Föryngringsavverkning</t>
        </is>
      </c>
      <c r="D67" s="1" t="n">
        <v>45798</v>
      </c>
      <c r="E67" s="1" t="n">
        <v>46258</v>
      </c>
      <c r="F67" t="inlineStr">
        <is>
          <t>VÄSTMANLANDS LÄN</t>
        </is>
      </c>
      <c r="G67" t="inlineStr">
        <is>
          <t>KÖPING</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24477-2025</t>
        </is>
      </c>
      <c r="B68" t="inlineStr">
        <is>
          <t>avverkningsanmälan</t>
        </is>
      </c>
      <c r="C68" t="inlineStr">
        <is>
          <t>Föryngringsavverkning</t>
        </is>
      </c>
      <c r="D68" s="1" t="n">
        <v>45798</v>
      </c>
      <c r="E68" s="1" t="n">
        <v>46258</v>
      </c>
      <c r="F68" t="inlineStr">
        <is>
          <t>VÄSTMANLANDS LÄN</t>
        </is>
      </c>
      <c r="G68" t="inlineStr">
        <is>
          <t>KÖPING</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24479-2025</t>
        </is>
      </c>
      <c r="B69" t="inlineStr">
        <is>
          <t>avverkningsanmälan</t>
        </is>
      </c>
      <c r="C69" t="inlineStr">
        <is>
          <t>Föryngringsavverkning</t>
        </is>
      </c>
      <c r="D69" s="1" t="n">
        <v>45798</v>
      </c>
      <c r="E69" s="1" t="n">
        <v>46258</v>
      </c>
      <c r="F69" t="inlineStr">
        <is>
          <t>VÄSTMANLANDS LÄN</t>
        </is>
      </c>
      <c r="G69" t="inlineStr">
        <is>
          <t>KÖPING</t>
        </is>
      </c>
      <c r="H69" t="inlineStr">
        <is>
          <t>Sveaskog</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53148-2021</t>
        </is>
      </c>
      <c r="B70" t="inlineStr">
        <is>
          <t>avverkningsanmälan</t>
        </is>
      </c>
      <c r="C70" t="inlineStr">
        <is>
          <t>Avverkning för att bevara och utveckla /försöksver</t>
        </is>
      </c>
      <c r="D70" s="1" t="n">
        <v>44468</v>
      </c>
      <c r="E70" s="1" t="n">
        <v>46258</v>
      </c>
      <c r="F70" t="inlineStr">
        <is>
          <t>VÄSTMANLANDS LÄN</t>
        </is>
      </c>
      <c r="G70" t="inlineStr">
        <is>
          <t>KÖPING</t>
        </is>
      </c>
      <c r="H70" t="inlineStr">
        <is>
          <t>Sveaskog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60627-2021</t>
        </is>
      </c>
      <c r="B71" t="inlineStr">
        <is>
          <t>avverkningsanmälan</t>
        </is>
      </c>
      <c r="C71" t="inlineStr">
        <is>
          <t>Avverkning för annat ändamål</t>
        </is>
      </c>
      <c r="D71" s="1" t="n">
        <v>44496</v>
      </c>
      <c r="E71" s="1" t="n">
        <v>46258</v>
      </c>
      <c r="F71" t="inlineStr">
        <is>
          <t>VÄSTMANLANDS LÄN</t>
        </is>
      </c>
      <c r="G71" t="inlineStr">
        <is>
          <t>KÖPING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25543-2025</t>
        </is>
      </c>
      <c r="B72" t="inlineStr">
        <is>
          <t>avverkningsanmälan</t>
        </is>
      </c>
      <c r="C72" t="inlineStr">
        <is>
          <t>Föryngringsavverkning</t>
        </is>
      </c>
      <c r="D72" s="1" t="n">
        <v>45803</v>
      </c>
      <c r="E72" s="1" t="n">
        <v>46258</v>
      </c>
      <c r="F72" t="inlineStr">
        <is>
          <t>VÄSTMANLANDS LÄN</t>
        </is>
      </c>
      <c r="G72" t="inlineStr">
        <is>
          <t>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45714-2021</t>
        </is>
      </c>
      <c r="B73" t="inlineStr">
        <is>
          <t>avverkningsanmälan</t>
        </is>
      </c>
      <c r="C73" t="inlineStr">
        <is>
          <t>Föryngringsavverkning</t>
        </is>
      </c>
      <c r="D73" s="1" t="n">
        <v>44441</v>
      </c>
      <c r="E73" s="1" t="n">
        <v>46258</v>
      </c>
      <c r="F73" t="inlineStr">
        <is>
          <t>VÄSTMANLANDS LÄN</t>
        </is>
      </c>
      <c r="G73" t="inlineStr">
        <is>
          <t>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23624-2022</t>
        </is>
      </c>
      <c r="B74" t="inlineStr">
        <is>
          <t>avverkningsanmälan</t>
        </is>
      </c>
      <c r="C74" t="inlineStr">
        <is>
          <t>Föryngringsavverkning</t>
        </is>
      </c>
      <c r="D74" s="1" t="n">
        <v>44721</v>
      </c>
      <c r="E74" s="1" t="n">
        <v>46258</v>
      </c>
      <c r="F74" t="inlineStr">
        <is>
          <t>VÄSTMANLANDS LÄN</t>
        </is>
      </c>
      <c r="G74" t="inlineStr">
        <is>
          <t>KÖPING</t>
        </is>
      </c>
      <c r="I74" t="n">
        <v>14.1</v>
      </c>
      <c r="J74" t="n">
        <v>0</v>
      </c>
      <c r="K74" t="n">
        <v>0</v>
      </c>
      <c r="L74" t="n">
        <v>0</v>
      </c>
      <c r="M74" t="n">
        <v>0</v>
      </c>
      <c r="N74" t="n">
        <v>0</v>
      </c>
      <c r="O74" t="n">
        <v>0</v>
      </c>
      <c r="P74" t="n">
        <v>0</v>
      </c>
      <c r="Q74" t="n">
        <v>0</v>
      </c>
      <c r="R74" t="n">
        <v>0</v>
      </c>
      <c r="S74" t="n">
        <v>0</v>
      </c>
      <c r="T74" t="n">
        <v>0</v>
      </c>
      <c r="U74" t="n">
        <v>0</v>
      </c>
      <c r="V74" s="2" t="inlineStr"/>
    </row>
    <row r="75" ht="15" customHeight="1">
      <c r="A75" t="inlineStr">
        <is>
          <t>A 41472-2024</t>
        </is>
      </c>
      <c r="B75" t="inlineStr">
        <is>
          <t>avverkningsanmälan</t>
        </is>
      </c>
      <c r="C75" t="inlineStr">
        <is>
          <t>Föryngringsavverkning</t>
        </is>
      </c>
      <c r="D75" s="1" t="n">
        <v>45560</v>
      </c>
      <c r="E75" s="1" t="n">
        <v>46258</v>
      </c>
      <c r="F75" t="inlineStr">
        <is>
          <t>VÄSTMANLANDS LÄN</t>
        </is>
      </c>
      <c r="G75" t="inlineStr">
        <is>
          <t>KÖPING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15858-2025</t>
        </is>
      </c>
      <c r="B76" t="inlineStr">
        <is>
          <t>avverkningsanmälan</t>
        </is>
      </c>
      <c r="C76" t="inlineStr">
        <is>
          <t>Föryngringsavverkning</t>
        </is>
      </c>
      <c r="D76" s="1" t="n">
        <v>45749</v>
      </c>
      <c r="E76" s="1" t="n">
        <v>46258</v>
      </c>
      <c r="F76" t="inlineStr">
        <is>
          <t>VÄSTMANLANDS LÄN</t>
        </is>
      </c>
      <c r="G76" t="inlineStr">
        <is>
          <t>KÖPING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26839-2025</t>
        </is>
      </c>
      <c r="B77" t="inlineStr">
        <is>
          <t>avverkningsanmälan</t>
        </is>
      </c>
      <c r="C77" t="inlineStr">
        <is>
          <t>Föryngringsavverkning</t>
        </is>
      </c>
      <c r="D77" s="1" t="n">
        <v>45810</v>
      </c>
      <c r="E77" s="1" t="n">
        <v>46258</v>
      </c>
      <c r="F77" t="inlineStr">
        <is>
          <t>VÄSTMANLANDS LÄN</t>
        </is>
      </c>
      <c r="G77" t="inlineStr">
        <is>
          <t>KÖPING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28230-2023</t>
        </is>
      </c>
      <c r="B78" t="inlineStr">
        <is>
          <t>avverkningsanmälan</t>
        </is>
      </c>
      <c r="C78" t="inlineStr">
        <is>
          <t>Föryngringsavverkning</t>
        </is>
      </c>
      <c r="D78" s="1" t="n">
        <v>45099</v>
      </c>
      <c r="E78" s="1" t="n">
        <v>46258</v>
      </c>
      <c r="F78" t="inlineStr">
        <is>
          <t>VÄSTMANLANDS LÄN</t>
        </is>
      </c>
      <c r="G78" t="inlineStr">
        <is>
          <t>KÖPING</t>
        </is>
      </c>
      <c r="I78" t="n">
        <v>6.7</v>
      </c>
      <c r="J78" t="n">
        <v>0</v>
      </c>
      <c r="K78" t="n">
        <v>0</v>
      </c>
      <c r="L78" t="n">
        <v>0</v>
      </c>
      <c r="M78" t="n">
        <v>0</v>
      </c>
      <c r="N78" t="n">
        <v>0</v>
      </c>
      <c r="O78" t="n">
        <v>0</v>
      </c>
      <c r="P78" t="n">
        <v>0</v>
      </c>
      <c r="Q78" t="n">
        <v>0</v>
      </c>
      <c r="R78" t="n">
        <v>0</v>
      </c>
      <c r="S78" t="n">
        <v>0</v>
      </c>
      <c r="T78" t="n">
        <v>0</v>
      </c>
      <c r="U78" t="n">
        <v>0</v>
      </c>
      <c r="V78" s="2" t="inlineStr"/>
    </row>
    <row r="79" ht="15" customHeight="1">
      <c r="A79" t="inlineStr">
        <is>
          <t>A 27207-2025</t>
        </is>
      </c>
      <c r="B79" t="inlineStr">
        <is>
          <t>avverkningsanmälan</t>
        </is>
      </c>
      <c r="C79" t="inlineStr">
        <is>
          <t>Föryngringsavverkning</t>
        </is>
      </c>
      <c r="D79" s="1" t="n">
        <v>45812</v>
      </c>
      <c r="E79" s="1" t="n">
        <v>46258</v>
      </c>
      <c r="F79" t="inlineStr">
        <is>
          <t>VÄSTMANLANDS LÄN</t>
        </is>
      </c>
      <c r="G79" t="inlineStr">
        <is>
          <t>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16693-2022</t>
        </is>
      </c>
      <c r="B80" t="inlineStr">
        <is>
          <t>avverkningsanmälan</t>
        </is>
      </c>
      <c r="C80" t="inlineStr">
        <is>
          <t>Föryngringsavverkning</t>
        </is>
      </c>
      <c r="D80" s="1" t="n">
        <v>44673</v>
      </c>
      <c r="E80" s="1" t="n">
        <v>46258</v>
      </c>
      <c r="F80" t="inlineStr">
        <is>
          <t>VÄSTMANLANDS LÄN</t>
        </is>
      </c>
      <c r="G80" t="inlineStr">
        <is>
          <t>KÖPING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5225-2025</t>
        </is>
      </c>
      <c r="B81" t="inlineStr">
        <is>
          <t>avverkningsanmälan</t>
        </is>
      </c>
      <c r="C81" t="inlineStr">
        <is>
          <t>Föryngringsavverkning</t>
        </is>
      </c>
      <c r="D81" s="1" t="n">
        <v>45691</v>
      </c>
      <c r="E81" s="1" t="n">
        <v>46258</v>
      </c>
      <c r="F81" t="inlineStr">
        <is>
          <t>VÄSTMANLANDS LÄN</t>
        </is>
      </c>
      <c r="G81" t="inlineStr">
        <is>
          <t>KÖPING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64044-2023</t>
        </is>
      </c>
      <c r="B82" t="inlineStr">
        <is>
          <t>avverkningsanmälan</t>
        </is>
      </c>
      <c r="C82" t="inlineStr">
        <is>
          <t>Föryngringsavverkning</t>
        </is>
      </c>
      <c r="D82" s="1" t="n">
        <v>45278</v>
      </c>
      <c r="E82" s="1" t="n">
        <v>46258</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73888-2021</t>
        </is>
      </c>
      <c r="B83" t="inlineStr">
        <is>
          <t>avverkningsanmälan</t>
        </is>
      </c>
      <c r="C83" t="inlineStr">
        <is>
          <t>Föryngringsavverkning</t>
        </is>
      </c>
      <c r="D83" s="1" t="n">
        <v>44553</v>
      </c>
      <c r="E83" s="1" t="n">
        <v>46258</v>
      </c>
      <c r="F83" t="inlineStr">
        <is>
          <t>VÄSTMANLANDS LÄN</t>
        </is>
      </c>
      <c r="G83" t="inlineStr">
        <is>
          <t>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1926-2025</t>
        </is>
      </c>
      <c r="B84" t="inlineStr">
        <is>
          <t>avverkningsanmälan</t>
        </is>
      </c>
      <c r="C84" t="inlineStr">
        <is>
          <t>Föryngringsavverkning</t>
        </is>
      </c>
      <c r="D84" s="1" t="n">
        <v>45671</v>
      </c>
      <c r="E84" s="1" t="n">
        <v>46258</v>
      </c>
      <c r="F84" t="inlineStr">
        <is>
          <t>VÄSTMANLANDS LÄN</t>
        </is>
      </c>
      <c r="G84" t="inlineStr">
        <is>
          <t>KÖPING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17380-2023</t>
        </is>
      </c>
      <c r="B85" t="inlineStr">
        <is>
          <t>avverkningsanmälan</t>
        </is>
      </c>
      <c r="C85" t="inlineStr">
        <is>
          <t>Föryngringsavverkning</t>
        </is>
      </c>
      <c r="D85" s="1" t="n">
        <v>45035</v>
      </c>
      <c r="E85" s="1" t="n">
        <v>46258</v>
      </c>
      <c r="F85" t="inlineStr">
        <is>
          <t>VÄSTMANLANDS LÄN</t>
        </is>
      </c>
      <c r="G85" t="inlineStr">
        <is>
          <t>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40693-2023</t>
        </is>
      </c>
      <c r="B86" t="inlineStr">
        <is>
          <t>avverkningsanmälan</t>
        </is>
      </c>
      <c r="C86" t="inlineStr">
        <is>
          <t>Avverkning för att bevara och utveckla /försöksver</t>
        </is>
      </c>
      <c r="D86" s="1" t="n">
        <v>45170</v>
      </c>
      <c r="E86" s="1" t="n">
        <v>46258</v>
      </c>
      <c r="F86" t="inlineStr">
        <is>
          <t>VÄSTMANLANDS LÄN</t>
        </is>
      </c>
      <c r="G86" t="inlineStr">
        <is>
          <t>KÖPING</t>
        </is>
      </c>
      <c r="H86" t="inlineStr">
        <is>
          <t>Sveaskog</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54657-2023</t>
        </is>
      </c>
      <c r="B87" t="inlineStr">
        <is>
          <t>avverkningsanmälan</t>
        </is>
      </c>
      <c r="C87" t="inlineStr">
        <is>
          <t>Föryngringsavverkning</t>
        </is>
      </c>
      <c r="D87" s="1" t="n">
        <v>45235</v>
      </c>
      <c r="E87" s="1" t="n">
        <v>46258</v>
      </c>
      <c r="F87" t="inlineStr">
        <is>
          <t>VÄSTMANLANDS LÄN</t>
        </is>
      </c>
      <c r="G87" t="inlineStr">
        <is>
          <t>KÖPING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6949-2023</t>
        </is>
      </c>
      <c r="B88" t="inlineStr">
        <is>
          <t>avverkningsanmälan</t>
        </is>
      </c>
      <c r="C88" t="inlineStr">
        <is>
          <t>Föryngringsavverkning</t>
        </is>
      </c>
      <c r="D88" s="1" t="n">
        <v>44967</v>
      </c>
      <c r="E88" s="1" t="n">
        <v>46258</v>
      </c>
      <c r="F88" t="inlineStr">
        <is>
          <t>VÄSTMANLANDS LÄN</t>
        </is>
      </c>
      <c r="G88" t="inlineStr">
        <is>
          <t>KÖPING</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29960-2024</t>
        </is>
      </c>
      <c r="B89" t="inlineStr">
        <is>
          <t>avverkningsanmälan</t>
        </is>
      </c>
      <c r="C89" t="inlineStr">
        <is>
          <t>Föryngringsavverkning</t>
        </is>
      </c>
      <c r="D89" s="1" t="n">
        <v>45488</v>
      </c>
      <c r="E89" s="1" t="n">
        <v>46258</v>
      </c>
      <c r="F89" t="inlineStr">
        <is>
          <t>VÄSTMANLANDS LÄN</t>
        </is>
      </c>
      <c r="G89" t="inlineStr">
        <is>
          <t>KÖPING</t>
        </is>
      </c>
      <c r="I89" t="n">
        <v>11.5</v>
      </c>
      <c r="J89" t="n">
        <v>0</v>
      </c>
      <c r="K89" t="n">
        <v>0</v>
      </c>
      <c r="L89" t="n">
        <v>0</v>
      </c>
      <c r="M89" t="n">
        <v>0</v>
      </c>
      <c r="N89" t="n">
        <v>0</v>
      </c>
      <c r="O89" t="n">
        <v>0</v>
      </c>
      <c r="P89" t="n">
        <v>0</v>
      </c>
      <c r="Q89" t="n">
        <v>0</v>
      </c>
      <c r="R89" t="n">
        <v>0</v>
      </c>
      <c r="S89" t="n">
        <v>0</v>
      </c>
      <c r="T89" t="n">
        <v>0</v>
      </c>
      <c r="U89" t="n">
        <v>0</v>
      </c>
      <c r="V89" s="2" t="inlineStr"/>
    </row>
    <row r="90" ht="15" customHeight="1">
      <c r="A90" t="inlineStr">
        <is>
          <t>A 51407-2023</t>
        </is>
      </c>
      <c r="B90" t="inlineStr">
        <is>
          <t>avverkningsanmälan</t>
        </is>
      </c>
      <c r="C90" t="inlineStr">
        <is>
          <t>Föryngringsavverkning</t>
        </is>
      </c>
      <c r="D90" s="1" t="n">
        <v>45219</v>
      </c>
      <c r="E90" s="1" t="n">
        <v>46258</v>
      </c>
      <c r="F90" t="inlineStr">
        <is>
          <t>VÄSTMANLANDS LÄN</t>
        </is>
      </c>
      <c r="G90" t="inlineStr">
        <is>
          <t>KÖPING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40502-2025</t>
        </is>
      </c>
      <c r="B91" t="inlineStr">
        <is>
          <t>avverkningsanmälan</t>
        </is>
      </c>
      <c r="C91" t="inlineStr">
        <is>
          <t>Föryngringsavverkning</t>
        </is>
      </c>
      <c r="D91" s="1" t="n">
        <v>45896</v>
      </c>
      <c r="E91" s="1" t="n">
        <v>46258</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23386-2023</t>
        </is>
      </c>
      <c r="B92" t="inlineStr">
        <is>
          <t>avverkningsanmälan</t>
        </is>
      </c>
      <c r="C92" t="inlineStr">
        <is>
          <t>Föryngringsavverkning</t>
        </is>
      </c>
      <c r="D92" s="1" t="n">
        <v>45076</v>
      </c>
      <c r="E92" s="1" t="n">
        <v>46258</v>
      </c>
      <c r="F92" t="inlineStr">
        <is>
          <t>VÄSTMANLANDS LÄN</t>
        </is>
      </c>
      <c r="G92" t="inlineStr">
        <is>
          <t>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28872-2025</t>
        </is>
      </c>
      <c r="B93" t="inlineStr">
        <is>
          <t>avverkningsanmälan</t>
        </is>
      </c>
      <c r="C93" t="inlineStr">
        <is>
          <t>Avverkning för annat ändamål</t>
        </is>
      </c>
      <c r="D93" s="1" t="n">
        <v>45820</v>
      </c>
      <c r="E93" s="1" t="n">
        <v>46258</v>
      </c>
      <c r="F93" t="inlineStr">
        <is>
          <t>VÄSTMANLANDS LÄN</t>
        </is>
      </c>
      <c r="G93" t="inlineStr">
        <is>
          <t>KÖPING</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25660-2024</t>
        </is>
      </c>
      <c r="B94" t="inlineStr">
        <is>
          <t>avverkningsanmälan</t>
        </is>
      </c>
      <c r="C94" t="inlineStr">
        <is>
          <t>Föryngringsavverkning</t>
        </is>
      </c>
      <c r="D94" s="1" t="n">
        <v>45463</v>
      </c>
      <c r="E94" s="1" t="n">
        <v>46258</v>
      </c>
      <c r="F94" t="inlineStr">
        <is>
          <t>VÄSTMANLANDS LÄN</t>
        </is>
      </c>
      <c r="G94" t="inlineStr">
        <is>
          <t>KÖPING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28374-2024</t>
        </is>
      </c>
      <c r="B95" t="inlineStr">
        <is>
          <t>avverkningsanmälan</t>
        </is>
      </c>
      <c r="C95" t="inlineStr">
        <is>
          <t>Föryngringsavverkning</t>
        </is>
      </c>
      <c r="D95" s="1" t="n">
        <v>45477</v>
      </c>
      <c r="E95" s="1" t="n">
        <v>46258</v>
      </c>
      <c r="F95" t="inlineStr">
        <is>
          <t>VÄSTMANLANDS LÄN</t>
        </is>
      </c>
      <c r="G95" t="inlineStr">
        <is>
          <t>KÖPING</t>
        </is>
      </c>
      <c r="H95" t="inlineStr">
        <is>
          <t>Sveaskog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2584-2024</t>
        </is>
      </c>
      <c r="B96" t="inlineStr">
        <is>
          <t>avverkningsanmälan</t>
        </is>
      </c>
      <c r="C96" t="inlineStr">
        <is>
          <t>Avverkning för annat ändamål</t>
        </is>
      </c>
      <c r="D96" s="1" t="n">
        <v>45313</v>
      </c>
      <c r="E96" s="1" t="n">
        <v>46258</v>
      </c>
      <c r="F96" t="inlineStr">
        <is>
          <t>VÄSTMANLANDS LÄN</t>
        </is>
      </c>
      <c r="G96" t="inlineStr">
        <is>
          <t>KÖPING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33989-2024</t>
        </is>
      </c>
      <c r="B97" t="inlineStr">
        <is>
          <t>avverkningsanmälan</t>
        </is>
      </c>
      <c r="C97" t="inlineStr">
        <is>
          <t>Avverkning för annat ändamål</t>
        </is>
      </c>
      <c r="D97" s="1" t="n">
        <v>45523</v>
      </c>
      <c r="E97" s="1" t="n">
        <v>46258</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43303-2022</t>
        </is>
      </c>
      <c r="B98" t="inlineStr">
        <is>
          <t>avverkningsanmälan</t>
        </is>
      </c>
      <c r="C98" t="inlineStr">
        <is>
          <t>Föryngringsavverkning</t>
        </is>
      </c>
      <c r="D98" s="1" t="n">
        <v>44834</v>
      </c>
      <c r="E98" s="1" t="n">
        <v>46258</v>
      </c>
      <c r="F98" t="inlineStr">
        <is>
          <t>VÄSTMANLANDS LÄN</t>
        </is>
      </c>
      <c r="G98" t="inlineStr">
        <is>
          <t>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65582-2021</t>
        </is>
      </c>
      <c r="B99" t="inlineStr">
        <is>
          <t>avverkningsanmälan</t>
        </is>
      </c>
      <c r="C99" t="inlineStr">
        <is>
          <t>Föryngringsavverkning</t>
        </is>
      </c>
      <c r="D99" s="1" t="n">
        <v>44516</v>
      </c>
      <c r="E99" s="1" t="n">
        <v>46258</v>
      </c>
      <c r="F99" t="inlineStr">
        <is>
          <t>VÄSTMANLANDS LÄN</t>
        </is>
      </c>
      <c r="G99" t="inlineStr">
        <is>
          <t>KÖPING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44408-2022</t>
        </is>
      </c>
      <c r="B100" t="inlineStr">
        <is>
          <t>avverkningsanmälan</t>
        </is>
      </c>
      <c r="C100" t="inlineStr">
        <is>
          <t>Föryngringsavverkning</t>
        </is>
      </c>
      <c r="D100" s="1" t="n">
        <v>44839</v>
      </c>
      <c r="E100" s="1" t="n">
        <v>46258</v>
      </c>
      <c r="F100" t="inlineStr">
        <is>
          <t>VÄSTMANLANDS LÄN</t>
        </is>
      </c>
      <c r="G100" t="inlineStr">
        <is>
          <t>KÖPING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30141-2022</t>
        </is>
      </c>
      <c r="B101" t="inlineStr">
        <is>
          <t>avverkningsanmälan</t>
        </is>
      </c>
      <c r="C101" t="inlineStr">
        <is>
          <t>Föryngringsavverkning</t>
        </is>
      </c>
      <c r="D101" s="1" t="n">
        <v>44757</v>
      </c>
      <c r="E101" s="1" t="n">
        <v>46258</v>
      </c>
      <c r="F101" t="inlineStr">
        <is>
          <t>VÄSTMANLANDS LÄN</t>
        </is>
      </c>
      <c r="G101" t="inlineStr">
        <is>
          <t>KÖPING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45308-2023</t>
        </is>
      </c>
      <c r="B102" t="inlineStr">
        <is>
          <t>avverkningsanmälan</t>
        </is>
      </c>
      <c r="C102" t="inlineStr">
        <is>
          <t>Föryngringsavverkning</t>
        </is>
      </c>
      <c r="D102" s="1" t="n">
        <v>45191</v>
      </c>
      <c r="E102" s="1" t="n">
        <v>46258</v>
      </c>
      <c r="F102" t="inlineStr">
        <is>
          <t>VÄSTMANLANDS LÄN</t>
        </is>
      </c>
      <c r="G102" t="inlineStr">
        <is>
          <t>KÖPING</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30136-2025</t>
        </is>
      </c>
      <c r="B103" t="inlineStr">
        <is>
          <t>avverkningsanmälan</t>
        </is>
      </c>
      <c r="C103" t="inlineStr">
        <is>
          <t>Föryngringsavverkning</t>
        </is>
      </c>
      <c r="D103" s="1" t="n">
        <v>45826</v>
      </c>
      <c r="E103" s="1" t="n">
        <v>46258</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43183-2025</t>
        </is>
      </c>
      <c r="B104" t="inlineStr">
        <is>
          <t>avverkningsanmälan</t>
        </is>
      </c>
      <c r="C104" t="inlineStr">
        <is>
          <t>Föryngringsavverkning</t>
        </is>
      </c>
      <c r="D104" s="1" t="n">
        <v>45910</v>
      </c>
      <c r="E104" s="1" t="n">
        <v>46258</v>
      </c>
      <c r="F104" t="inlineStr">
        <is>
          <t>VÄSTMANLANDS LÄN</t>
        </is>
      </c>
      <c r="G104" t="inlineStr">
        <is>
          <t>KÖPING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43192-2025</t>
        </is>
      </c>
      <c r="B105" t="inlineStr">
        <is>
          <t>avverkningsanmälan</t>
        </is>
      </c>
      <c r="C105" t="inlineStr">
        <is>
          <t>Föryngringsavverkning</t>
        </is>
      </c>
      <c r="D105" s="1" t="n">
        <v>45910</v>
      </c>
      <c r="E105" s="1" t="n">
        <v>46258</v>
      </c>
      <c r="F105" t="inlineStr">
        <is>
          <t>VÄSTMANLANDS LÄN</t>
        </is>
      </c>
      <c r="G105" t="inlineStr">
        <is>
          <t>KÖPING</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43187-2025</t>
        </is>
      </c>
      <c r="B106" t="inlineStr">
        <is>
          <t>avverkningsanmälan</t>
        </is>
      </c>
      <c r="C106" t="inlineStr">
        <is>
          <t>Föryngringsavverkning</t>
        </is>
      </c>
      <c r="D106" s="1" t="n">
        <v>45910</v>
      </c>
      <c r="E106" s="1" t="n">
        <v>46258</v>
      </c>
      <c r="F106" t="inlineStr">
        <is>
          <t>VÄSTMANLANDS LÄN</t>
        </is>
      </c>
      <c r="G106" t="inlineStr">
        <is>
          <t>KÖPING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45664-2024</t>
        </is>
      </c>
      <c r="B107" t="inlineStr">
        <is>
          <t>avverkningsanmälan</t>
        </is>
      </c>
      <c r="C107" t="inlineStr">
        <is>
          <t>Avverkning för annat ändamål</t>
        </is>
      </c>
      <c r="D107" s="1" t="n">
        <v>45579</v>
      </c>
      <c r="E107" s="1" t="n">
        <v>46258</v>
      </c>
      <c r="F107" t="inlineStr">
        <is>
          <t>VÄSTMANLANDS LÄN</t>
        </is>
      </c>
      <c r="G107" t="inlineStr">
        <is>
          <t>KÖPING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31068-2025</t>
        </is>
      </c>
      <c r="B108" t="inlineStr">
        <is>
          <t>avverkningsanmälan</t>
        </is>
      </c>
      <c r="C108" t="inlineStr">
        <is>
          <t>Föryngringsavverkning</t>
        </is>
      </c>
      <c r="D108" s="1" t="n">
        <v>45832</v>
      </c>
      <c r="E108" s="1" t="n">
        <v>46258</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44171-2025</t>
        </is>
      </c>
      <c r="B109" t="inlineStr">
        <is>
          <t>avverkningsanmälan</t>
        </is>
      </c>
      <c r="C109" t="inlineStr">
        <is>
          <t>Föryngringsavverkning</t>
        </is>
      </c>
      <c r="D109" s="1" t="n">
        <v>45915</v>
      </c>
      <c r="E109" s="1" t="n">
        <v>46258</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31071-2025</t>
        </is>
      </c>
      <c r="B110" t="inlineStr">
        <is>
          <t>avverkningsanmälan</t>
        </is>
      </c>
      <c r="C110" t="inlineStr">
        <is>
          <t>Föryngringsavverkning</t>
        </is>
      </c>
      <c r="D110" s="1" t="n">
        <v>45832</v>
      </c>
      <c r="E110" s="1" t="n">
        <v>46258</v>
      </c>
      <c r="F110" t="inlineStr">
        <is>
          <t>VÄSTMANLANDS LÄN</t>
        </is>
      </c>
      <c r="G110" t="inlineStr">
        <is>
          <t>KÖPING</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31839-2025</t>
        </is>
      </c>
      <c r="B111" t="inlineStr">
        <is>
          <t>avverkningsanmälan</t>
        </is>
      </c>
      <c r="C111" t="inlineStr">
        <is>
          <t>Avverkning för att bevara och utveckla /försöksver</t>
        </is>
      </c>
      <c r="D111" s="1" t="n">
        <v>45834</v>
      </c>
      <c r="E111" s="1" t="n">
        <v>46258</v>
      </c>
      <c r="F111" t="inlineStr">
        <is>
          <t>VÄSTMANLANDS LÄN</t>
        </is>
      </c>
      <c r="G111" t="inlineStr">
        <is>
          <t>KÖPING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60894-2022</t>
        </is>
      </c>
      <c r="B112" t="inlineStr">
        <is>
          <t>avverkningsanmälan</t>
        </is>
      </c>
      <c r="C112" t="inlineStr">
        <is>
          <t>Föryngringsavverkning</t>
        </is>
      </c>
      <c r="D112" s="1" t="n">
        <v>44914</v>
      </c>
      <c r="E112" s="1" t="n">
        <v>46258</v>
      </c>
      <c r="F112" t="inlineStr">
        <is>
          <t>VÄSTMANLANDS LÄN</t>
        </is>
      </c>
      <c r="G112" t="inlineStr">
        <is>
          <t>KÖPING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60924-2022</t>
        </is>
      </c>
      <c r="B113" t="inlineStr">
        <is>
          <t>avverkningsanmälan</t>
        </is>
      </c>
      <c r="C113" t="inlineStr">
        <is>
          <t>Föryngringsavverkning</t>
        </is>
      </c>
      <c r="D113" s="1" t="n">
        <v>44914</v>
      </c>
      <c r="E113" s="1" t="n">
        <v>46258</v>
      </c>
      <c r="F113" t="inlineStr">
        <is>
          <t>VÄSTMANLANDS LÄN</t>
        </is>
      </c>
      <c r="G113" t="inlineStr">
        <is>
          <t>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10478-2022</t>
        </is>
      </c>
      <c r="B114" t="inlineStr">
        <is>
          <t>avverkningsanmälan</t>
        </is>
      </c>
      <c r="C114" t="inlineStr">
        <is>
          <t>Föryngringsavverkning</t>
        </is>
      </c>
      <c r="D114" s="1" t="n">
        <v>44623</v>
      </c>
      <c r="E114" s="1" t="n">
        <v>46258</v>
      </c>
      <c r="F114" t="inlineStr">
        <is>
          <t>VÄSTMANLANDS LÄN</t>
        </is>
      </c>
      <c r="G114" t="inlineStr">
        <is>
          <t>KÖPING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31830-2025</t>
        </is>
      </c>
      <c r="B115" t="inlineStr">
        <is>
          <t>avverkningsanmälan</t>
        </is>
      </c>
      <c r="C115" t="inlineStr">
        <is>
          <t>Föryngringsavverkning</t>
        </is>
      </c>
      <c r="D115" s="1" t="n">
        <v>45834</v>
      </c>
      <c r="E115" s="1" t="n">
        <v>46258</v>
      </c>
      <c r="F115" t="inlineStr">
        <is>
          <t>VÄSTMANLANDS LÄN</t>
        </is>
      </c>
      <c r="G115" t="inlineStr">
        <is>
          <t>KÖPING</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3945-2024</t>
        </is>
      </c>
      <c r="B116" t="inlineStr">
        <is>
          <t>avverkningsanmälan</t>
        </is>
      </c>
      <c r="C116" t="inlineStr">
        <is>
          <t>Föryngringsavverkning</t>
        </is>
      </c>
      <c r="D116" s="1" t="n">
        <v>45322</v>
      </c>
      <c r="E116" s="1" t="n">
        <v>46258</v>
      </c>
      <c r="F116" t="inlineStr">
        <is>
          <t>VÄSTMANLANDS LÄN</t>
        </is>
      </c>
      <c r="G116" t="inlineStr">
        <is>
          <t>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44814-2023</t>
        </is>
      </c>
      <c r="B117" t="inlineStr">
        <is>
          <t>avverkningsanmälan</t>
        </is>
      </c>
      <c r="C117" t="inlineStr">
        <is>
          <t>Avverkning för annat ändamål</t>
        </is>
      </c>
      <c r="D117" s="1" t="n">
        <v>45190</v>
      </c>
      <c r="E117" s="1" t="n">
        <v>46258</v>
      </c>
      <c r="F117" t="inlineStr">
        <is>
          <t>VÄSTMANLANDS LÄN</t>
        </is>
      </c>
      <c r="G117" t="inlineStr">
        <is>
          <t>KÖPING</t>
        </is>
      </c>
      <c r="I117" t="n">
        <v>24.2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31738-2025</t>
        </is>
      </c>
      <c r="B118" t="inlineStr">
        <is>
          <t>avverkningsanmälan</t>
        </is>
      </c>
      <c r="C118" t="inlineStr">
        <is>
          <t>Föryngringsavverkning</t>
        </is>
      </c>
      <c r="D118" s="1" t="n">
        <v>45834</v>
      </c>
      <c r="E118" s="1" t="n">
        <v>46258</v>
      </c>
      <c r="F118" t="inlineStr">
        <is>
          <t>VÄSTMANLANDS LÄN</t>
        </is>
      </c>
      <c r="G118" t="inlineStr">
        <is>
          <t>KÖPING</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33932-2024</t>
        </is>
      </c>
      <c r="B119" t="inlineStr">
        <is>
          <t>avverkningsanmälan</t>
        </is>
      </c>
      <c r="C119" t="inlineStr">
        <is>
          <t>Föryngringsavverkning</t>
        </is>
      </c>
      <c r="D119" s="1" t="n">
        <v>45523</v>
      </c>
      <c r="E119" s="1" t="n">
        <v>46258</v>
      </c>
      <c r="F119" t="inlineStr">
        <is>
          <t>VÄSTMANLANDS LÄN</t>
        </is>
      </c>
      <c r="G119" t="inlineStr">
        <is>
          <t>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47681-2025</t>
        </is>
      </c>
      <c r="B120" t="inlineStr">
        <is>
          <t>avverkningsanmälan</t>
        </is>
      </c>
      <c r="C120" t="inlineStr">
        <is>
          <t>Föryngringsavverkning</t>
        </is>
      </c>
      <c r="D120" s="1" t="n">
        <v>45931</v>
      </c>
      <c r="E120" s="1" t="n">
        <v>46258</v>
      </c>
      <c r="F120" t="inlineStr">
        <is>
          <t>VÄSTMANLANDS LÄN</t>
        </is>
      </c>
      <c r="G120" t="inlineStr">
        <is>
          <t>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24130-2024</t>
        </is>
      </c>
      <c r="B121" t="inlineStr">
        <is>
          <t>avverkningsanmälan</t>
        </is>
      </c>
      <c r="C121" t="inlineStr">
        <is>
          <t>Föryngringsavverkning</t>
        </is>
      </c>
      <c r="D121" s="1" t="n">
        <v>45456</v>
      </c>
      <c r="E121" s="1" t="n">
        <v>46258</v>
      </c>
      <c r="F121" t="inlineStr">
        <is>
          <t>VÄSTMANLANDS LÄN</t>
        </is>
      </c>
      <c r="G121" t="inlineStr">
        <is>
          <t>KÖPING</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47576-2025</t>
        </is>
      </c>
      <c r="B122" t="inlineStr">
        <is>
          <t>avverkningsanmälan</t>
        </is>
      </c>
      <c r="C122" t="inlineStr">
        <is>
          <t>Avverkning för att bevara och utveckla /försöksver</t>
        </is>
      </c>
      <c r="D122" s="1" t="n">
        <v>45931</v>
      </c>
      <c r="E122" s="1" t="n">
        <v>46258</v>
      </c>
      <c r="F122" t="inlineStr">
        <is>
          <t>VÄSTMANLANDS LÄN</t>
        </is>
      </c>
      <c r="G122" t="inlineStr">
        <is>
          <t>KÖPING</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6948-2023</t>
        </is>
      </c>
      <c r="B123" t="inlineStr">
        <is>
          <t>avverkningsanmälan</t>
        </is>
      </c>
      <c r="C123" t="inlineStr">
        <is>
          <t>Föryngringsavverkning</t>
        </is>
      </c>
      <c r="D123" s="1" t="n">
        <v>44967</v>
      </c>
      <c r="E123" s="1" t="n">
        <v>46258</v>
      </c>
      <c r="F123" t="inlineStr">
        <is>
          <t>VÄSTMANLANDS LÄN</t>
        </is>
      </c>
      <c r="G123" t="inlineStr">
        <is>
          <t>KÖPING</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13847-2025</t>
        </is>
      </c>
      <c r="B124" t="inlineStr">
        <is>
          <t>avverkningsanmälan</t>
        </is>
      </c>
      <c r="C124" t="inlineStr">
        <is>
          <t>Avverkning för annat ändamål</t>
        </is>
      </c>
      <c r="D124" s="1" t="n">
        <v>45737</v>
      </c>
      <c r="E124" s="1" t="n">
        <v>46258</v>
      </c>
      <c r="F124" t="inlineStr">
        <is>
          <t>VÄSTMANLANDS LÄN</t>
        </is>
      </c>
      <c r="G124" t="inlineStr">
        <is>
          <t>KÖPING</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37730-2022</t>
        </is>
      </c>
      <c r="B125" t="inlineStr">
        <is>
          <t>avverkningsanmälan</t>
        </is>
      </c>
      <c r="C125" t="inlineStr">
        <is>
          <t>Föryngringsavverkning</t>
        </is>
      </c>
      <c r="D125" s="1" t="n">
        <v>44810</v>
      </c>
      <c r="E125" s="1" t="n">
        <v>46258</v>
      </c>
      <c r="F125" t="inlineStr">
        <is>
          <t>VÄSTMANLANDS LÄN</t>
        </is>
      </c>
      <c r="G125" t="inlineStr">
        <is>
          <t>KÖPING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13160-2024</t>
        </is>
      </c>
      <c r="B126" t="inlineStr">
        <is>
          <t>avverkningsanmälan</t>
        </is>
      </c>
      <c r="C126" t="inlineStr">
        <is>
          <t>Föryngringsavverkning</t>
        </is>
      </c>
      <c r="D126" s="1" t="n">
        <v>45386</v>
      </c>
      <c r="E126" s="1" t="n">
        <v>46258</v>
      </c>
      <c r="F126" t="inlineStr">
        <is>
          <t>VÄSTMANLANDS LÄN</t>
        </is>
      </c>
      <c r="G126" t="inlineStr">
        <is>
          <t>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65023-2021</t>
        </is>
      </c>
      <c r="B127" t="inlineStr">
        <is>
          <t>avverkningsanmälan</t>
        </is>
      </c>
      <c r="C127" t="inlineStr">
        <is>
          <t>Föryngringsavverkning</t>
        </is>
      </c>
      <c r="D127" s="1" t="n">
        <v>44512</v>
      </c>
      <c r="E127" s="1" t="n">
        <v>46258</v>
      </c>
      <c r="F127" t="inlineStr">
        <is>
          <t>VÄSTMANLANDS LÄN</t>
        </is>
      </c>
      <c r="G127" t="inlineStr">
        <is>
          <t>KÖPING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40823-2024</t>
        </is>
      </c>
      <c r="B128" t="inlineStr">
        <is>
          <t>avverkningsanmälan</t>
        </is>
      </c>
      <c r="C128" t="inlineStr">
        <is>
          <t>Föryngringsavverkning</t>
        </is>
      </c>
      <c r="D128" s="1" t="n">
        <v>45558</v>
      </c>
      <c r="E128" s="1" t="n">
        <v>46258</v>
      </c>
      <c r="F128" t="inlineStr">
        <is>
          <t>VÄSTMANLANDS LÄN</t>
        </is>
      </c>
      <c r="G128" t="inlineStr">
        <is>
          <t>KÖPING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51190-2024</t>
        </is>
      </c>
      <c r="B129" t="inlineStr">
        <is>
          <t>avverkningsanmälan</t>
        </is>
      </c>
      <c r="C129" t="inlineStr">
        <is>
          <t>Föryngringsavverkning</t>
        </is>
      </c>
      <c r="D129" s="1" t="n">
        <v>45603</v>
      </c>
      <c r="E129" s="1" t="n">
        <v>46258</v>
      </c>
      <c r="F129" t="inlineStr">
        <is>
          <t>VÄSTMANLANDS LÄN</t>
        </is>
      </c>
      <c r="G129" t="inlineStr">
        <is>
          <t>KÖPING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2071-2025</t>
        </is>
      </c>
      <c r="B130" t="inlineStr">
        <is>
          <t>avverkningsanmälan</t>
        </is>
      </c>
      <c r="C130" t="inlineStr">
        <is>
          <t>Föryngringsavverkning</t>
        </is>
      </c>
      <c r="D130" s="1" t="n">
        <v>45672</v>
      </c>
      <c r="E130" s="1" t="n">
        <v>46258</v>
      </c>
      <c r="F130" t="inlineStr">
        <is>
          <t>VÄSTMANLANDS LÄN</t>
        </is>
      </c>
      <c r="G130" t="inlineStr">
        <is>
          <t>KÖPING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18366-2025</t>
        </is>
      </c>
      <c r="B131" t="inlineStr">
        <is>
          <t>avverkningsanmälan</t>
        </is>
      </c>
      <c r="C131" t="inlineStr">
        <is>
          <t>Föryngringsavverkning</t>
        </is>
      </c>
      <c r="D131" s="1" t="n">
        <v>45762</v>
      </c>
      <c r="E131" s="1" t="n">
        <v>46258</v>
      </c>
      <c r="F131" t="inlineStr">
        <is>
          <t>VÄSTMANLANDS LÄN</t>
        </is>
      </c>
      <c r="G131" t="inlineStr">
        <is>
          <t>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44621-2023</t>
        </is>
      </c>
      <c r="B132" t="inlineStr">
        <is>
          <t>avverkningsanmälan</t>
        </is>
      </c>
      <c r="C132" t="inlineStr">
        <is>
          <t>Föryngringsavverkning</t>
        </is>
      </c>
      <c r="D132" s="1" t="n">
        <v>45189</v>
      </c>
      <c r="E132" s="1" t="n">
        <v>46258</v>
      </c>
      <c r="F132" t="inlineStr">
        <is>
          <t>VÄSTMANLANDS LÄN</t>
        </is>
      </c>
      <c r="G132" t="inlineStr">
        <is>
          <t>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46659-2024</t>
        </is>
      </c>
      <c r="B133" t="inlineStr">
        <is>
          <t>avverkningsanmälan</t>
        </is>
      </c>
      <c r="C133" t="inlineStr">
        <is>
          <t>Föryngringsavverkning</t>
        </is>
      </c>
      <c r="D133" s="1" t="n">
        <v>45583</v>
      </c>
      <c r="E133" s="1" t="n">
        <v>46258</v>
      </c>
      <c r="F133" t="inlineStr">
        <is>
          <t>VÄSTMANLANDS LÄN</t>
        </is>
      </c>
      <c r="G133" t="inlineStr">
        <is>
          <t>KÖPING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30147-2022</t>
        </is>
      </c>
      <c r="B134" t="inlineStr">
        <is>
          <t>avverkningsanmälan</t>
        </is>
      </c>
      <c r="C134" t="inlineStr">
        <is>
          <t>Föryngringsavverkning</t>
        </is>
      </c>
      <c r="D134" s="1" t="n">
        <v>44757</v>
      </c>
      <c r="E134" s="1" t="n">
        <v>46258</v>
      </c>
      <c r="F134" t="inlineStr">
        <is>
          <t>VÄSTMANLANDS LÄN</t>
        </is>
      </c>
      <c r="G134" t="inlineStr">
        <is>
          <t>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34290-2023</t>
        </is>
      </c>
      <c r="B135" t="inlineStr">
        <is>
          <t>avverkningsanmälan</t>
        </is>
      </c>
      <c r="C135" t="inlineStr">
        <is>
          <t>Avverkning för annat ändamål</t>
        </is>
      </c>
      <c r="D135" s="1" t="n">
        <v>45138</v>
      </c>
      <c r="E135" s="1" t="n">
        <v>46258</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11034-2022</t>
        </is>
      </c>
      <c r="B136" t="inlineStr">
        <is>
          <t>avverkningsanmälan</t>
        </is>
      </c>
      <c r="C136" t="inlineStr">
        <is>
          <t>Föryngringsavverkning</t>
        </is>
      </c>
      <c r="D136" s="1" t="n">
        <v>44628</v>
      </c>
      <c r="E136" s="1" t="n">
        <v>46258</v>
      </c>
      <c r="F136" t="inlineStr">
        <is>
          <t>VÄSTMANLANDS LÄN</t>
        </is>
      </c>
      <c r="G136" t="inlineStr">
        <is>
          <t>KÖPING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43567-2022</t>
        </is>
      </c>
      <c r="B137" t="inlineStr">
        <is>
          <t>avverkningsanmälan</t>
        </is>
      </c>
      <c r="C137" t="inlineStr">
        <is>
          <t>Föryngringsavverkning</t>
        </is>
      </c>
      <c r="D137" s="1" t="n">
        <v>44837</v>
      </c>
      <c r="E137" s="1" t="n">
        <v>46258</v>
      </c>
      <c r="F137" t="inlineStr">
        <is>
          <t>VÄSTMANLANDS LÄN</t>
        </is>
      </c>
      <c r="G137" t="inlineStr">
        <is>
          <t>KÖPING</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46258</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22793-2024</t>
        </is>
      </c>
      <c r="B139" t="inlineStr">
        <is>
          <t>avverkningsanmälan</t>
        </is>
      </c>
      <c r="C139" t="inlineStr">
        <is>
          <t>Föryngringsavverkning</t>
        </is>
      </c>
      <c r="D139" s="1" t="n">
        <v>45448</v>
      </c>
      <c r="E139" s="1" t="n">
        <v>46258</v>
      </c>
      <c r="F139" t="inlineStr">
        <is>
          <t>VÄSTMANLANDS LÄN</t>
        </is>
      </c>
      <c r="G139" t="inlineStr">
        <is>
          <t>KÖPING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46124-2022</t>
        </is>
      </c>
      <c r="B140" t="inlineStr">
        <is>
          <t>avverkningsanmälan</t>
        </is>
      </c>
      <c r="C140" t="inlineStr">
        <is>
          <t>Föryngringsavverkning</t>
        </is>
      </c>
      <c r="D140" s="1" t="n">
        <v>44847</v>
      </c>
      <c r="E140" s="1" t="n">
        <v>46258</v>
      </c>
      <c r="F140" t="inlineStr">
        <is>
          <t>VÄSTMANLANDS LÄN</t>
        </is>
      </c>
      <c r="G140" t="inlineStr">
        <is>
          <t>KÖPING</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68954-2021</t>
        </is>
      </c>
      <c r="B141" t="inlineStr">
        <is>
          <t>avverkningsanmälan</t>
        </is>
      </c>
      <c r="C141" t="inlineStr">
        <is>
          <t>Föryngringsavverkning</t>
        </is>
      </c>
      <c r="D141" s="1" t="n">
        <v>44530</v>
      </c>
      <c r="E141" s="1" t="n">
        <v>46258</v>
      </c>
      <c r="F141" t="inlineStr">
        <is>
          <t>VÄSTMANLANDS LÄN</t>
        </is>
      </c>
      <c r="G141" t="inlineStr">
        <is>
          <t>KÖPING</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2868-2023</t>
        </is>
      </c>
      <c r="B142" t="inlineStr">
        <is>
          <t>avverkningsanmälan</t>
        </is>
      </c>
      <c r="C142" t="inlineStr">
        <is>
          <t>Avverkning för att bevara och utveckla /försöksver</t>
        </is>
      </c>
      <c r="D142" s="1" t="n">
        <v>44945</v>
      </c>
      <c r="E142" s="1" t="n">
        <v>46258</v>
      </c>
      <c r="F142" t="inlineStr">
        <is>
          <t>VÄSTMANLANDS LÄN</t>
        </is>
      </c>
      <c r="G142" t="inlineStr">
        <is>
          <t>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41815-2023</t>
        </is>
      </c>
      <c r="B143" t="inlineStr">
        <is>
          <t>avverkningsanmälan</t>
        </is>
      </c>
      <c r="C143" t="inlineStr">
        <is>
          <t>Föryngringsavverkning</t>
        </is>
      </c>
      <c r="D143" s="1" t="n">
        <v>45176</v>
      </c>
      <c r="E143" s="1" t="n">
        <v>46258</v>
      </c>
      <c r="F143" t="inlineStr">
        <is>
          <t>VÄSTMANLANDS LÄN</t>
        </is>
      </c>
      <c r="G143" t="inlineStr">
        <is>
          <t>KÖPING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68976-2021</t>
        </is>
      </c>
      <c r="B144" t="inlineStr">
        <is>
          <t>avverkningsanmälan</t>
        </is>
      </c>
      <c r="C144" t="inlineStr">
        <is>
          <t>Föryngringsavverkning</t>
        </is>
      </c>
      <c r="D144" s="1" t="n">
        <v>44530</v>
      </c>
      <c r="E144" s="1" t="n">
        <v>46258</v>
      </c>
      <c r="F144" t="inlineStr">
        <is>
          <t>VÄSTMANLANDS LÄN</t>
        </is>
      </c>
      <c r="G144" t="inlineStr">
        <is>
          <t>KÖPING</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37752-2023</t>
        </is>
      </c>
      <c r="B145" t="inlineStr">
        <is>
          <t>avverkningsanmälan</t>
        </is>
      </c>
      <c r="C145" t="inlineStr">
        <is>
          <t>Föryngringsavverkning</t>
        </is>
      </c>
      <c r="D145" s="1" t="n">
        <v>45159</v>
      </c>
      <c r="E145" s="1" t="n">
        <v>46258</v>
      </c>
      <c r="F145" t="inlineStr">
        <is>
          <t>VÄSTMANLANDS LÄN</t>
        </is>
      </c>
      <c r="G145" t="inlineStr">
        <is>
          <t>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55114-2025</t>
        </is>
      </c>
      <c r="B146" t="inlineStr">
        <is>
          <t>avverkningsanmälan</t>
        </is>
      </c>
      <c r="C146" t="inlineStr">
        <is>
          <t>Föryngringsavverkning</t>
        </is>
      </c>
      <c r="D146" s="1" t="n">
        <v>45968</v>
      </c>
      <c r="E146" s="1" t="n">
        <v>46258</v>
      </c>
      <c r="F146" t="inlineStr">
        <is>
          <t>VÄSTMANLANDS LÄN</t>
        </is>
      </c>
      <c r="G146" t="inlineStr">
        <is>
          <t>KÖPING</t>
        </is>
      </c>
      <c r="I146" t="n">
        <v>15.5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1290-2023</t>
        </is>
      </c>
      <c r="B147" t="inlineStr">
        <is>
          <t>avverkningsanmälan</t>
        </is>
      </c>
      <c r="C147" t="inlineStr">
        <is>
          <t>Föryngringsavverkning</t>
        </is>
      </c>
      <c r="D147" s="1" t="n">
        <v>44936</v>
      </c>
      <c r="E147" s="1" t="n">
        <v>46258</v>
      </c>
      <c r="F147" t="inlineStr">
        <is>
          <t>VÄSTMANLANDS LÄN</t>
        </is>
      </c>
      <c r="G147" t="inlineStr">
        <is>
          <t>KÖPING</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61322-2023</t>
        </is>
      </c>
      <c r="B148" t="inlineStr">
        <is>
          <t>avverkningsanmälan</t>
        </is>
      </c>
      <c r="C148" t="inlineStr">
        <is>
          <t>Föryngringsavverkning</t>
        </is>
      </c>
      <c r="D148" s="1" t="n">
        <v>45264</v>
      </c>
      <c r="E148" s="1" t="n">
        <v>46258</v>
      </c>
      <c r="F148" t="inlineStr">
        <is>
          <t>VÄSTMANLANDS LÄN</t>
        </is>
      </c>
      <c r="G148" t="inlineStr">
        <is>
          <t>KÖPING</t>
        </is>
      </c>
      <c r="I148" t="n">
        <v>17.5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56301-2025</t>
        </is>
      </c>
      <c r="B149" t="inlineStr">
        <is>
          <t>avverkningsanmälan</t>
        </is>
      </c>
      <c r="C149" t="inlineStr">
        <is>
          <t>Föryngringsavverkning</t>
        </is>
      </c>
      <c r="D149" s="1" t="n">
        <v>45974</v>
      </c>
      <c r="E149" s="1" t="n">
        <v>46258</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29934-2022</t>
        </is>
      </c>
      <c r="B150" t="inlineStr">
        <is>
          <t>avverkningsanmälan</t>
        </is>
      </c>
      <c r="C150" t="inlineStr">
        <is>
          <t>Föryngringsavverkning</t>
        </is>
      </c>
      <c r="D150" s="1" t="n">
        <v>44757</v>
      </c>
      <c r="E150" s="1" t="n">
        <v>46258</v>
      </c>
      <c r="F150" t="inlineStr">
        <is>
          <t>VÄSTMANLANDS LÄN</t>
        </is>
      </c>
      <c r="G150" t="inlineStr">
        <is>
          <t>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23656-2023</t>
        </is>
      </c>
      <c r="B151" t="inlineStr">
        <is>
          <t>avverkningsanmälan</t>
        </is>
      </c>
      <c r="C151" t="inlineStr">
        <is>
          <t>Föryngringsavverkning</t>
        </is>
      </c>
      <c r="D151" s="1" t="n">
        <v>45077</v>
      </c>
      <c r="E151" s="1" t="n">
        <v>46258</v>
      </c>
      <c r="F151" t="inlineStr">
        <is>
          <t>VÄSTMANLANDS LÄN</t>
        </is>
      </c>
      <c r="G151" t="inlineStr">
        <is>
          <t>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23658-2023</t>
        </is>
      </c>
      <c r="B152" t="inlineStr">
        <is>
          <t>avverkningsanmälan</t>
        </is>
      </c>
      <c r="C152" t="inlineStr">
        <is>
          <t>Föryngringsavverkning</t>
        </is>
      </c>
      <c r="D152" s="1" t="n">
        <v>45077</v>
      </c>
      <c r="E152" s="1" t="n">
        <v>46258</v>
      </c>
      <c r="F152" t="inlineStr">
        <is>
          <t>VÄSTMANLANDS LÄN</t>
        </is>
      </c>
      <c r="G152" t="inlineStr">
        <is>
          <t>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56936-2025</t>
        </is>
      </c>
      <c r="B153" t="inlineStr">
        <is>
          <t>avverkningsanmälan</t>
        </is>
      </c>
      <c r="C153" t="inlineStr">
        <is>
          <t>Föryngringsavverkning</t>
        </is>
      </c>
      <c r="D153" s="1" t="n">
        <v>45978</v>
      </c>
      <c r="E153" s="1" t="n">
        <v>46258</v>
      </c>
      <c r="F153" t="inlineStr">
        <is>
          <t>VÄSTMANLANDS LÄN</t>
        </is>
      </c>
      <c r="G153" t="inlineStr">
        <is>
          <t>KÖPING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55720-2022</t>
        </is>
      </c>
      <c r="B154" t="inlineStr">
        <is>
          <t>avverkningsanmälan</t>
        </is>
      </c>
      <c r="C154" t="inlineStr">
        <is>
          <t>Föryngringsavverkning</t>
        </is>
      </c>
      <c r="D154" s="1" t="n">
        <v>44888</v>
      </c>
      <c r="E154" s="1" t="n">
        <v>46258</v>
      </c>
      <c r="F154" t="inlineStr">
        <is>
          <t>VÄSTMANLANDS LÄN</t>
        </is>
      </c>
      <c r="G154" t="inlineStr">
        <is>
          <t>KÖPING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10512-2022</t>
        </is>
      </c>
      <c r="B155" t="inlineStr">
        <is>
          <t>avverkningsanmälan</t>
        </is>
      </c>
      <c r="C155" t="inlineStr">
        <is>
          <t>Föryngringsavverkning</t>
        </is>
      </c>
      <c r="D155" s="1" t="n">
        <v>44623</v>
      </c>
      <c r="E155" s="1" t="n">
        <v>46258</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61083-2022</t>
        </is>
      </c>
      <c r="B156" t="inlineStr">
        <is>
          <t>avverkningsanmälan</t>
        </is>
      </c>
      <c r="C156" t="inlineStr">
        <is>
          <t>Föryngringsavverkning</t>
        </is>
      </c>
      <c r="D156" s="1" t="n">
        <v>44915</v>
      </c>
      <c r="E156" s="1" t="n">
        <v>46258</v>
      </c>
      <c r="F156" t="inlineStr">
        <is>
          <t>VÄSTMANLANDS LÄN</t>
        </is>
      </c>
      <c r="G156" t="inlineStr">
        <is>
          <t>KÖPING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46258</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20798-2022</t>
        </is>
      </c>
      <c r="B158" t="inlineStr">
        <is>
          <t>avverkningsanmälan</t>
        </is>
      </c>
      <c r="C158" t="inlineStr">
        <is>
          <t>Avverkning för att bevara och utveckla /försöksver</t>
        </is>
      </c>
      <c r="D158" s="1" t="n">
        <v>44701</v>
      </c>
      <c r="E158" s="1" t="n">
        <v>46258</v>
      </c>
      <c r="F158" t="inlineStr">
        <is>
          <t>VÄSTMANLANDS LÄN</t>
        </is>
      </c>
      <c r="G158" t="inlineStr">
        <is>
          <t>KÖPING</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27261-2022</t>
        </is>
      </c>
      <c r="B159" t="inlineStr">
        <is>
          <t>avverkningsanmälan</t>
        </is>
      </c>
      <c r="C159" t="inlineStr">
        <is>
          <t>Föryngringsavverkning</t>
        </is>
      </c>
      <c r="D159" s="1" t="n">
        <v>44741</v>
      </c>
      <c r="E159" s="1" t="n">
        <v>46258</v>
      </c>
      <c r="F159" t="inlineStr">
        <is>
          <t>VÄSTMANLANDS LÄN</t>
        </is>
      </c>
      <c r="G159" t="inlineStr">
        <is>
          <t>KÖPING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57318-2025</t>
        </is>
      </c>
      <c r="B160" t="inlineStr">
        <is>
          <t>avverkningsanmälan</t>
        </is>
      </c>
      <c r="C160" t="inlineStr">
        <is>
          <t>Föryngringsavverkning</t>
        </is>
      </c>
      <c r="D160" s="1" t="n">
        <v>45980</v>
      </c>
      <c r="E160" s="1" t="n">
        <v>46258</v>
      </c>
      <c r="F160" t="inlineStr">
        <is>
          <t>VÄSTMANLANDS LÄN</t>
        </is>
      </c>
      <c r="G160" t="inlineStr">
        <is>
          <t>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58079-2025</t>
        </is>
      </c>
      <c r="B161" t="inlineStr">
        <is>
          <t>avverkningsanmälan</t>
        </is>
      </c>
      <c r="C161" t="inlineStr">
        <is>
          <t>Föryngringsavverkning</t>
        </is>
      </c>
      <c r="D161" s="1" t="n">
        <v>45982</v>
      </c>
      <c r="E161" s="1" t="n">
        <v>46258</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21157-2025</t>
        </is>
      </c>
      <c r="B162" t="inlineStr">
        <is>
          <t>avverkningsanmälan</t>
        </is>
      </c>
      <c r="C162" t="inlineStr">
        <is>
          <t>Föryngringsavverkning</t>
        </is>
      </c>
      <c r="D162" s="1" t="n">
        <v>45779</v>
      </c>
      <c r="E162" s="1" t="n">
        <v>46258</v>
      </c>
      <c r="F162" t="inlineStr">
        <is>
          <t>VÄSTMANLANDS LÄN</t>
        </is>
      </c>
      <c r="G162" t="inlineStr">
        <is>
          <t>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22881-2024</t>
        </is>
      </c>
      <c r="B163" t="inlineStr">
        <is>
          <t>avverkningsanmälan</t>
        </is>
      </c>
      <c r="C163" t="inlineStr">
        <is>
          <t>Föryngringsavverkning</t>
        </is>
      </c>
      <c r="D163" s="1" t="n">
        <v>45448</v>
      </c>
      <c r="E163" s="1" t="n">
        <v>46258</v>
      </c>
      <c r="F163" t="inlineStr">
        <is>
          <t>VÄSTMANLANDS LÄN</t>
        </is>
      </c>
      <c r="G163" t="inlineStr">
        <is>
          <t>KÖPING</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15735-2024</t>
        </is>
      </c>
      <c r="B164" t="inlineStr">
        <is>
          <t>avverkningsanmälan</t>
        </is>
      </c>
      <c r="C164" t="inlineStr">
        <is>
          <t>Föryngringsavverkning</t>
        </is>
      </c>
      <c r="D164" s="1" t="n">
        <v>45404</v>
      </c>
      <c r="E164" s="1" t="n">
        <v>46258</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14664-2022</t>
        </is>
      </c>
      <c r="B165" t="inlineStr">
        <is>
          <t>avverkningsanmälan</t>
        </is>
      </c>
      <c r="C165" t="inlineStr">
        <is>
          <t>Föryngringsavverkning</t>
        </is>
      </c>
      <c r="D165" s="1" t="n">
        <v>44655</v>
      </c>
      <c r="E165" s="1" t="n">
        <v>46258</v>
      </c>
      <c r="F165" t="inlineStr">
        <is>
          <t>VÄSTMANLANDS LÄN</t>
        </is>
      </c>
      <c r="G165" t="inlineStr">
        <is>
          <t>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53996-2021</t>
        </is>
      </c>
      <c r="B166" t="inlineStr">
        <is>
          <t>avverkningsanmälan</t>
        </is>
      </c>
      <c r="C166" t="inlineStr">
        <is>
          <t>Föryngringsavverkning</t>
        </is>
      </c>
      <c r="D166" s="1" t="n">
        <v>44470</v>
      </c>
      <c r="E166" s="1" t="n">
        <v>46258</v>
      </c>
      <c r="F166" t="inlineStr">
        <is>
          <t>VÄSTMANLANDS LÄN</t>
        </is>
      </c>
      <c r="G166" t="inlineStr">
        <is>
          <t>KÖPING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20395-2025</t>
        </is>
      </c>
      <c r="B167" t="inlineStr">
        <is>
          <t>avverkningsanmälan</t>
        </is>
      </c>
      <c r="C167" t="inlineStr">
        <is>
          <t>Föryngringsavverkning</t>
        </is>
      </c>
      <c r="D167" s="1" t="n">
        <v>45775</v>
      </c>
      <c r="E167" s="1" t="n">
        <v>46258</v>
      </c>
      <c r="F167" t="inlineStr">
        <is>
          <t>VÄSTMANLANDS LÄN</t>
        </is>
      </c>
      <c r="G167" t="inlineStr">
        <is>
          <t>KÖPING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39358-2024</t>
        </is>
      </c>
      <c r="B168" t="inlineStr">
        <is>
          <t>avverkningsanmälan</t>
        </is>
      </c>
      <c r="C168" t="inlineStr">
        <is>
          <t>Föryngringsavverkning</t>
        </is>
      </c>
      <c r="D168" s="1" t="n">
        <v>45551</v>
      </c>
      <c r="E168" s="1" t="n">
        <v>46258</v>
      </c>
      <c r="F168" t="inlineStr">
        <is>
          <t>VÄSTMANLANDS LÄN</t>
        </is>
      </c>
      <c r="G168" t="inlineStr">
        <is>
          <t>KÖPING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63241-2023</t>
        </is>
      </c>
      <c r="B169" t="inlineStr">
        <is>
          <t>avverkningsanmälan</t>
        </is>
      </c>
      <c r="C169" t="inlineStr">
        <is>
          <t>Föryngringsavverkning</t>
        </is>
      </c>
      <c r="D169" s="1" t="n">
        <v>45273</v>
      </c>
      <c r="E169" s="1" t="n">
        <v>46258</v>
      </c>
      <c r="F169" t="inlineStr">
        <is>
          <t>VÄSTMANLANDS LÄN</t>
        </is>
      </c>
      <c r="G169" t="inlineStr">
        <is>
          <t>KÖPING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28394-2024</t>
        </is>
      </c>
      <c r="B170" t="inlineStr">
        <is>
          <t>avverkningsanmälan</t>
        </is>
      </c>
      <c r="C170" t="inlineStr">
        <is>
          <t>Föryngringsavverkning</t>
        </is>
      </c>
      <c r="D170" s="1" t="n">
        <v>45477</v>
      </c>
      <c r="E170" s="1" t="n">
        <v>46258</v>
      </c>
      <c r="F170" t="inlineStr">
        <is>
          <t>VÄSTMANLANDS LÄN</t>
        </is>
      </c>
      <c r="G170" t="inlineStr">
        <is>
          <t>KÖPING</t>
        </is>
      </c>
      <c r="H170" t="inlineStr">
        <is>
          <t>Sveaskog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11220-2023</t>
        </is>
      </c>
      <c r="B171" t="inlineStr">
        <is>
          <t>avverkningsanmälan</t>
        </is>
      </c>
      <c r="C171" t="inlineStr">
        <is>
          <t>Föryngringsavverkning</t>
        </is>
      </c>
      <c r="D171" s="1" t="n">
        <v>44988</v>
      </c>
      <c r="E171" s="1" t="n">
        <v>46258</v>
      </c>
      <c r="F171" t="inlineStr">
        <is>
          <t>VÄSTMANLANDS LÄN</t>
        </is>
      </c>
      <c r="G171" t="inlineStr">
        <is>
          <t>KÖPING</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16430-2022</t>
        </is>
      </c>
      <c r="B172" t="inlineStr">
        <is>
          <t>avverkningsanmälan</t>
        </is>
      </c>
      <c r="C172" t="inlineStr">
        <is>
          <t>Föryngringsavverkning</t>
        </is>
      </c>
      <c r="D172" s="1" t="n">
        <v>44671</v>
      </c>
      <c r="E172" s="1" t="n">
        <v>46258</v>
      </c>
      <c r="F172" t="inlineStr">
        <is>
          <t>VÄSTMANLANDS LÄN</t>
        </is>
      </c>
      <c r="G172" t="inlineStr">
        <is>
          <t>KÖPING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7370-2022</t>
        </is>
      </c>
      <c r="B173" t="inlineStr">
        <is>
          <t>avverkningsanmälan</t>
        </is>
      </c>
      <c r="C173" t="inlineStr">
        <is>
          <t>Föryngringsavverkning</t>
        </is>
      </c>
      <c r="D173" s="1" t="n">
        <v>44606</v>
      </c>
      <c r="E173" s="1" t="n">
        <v>46258</v>
      </c>
      <c r="F173" t="inlineStr">
        <is>
          <t>VÄSTMANLANDS LÄN</t>
        </is>
      </c>
      <c r="G173" t="inlineStr">
        <is>
          <t>KÖPING</t>
        </is>
      </c>
      <c r="I173" t="n">
        <v>14.4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60963-2025</t>
        </is>
      </c>
      <c r="B174" t="inlineStr">
        <is>
          <t>avverkningsanmälan</t>
        </is>
      </c>
      <c r="C174" t="inlineStr">
        <is>
          <t>Föryngringsavverkning</t>
        </is>
      </c>
      <c r="D174" s="1" t="n">
        <v>45999</v>
      </c>
      <c r="E174" s="1" t="n">
        <v>46258</v>
      </c>
      <c r="F174" t="inlineStr">
        <is>
          <t>VÄSTMANLANDS LÄN</t>
        </is>
      </c>
      <c r="G174" t="inlineStr">
        <is>
          <t>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60830-2025</t>
        </is>
      </c>
      <c r="B175" t="inlineStr">
        <is>
          <t>avverkningsanmälan</t>
        </is>
      </c>
      <c r="C175" t="inlineStr">
        <is>
          <t>Föryngringsavverkning</t>
        </is>
      </c>
      <c r="D175" s="1" t="n">
        <v>45999</v>
      </c>
      <c r="E175" s="1" t="n">
        <v>46258</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44906-2022</t>
        </is>
      </c>
      <c r="B176" t="inlineStr">
        <is>
          <t>avverkningsanmälan</t>
        </is>
      </c>
      <c r="C176" t="inlineStr">
        <is>
          <t>Föryngringsavverkning</t>
        </is>
      </c>
      <c r="D176" s="1" t="n">
        <v>44840</v>
      </c>
      <c r="E176" s="1" t="n">
        <v>46258</v>
      </c>
      <c r="F176" t="inlineStr">
        <is>
          <t>VÄSTMANLANDS LÄN</t>
        </is>
      </c>
      <c r="G176" t="inlineStr">
        <is>
          <t>KÖPING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57514-2022</t>
        </is>
      </c>
      <c r="B177" t="inlineStr">
        <is>
          <t>avverkningsanmälan</t>
        </is>
      </c>
      <c r="C177" t="inlineStr">
        <is>
          <t>Föryngringsavverkning</t>
        </is>
      </c>
      <c r="D177" s="1" t="n">
        <v>44896</v>
      </c>
      <c r="E177" s="1" t="n">
        <v>46258</v>
      </c>
      <c r="F177" t="inlineStr">
        <is>
          <t>VÄSTMANLANDS LÄN</t>
        </is>
      </c>
      <c r="G177" t="inlineStr">
        <is>
          <t>KÖPING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52799-2021</t>
        </is>
      </c>
      <c r="B178" t="inlineStr">
        <is>
          <t>avverkningsanmälan</t>
        </is>
      </c>
      <c r="C178" t="inlineStr">
        <is>
          <t>Föryngringsavverkning</t>
        </is>
      </c>
      <c r="D178" s="1" t="n">
        <v>44467</v>
      </c>
      <c r="E178" s="1" t="n">
        <v>46258</v>
      </c>
      <c r="F178" t="inlineStr">
        <is>
          <t>VÄSTMANLANDS LÄN</t>
        </is>
      </c>
      <c r="G178" t="inlineStr">
        <is>
          <t>KÖPING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57760-2022</t>
        </is>
      </c>
      <c r="B179" t="inlineStr">
        <is>
          <t>avverkningsanmälan</t>
        </is>
      </c>
      <c r="C179" t="inlineStr">
        <is>
          <t>Föryngringsavverkning</t>
        </is>
      </c>
      <c r="D179" s="1" t="n">
        <v>44897</v>
      </c>
      <c r="E179" s="1" t="n">
        <v>46258</v>
      </c>
      <c r="F179" t="inlineStr">
        <is>
          <t>VÄSTMANLANDS LÄN</t>
        </is>
      </c>
      <c r="G179" t="inlineStr">
        <is>
          <t>KÖPING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30139-2025</t>
        </is>
      </c>
      <c r="B180" t="inlineStr">
        <is>
          <t>avverkningsanmälan</t>
        </is>
      </c>
      <c r="C180" t="inlineStr">
        <is>
          <t>Föryngringsavverkning</t>
        </is>
      </c>
      <c r="D180" s="1" t="n">
        <v>45826</v>
      </c>
      <c r="E180" s="1" t="n">
        <v>46258</v>
      </c>
      <c r="F180" t="inlineStr">
        <is>
          <t>VÄSTMANLANDS LÄN</t>
        </is>
      </c>
      <c r="G180" t="inlineStr">
        <is>
          <t>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62596-2025</t>
        </is>
      </c>
      <c r="B181" t="inlineStr">
        <is>
          <t>avverkningsanmälan</t>
        </is>
      </c>
      <c r="C181" t="inlineStr">
        <is>
          <t>Föryngringsavverkning</t>
        </is>
      </c>
      <c r="D181" s="1" t="n">
        <v>46007</v>
      </c>
      <c r="E181" s="1" t="n">
        <v>46258</v>
      </c>
      <c r="F181" t="inlineStr">
        <is>
          <t>VÄSTMANLANDS LÄN</t>
        </is>
      </c>
      <c r="G181" t="inlineStr">
        <is>
          <t>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17204-2023</t>
        </is>
      </c>
      <c r="B182" t="inlineStr">
        <is>
          <t>avverkningsanmälan</t>
        </is>
      </c>
      <c r="C182" t="inlineStr">
        <is>
          <t>Föryngringsavverkning</t>
        </is>
      </c>
      <c r="D182" s="1" t="n">
        <v>45034</v>
      </c>
      <c r="E182" s="1" t="n">
        <v>46258</v>
      </c>
      <c r="F182" t="inlineStr">
        <is>
          <t>VÄSTMANLANDS LÄN</t>
        </is>
      </c>
      <c r="G182" t="inlineStr">
        <is>
          <t>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63448-2025</t>
        </is>
      </c>
      <c r="B183" t="inlineStr">
        <is>
          <t>avverkningsanmälan</t>
        </is>
      </c>
      <c r="C183" t="inlineStr">
        <is>
          <t>Föryngringsavverkning</t>
        </is>
      </c>
      <c r="D183" s="1" t="n">
        <v>46013</v>
      </c>
      <c r="E183" s="1" t="n">
        <v>46258</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65740-2021</t>
        </is>
      </c>
      <c r="B184" t="inlineStr">
        <is>
          <t>avverkningsanmälan</t>
        </is>
      </c>
      <c r="C184" t="inlineStr">
        <is>
          <t>Föryngringsavverkning</t>
        </is>
      </c>
      <c r="D184" s="1" t="n">
        <v>44516</v>
      </c>
      <c r="E184" s="1" t="n">
        <v>46258</v>
      </c>
      <c r="F184" t="inlineStr">
        <is>
          <t>VÄSTMANLANDS LÄN</t>
        </is>
      </c>
      <c r="G184" t="inlineStr">
        <is>
          <t>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8703-2024</t>
        </is>
      </c>
      <c r="B185" t="inlineStr">
        <is>
          <t>avverkningsanmälan</t>
        </is>
      </c>
      <c r="C185" t="inlineStr">
        <is>
          <t>Föryngringsavverkning</t>
        </is>
      </c>
      <c r="D185" s="1" t="n">
        <v>45356</v>
      </c>
      <c r="E185" s="1" t="n">
        <v>46258</v>
      </c>
      <c r="F185" t="inlineStr">
        <is>
          <t>VÄSTMANLANDS LÄN</t>
        </is>
      </c>
      <c r="G185" t="inlineStr">
        <is>
          <t>KÖPING</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62449-2025</t>
        </is>
      </c>
      <c r="B186" t="inlineStr">
        <is>
          <t>avverkningsanmälan</t>
        </is>
      </c>
      <c r="C186" t="inlineStr">
        <is>
          <t>Avverkning för att bevara och utveckla /försöksver</t>
        </is>
      </c>
      <c r="D186" s="1" t="n">
        <v>46007</v>
      </c>
      <c r="E186" s="1" t="n">
        <v>46258</v>
      </c>
      <c r="F186" t="inlineStr">
        <is>
          <t>VÄSTMANLANDS LÄN</t>
        </is>
      </c>
      <c r="G186" t="inlineStr">
        <is>
          <t>KÖPING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18785-2025</t>
        </is>
      </c>
      <c r="B187" t="inlineStr">
        <is>
          <t>avverkningsanmälan</t>
        </is>
      </c>
      <c r="C187" t="inlineStr">
        <is>
          <t>Avverkning för annat ändamål</t>
        </is>
      </c>
      <c r="D187" s="1" t="n">
        <v>45764</v>
      </c>
      <c r="E187" s="1" t="n">
        <v>46258</v>
      </c>
      <c r="F187" t="inlineStr">
        <is>
          <t>VÄSTMANLANDS LÄN</t>
        </is>
      </c>
      <c r="G187" t="inlineStr">
        <is>
          <t>KÖPING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18787-2025</t>
        </is>
      </c>
      <c r="B188" t="inlineStr">
        <is>
          <t>avverkningsanmälan</t>
        </is>
      </c>
      <c r="C188" t="inlineStr">
        <is>
          <t>Föryngringsavverkning</t>
        </is>
      </c>
      <c r="D188" s="1" t="n">
        <v>45764</v>
      </c>
      <c r="E188" s="1" t="n">
        <v>46258</v>
      </c>
      <c r="F188" t="inlineStr">
        <is>
          <t>VÄSTMANLANDS LÄN</t>
        </is>
      </c>
      <c r="G188" t="inlineStr">
        <is>
          <t>KÖPING</t>
        </is>
      </c>
      <c r="H188" t="inlineStr">
        <is>
          <t>Sveaskog</t>
        </is>
      </c>
      <c r="I188" t="n">
        <v>9.699999999999999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37660-2022</t>
        </is>
      </c>
      <c r="B189" t="inlineStr">
        <is>
          <t>avverkningsanmälan</t>
        </is>
      </c>
      <c r="C189" t="inlineStr">
        <is>
          <t>Föryngringsavverkning</t>
        </is>
      </c>
      <c r="D189" s="1" t="n">
        <v>44810</v>
      </c>
      <c r="E189" s="1" t="n">
        <v>46258</v>
      </c>
      <c r="F189" t="inlineStr">
        <is>
          <t>VÄSTMANLANDS LÄN</t>
        </is>
      </c>
      <c r="G189" t="inlineStr">
        <is>
          <t>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37776-2022</t>
        </is>
      </c>
      <c r="B190" t="inlineStr">
        <is>
          <t>avverkningsanmälan</t>
        </is>
      </c>
      <c r="C190" t="inlineStr">
        <is>
          <t>Föryngringsavverkning</t>
        </is>
      </c>
      <c r="D190" s="1" t="n">
        <v>44810</v>
      </c>
      <c r="E190" s="1" t="n">
        <v>46258</v>
      </c>
      <c r="F190" t="inlineStr">
        <is>
          <t>VÄSTMANLANDS LÄN</t>
        </is>
      </c>
      <c r="G190" t="inlineStr">
        <is>
          <t>KÖPING</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29749-2022</t>
        </is>
      </c>
      <c r="B191" t="inlineStr">
        <is>
          <t>avverkningsanmälan</t>
        </is>
      </c>
      <c r="C191" t="inlineStr">
        <is>
          <t>Föryngringsavverkning</t>
        </is>
      </c>
      <c r="D191" s="1" t="n">
        <v>44755</v>
      </c>
      <c r="E191" s="1" t="n">
        <v>46258</v>
      </c>
      <c r="F191" t="inlineStr">
        <is>
          <t>VÄSTMANLANDS LÄN</t>
        </is>
      </c>
      <c r="G191" t="inlineStr">
        <is>
          <t>KÖPING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39646-2023</t>
        </is>
      </c>
      <c r="B192" t="inlineStr">
        <is>
          <t>avverkningsanmälan</t>
        </is>
      </c>
      <c r="C192" t="inlineStr">
        <is>
          <t>Föryngringsavverkning</t>
        </is>
      </c>
      <c r="D192" s="1" t="n">
        <v>45166</v>
      </c>
      <c r="E192" s="1" t="n">
        <v>46258</v>
      </c>
      <c r="F192" t="inlineStr">
        <is>
          <t>VÄSTMANLANDS LÄN</t>
        </is>
      </c>
      <c r="G192" t="inlineStr">
        <is>
          <t>KÖPING</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37669-2023</t>
        </is>
      </c>
      <c r="B193" t="inlineStr">
        <is>
          <t>avverkningsanmälan</t>
        </is>
      </c>
      <c r="C193" t="inlineStr">
        <is>
          <t>Föryngringsavverkning</t>
        </is>
      </c>
      <c r="D193" s="1" t="n">
        <v>45159</v>
      </c>
      <c r="E193" s="1" t="n">
        <v>46258</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23791-2022</t>
        </is>
      </c>
      <c r="B194" t="inlineStr">
        <is>
          <t>avverkningsanmälan</t>
        </is>
      </c>
      <c r="C194" t="inlineStr">
        <is>
          <t>Föryngringsavverkning</t>
        </is>
      </c>
      <c r="D194" s="1" t="n">
        <v>44722</v>
      </c>
      <c r="E194" s="1" t="n">
        <v>46258</v>
      </c>
      <c r="F194" t="inlineStr">
        <is>
          <t>VÄSTMANLANDS LÄN</t>
        </is>
      </c>
      <c r="G194" t="inlineStr">
        <is>
          <t>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51132-2023</t>
        </is>
      </c>
      <c r="B195" t="inlineStr">
        <is>
          <t>avverkningsanmälan</t>
        </is>
      </c>
      <c r="C195" t="inlineStr">
        <is>
          <t>Föryngringsavverkning</t>
        </is>
      </c>
      <c r="D195" s="1" t="n">
        <v>45219</v>
      </c>
      <c r="E195" s="1" t="n">
        <v>46258</v>
      </c>
      <c r="F195" t="inlineStr">
        <is>
          <t>VÄSTMANLANDS LÄN</t>
        </is>
      </c>
      <c r="G195" t="inlineStr">
        <is>
          <t>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55835-2021</t>
        </is>
      </c>
      <c r="B196" t="inlineStr">
        <is>
          <t>avverkningsanmälan</t>
        </is>
      </c>
      <c r="C196" t="inlineStr">
        <is>
          <t>Föryngringsavverkning</t>
        </is>
      </c>
      <c r="D196" s="1" t="n">
        <v>44476</v>
      </c>
      <c r="E196" s="1" t="n">
        <v>46258</v>
      </c>
      <c r="F196" t="inlineStr">
        <is>
          <t>VÄSTMANLANDS LÄN</t>
        </is>
      </c>
      <c r="G196" t="inlineStr">
        <is>
          <t>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51412-2023</t>
        </is>
      </c>
      <c r="B197" t="inlineStr">
        <is>
          <t>avverkningsanmälan</t>
        </is>
      </c>
      <c r="C197" t="inlineStr">
        <is>
          <t>Föryngringsavverkning</t>
        </is>
      </c>
      <c r="D197" s="1" t="n">
        <v>45219</v>
      </c>
      <c r="E197" s="1" t="n">
        <v>46258</v>
      </c>
      <c r="F197" t="inlineStr">
        <is>
          <t>VÄSTMANLANDS LÄN</t>
        </is>
      </c>
      <c r="G197" t="inlineStr">
        <is>
          <t>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51119-2023</t>
        </is>
      </c>
      <c r="B198" t="inlineStr">
        <is>
          <t>avverkningsanmälan</t>
        </is>
      </c>
      <c r="C198" t="inlineStr">
        <is>
          <t>Föryngringsavverkning</t>
        </is>
      </c>
      <c r="D198" s="1" t="n">
        <v>45219</v>
      </c>
      <c r="E198" s="1" t="n">
        <v>46258</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36409-2023</t>
        </is>
      </c>
      <c r="B199" t="inlineStr">
        <is>
          <t>avverkningsanmälan</t>
        </is>
      </c>
      <c r="C199" t="inlineStr">
        <is>
          <t>Föryngringsavverkning</t>
        </is>
      </c>
      <c r="D199" s="1" t="n">
        <v>45152</v>
      </c>
      <c r="E199" s="1" t="n">
        <v>46258</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36726-2025</t>
        </is>
      </c>
      <c r="B200" t="inlineStr">
        <is>
          <t>avverkningsanmälan</t>
        </is>
      </c>
      <c r="C200" t="inlineStr">
        <is>
          <t>Föryngringsavverkning</t>
        </is>
      </c>
      <c r="D200" s="1" t="n">
        <v>45873</v>
      </c>
      <c r="E200" s="1" t="n">
        <v>46258</v>
      </c>
      <c r="F200" t="inlineStr">
        <is>
          <t>VÄSTMANLANDS LÄN</t>
        </is>
      </c>
      <c r="G200" t="inlineStr">
        <is>
          <t>KÖPING</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13041-2025</t>
        </is>
      </c>
      <c r="B201" t="inlineStr">
        <is>
          <t>avverkningsanmälan</t>
        </is>
      </c>
      <c r="C201" t="inlineStr">
        <is>
          <t>Avverkning för att bevara och utveckla /försöksver</t>
        </is>
      </c>
      <c r="D201" s="1" t="n">
        <v>45734</v>
      </c>
      <c r="E201" s="1" t="n">
        <v>46258</v>
      </c>
      <c r="F201" t="inlineStr">
        <is>
          <t>VÄSTMANLANDS LÄN</t>
        </is>
      </c>
      <c r="G201" t="inlineStr">
        <is>
          <t>KÖPING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17295-2023</t>
        </is>
      </c>
      <c r="B202" t="inlineStr">
        <is>
          <t>avverkningsanmälan</t>
        </is>
      </c>
      <c r="C202" t="inlineStr">
        <is>
          <t>Föryngringsavverkning</t>
        </is>
      </c>
      <c r="D202" s="1" t="n">
        <v>45035</v>
      </c>
      <c r="E202" s="1" t="n">
        <v>46258</v>
      </c>
      <c r="F202" t="inlineStr">
        <is>
          <t>VÄSTMANLANDS LÄN</t>
        </is>
      </c>
      <c r="G202" t="inlineStr">
        <is>
          <t>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4418-2026</t>
        </is>
      </c>
      <c r="B203" t="inlineStr">
        <is>
          <t>avverkningsanmälan</t>
        </is>
      </c>
      <c r="C203" t="inlineStr">
        <is>
          <t>Föryngringsavverkning</t>
        </is>
      </c>
      <c r="D203" s="1" t="n">
        <v>46044</v>
      </c>
      <c r="E203" s="1" t="n">
        <v>46258</v>
      </c>
      <c r="F203" t="inlineStr">
        <is>
          <t>VÄSTMANLANDS LÄN</t>
        </is>
      </c>
      <c r="G203" t="inlineStr">
        <is>
          <t>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50045-2021</t>
        </is>
      </c>
      <c r="B204" t="inlineStr">
        <is>
          <t>avverkningsanmälan</t>
        </is>
      </c>
      <c r="C204" t="inlineStr">
        <is>
          <t>Föryngringsavverkning</t>
        </is>
      </c>
      <c r="D204" s="1" t="n">
        <v>44456</v>
      </c>
      <c r="E204" s="1" t="n">
        <v>46258</v>
      </c>
      <c r="F204" t="inlineStr">
        <is>
          <t>VÄSTMANLANDS LÄN</t>
        </is>
      </c>
      <c r="G204" t="inlineStr">
        <is>
          <t>KÖPING</t>
        </is>
      </c>
      <c r="H204" t="inlineStr">
        <is>
          <t>Allmännings- och besparingsskogar</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24302-2026</t>
        </is>
      </c>
      <c r="B205" t="inlineStr">
        <is>
          <t>avverkningsanmälan</t>
        </is>
      </c>
      <c r="C205" t="inlineStr">
        <is>
          <t>Föryngringsavverkning</t>
        </is>
      </c>
      <c r="D205" s="1" t="n">
        <v>46169</v>
      </c>
      <c r="E205" s="1" t="n">
        <v>46258</v>
      </c>
      <c r="F205" t="inlineStr">
        <is>
          <t>VÄSTMANLANDS LÄN</t>
        </is>
      </c>
      <c r="G205" t="inlineStr">
        <is>
          <t>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25662-2024</t>
        </is>
      </c>
      <c r="B206" t="inlineStr">
        <is>
          <t>avverkningsanmälan</t>
        </is>
      </c>
      <c r="C206" t="inlineStr">
        <is>
          <t>Föryngringsavverkning</t>
        </is>
      </c>
      <c r="D206" s="1" t="n">
        <v>45463</v>
      </c>
      <c r="E206" s="1" t="n">
        <v>46258</v>
      </c>
      <c r="F206" t="inlineStr">
        <is>
          <t>VÄSTMANLANDS LÄN</t>
        </is>
      </c>
      <c r="G206" t="inlineStr">
        <is>
          <t>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24488-2026</t>
        </is>
      </c>
      <c r="B207" t="inlineStr">
        <is>
          <t>avverkningsanmälan</t>
        </is>
      </c>
      <c r="C207" t="inlineStr">
        <is>
          <t>Föryngringsavverkning</t>
        </is>
      </c>
      <c r="D207" s="1" t="n">
        <v>46170</v>
      </c>
      <c r="E207" s="1" t="n">
        <v>46258</v>
      </c>
      <c r="F207" t="inlineStr">
        <is>
          <t>VÄSTMANLANDS LÄN</t>
        </is>
      </c>
      <c r="G207" t="inlineStr">
        <is>
          <t>KÖPING</t>
        </is>
      </c>
      <c r="H207" t="inlineStr">
        <is>
          <t>Sveaskog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24482-2026</t>
        </is>
      </c>
      <c r="B208" t="inlineStr">
        <is>
          <t>avverkningsanmälan</t>
        </is>
      </c>
      <c r="C208" t="inlineStr">
        <is>
          <t>Föryngringsavverkning</t>
        </is>
      </c>
      <c r="D208" s="1" t="n">
        <v>46170</v>
      </c>
      <c r="E208" s="1" t="n">
        <v>46258</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29317-2022</t>
        </is>
      </c>
      <c r="B209" t="inlineStr">
        <is>
          <t>avverkningsanmälan</t>
        </is>
      </c>
      <c r="C209" t="inlineStr">
        <is>
          <t>Föryngringsavverkning</t>
        </is>
      </c>
      <c r="D209" s="1" t="n">
        <v>44751</v>
      </c>
      <c r="E209" s="1" t="n">
        <v>46258</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38844-2024</t>
        </is>
      </c>
      <c r="B210" t="inlineStr">
        <is>
          <t>avverkningsanmälan</t>
        </is>
      </c>
      <c r="C210" t="inlineStr">
        <is>
          <t>Avverkning för annat ändamål</t>
        </is>
      </c>
      <c r="D210" s="1" t="n">
        <v>45547</v>
      </c>
      <c r="E210" s="1" t="n">
        <v>46258</v>
      </c>
      <c r="F210" t="inlineStr">
        <is>
          <t>VÄSTMANLANDS LÄN</t>
        </is>
      </c>
      <c r="G210" t="inlineStr">
        <is>
          <t>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199-2025</t>
        </is>
      </c>
      <c r="B211" t="inlineStr">
        <is>
          <t>avverkningsanmälan</t>
        </is>
      </c>
      <c r="C211" t="inlineStr">
        <is>
          <t>Föryngringsavverkning</t>
        </is>
      </c>
      <c r="D211" s="1" t="n">
        <v>45659</v>
      </c>
      <c r="E211" s="1" t="n">
        <v>46258</v>
      </c>
      <c r="F211" t="inlineStr">
        <is>
          <t>VÄSTMANLANDS LÄN</t>
        </is>
      </c>
      <c r="G211" t="inlineStr">
        <is>
          <t>KÖPING</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72463-2021</t>
        </is>
      </c>
      <c r="B212" t="inlineStr">
        <is>
          <t>avverkningsanmälan</t>
        </is>
      </c>
      <c r="C212" t="inlineStr">
        <is>
          <t>Föryngringsavverkning</t>
        </is>
      </c>
      <c r="D212" s="1" t="n">
        <v>44545</v>
      </c>
      <c r="E212" s="1" t="n">
        <v>46258</v>
      </c>
      <c r="F212" t="inlineStr">
        <is>
          <t>VÄSTMANLANDS LÄN</t>
        </is>
      </c>
      <c r="G212" t="inlineStr">
        <is>
          <t>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54867-2024</t>
        </is>
      </c>
      <c r="B213" t="inlineStr">
        <is>
          <t>avverkningsanmälan</t>
        </is>
      </c>
      <c r="C213" t="inlineStr">
        <is>
          <t>Föryngringsavverkning</t>
        </is>
      </c>
      <c r="D213" s="1" t="n">
        <v>45618</v>
      </c>
      <c r="E213" s="1" t="n">
        <v>46258</v>
      </c>
      <c r="F213" t="inlineStr">
        <is>
          <t>VÄSTMANLANDS LÄN</t>
        </is>
      </c>
      <c r="G213" t="inlineStr">
        <is>
          <t>KÖPING</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45684-2024</t>
        </is>
      </c>
      <c r="B214" t="inlineStr">
        <is>
          <t>avverkningsanmälan</t>
        </is>
      </c>
      <c r="C214" t="inlineStr">
        <is>
          <t>Avverkning för annat ändamål</t>
        </is>
      </c>
      <c r="D214" s="1" t="n">
        <v>45579</v>
      </c>
      <c r="E214" s="1" t="n">
        <v>46258</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1812-2022</t>
        </is>
      </c>
      <c r="B215" t="inlineStr">
        <is>
          <t>avverkningsanmälan</t>
        </is>
      </c>
      <c r="C215" t="inlineStr">
        <is>
          <t>Föryngringsavverkning</t>
        </is>
      </c>
      <c r="D215" s="1" t="n">
        <v>44574</v>
      </c>
      <c r="E215" s="1" t="n">
        <v>46258</v>
      </c>
      <c r="F215" t="inlineStr">
        <is>
          <t>VÄSTMANLANDS LÄN</t>
        </is>
      </c>
      <c r="G215" t="inlineStr">
        <is>
          <t>KÖPING</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32029-2024</t>
        </is>
      </c>
      <c r="B216" t="inlineStr">
        <is>
          <t>avverkningsanmälan</t>
        </is>
      </c>
      <c r="C216" t="inlineStr">
        <is>
          <t>Föryngringsavverkning</t>
        </is>
      </c>
      <c r="D216" s="1" t="n">
        <v>45510</v>
      </c>
      <c r="E216" s="1" t="n">
        <v>46258</v>
      </c>
      <c r="F216" t="inlineStr">
        <is>
          <t>VÄSTMANLANDS LÄN</t>
        </is>
      </c>
      <c r="G216" t="inlineStr">
        <is>
          <t>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44616-2023</t>
        </is>
      </c>
      <c r="B217" t="inlineStr">
        <is>
          <t>avverkningsanmälan</t>
        </is>
      </c>
      <c r="C217" t="inlineStr">
        <is>
          <t>Föryngringsavverkning</t>
        </is>
      </c>
      <c r="D217" s="1" t="n">
        <v>45189</v>
      </c>
      <c r="E217" s="1" t="n">
        <v>46258</v>
      </c>
      <c r="F217" t="inlineStr">
        <is>
          <t>VÄSTMANLANDS LÄN</t>
        </is>
      </c>
      <c r="G217" t="inlineStr">
        <is>
          <t>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25819-2026</t>
        </is>
      </c>
      <c r="B218" t="inlineStr">
        <is>
          <t>avverkningsanmälan</t>
        </is>
      </c>
      <c r="C218" t="inlineStr">
        <is>
          <t>Föryngringsavverkning</t>
        </is>
      </c>
      <c r="D218" s="1" t="n">
        <v>46178</v>
      </c>
      <c r="E218" s="1" t="n">
        <v>46258</v>
      </c>
      <c r="F218" t="inlineStr">
        <is>
          <t>VÄSTMANLANDS LÄN</t>
        </is>
      </c>
      <c r="G218" t="inlineStr">
        <is>
          <t>KÖPING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25798-2026</t>
        </is>
      </c>
      <c r="B219" t="inlineStr">
        <is>
          <t>avverkningsanmälan</t>
        </is>
      </c>
      <c r="C219" t="inlineStr">
        <is>
          <t>Föryngringsavverkning</t>
        </is>
      </c>
      <c r="D219" s="1" t="n">
        <v>46178</v>
      </c>
      <c r="E219" s="1" t="n">
        <v>46258</v>
      </c>
      <c r="F219" t="inlineStr">
        <is>
          <t>VÄSTMANLANDS LÄN</t>
        </is>
      </c>
      <c r="G219" t="inlineStr">
        <is>
          <t>KÖPING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25815-2026</t>
        </is>
      </c>
      <c r="B220" t="inlineStr">
        <is>
          <t>avverkningsanmälan</t>
        </is>
      </c>
      <c r="C220" t="inlineStr">
        <is>
          <t>Föryngringsavverkning</t>
        </is>
      </c>
      <c r="D220" s="1" t="n">
        <v>46178</v>
      </c>
      <c r="E220" s="1" t="n">
        <v>46258</v>
      </c>
      <c r="F220" t="inlineStr">
        <is>
          <t>VÄSTMANLANDS LÄN</t>
        </is>
      </c>
      <c r="G220" t="inlineStr">
        <is>
          <t>KÖPING</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25818-2026</t>
        </is>
      </c>
      <c r="B221" t="inlineStr">
        <is>
          <t>avverkningsanmälan</t>
        </is>
      </c>
      <c r="C221" t="inlineStr">
        <is>
          <t>Föryngringsavverkning</t>
        </is>
      </c>
      <c r="D221" s="1" t="n">
        <v>46178</v>
      </c>
      <c r="E221" s="1" t="n">
        <v>46258</v>
      </c>
      <c r="F221" t="inlineStr">
        <is>
          <t>VÄSTMANLANDS LÄN</t>
        </is>
      </c>
      <c r="G221" t="inlineStr">
        <is>
          <t>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25820-2026</t>
        </is>
      </c>
      <c r="B222" t="inlineStr">
        <is>
          <t>avverkningsanmälan</t>
        </is>
      </c>
      <c r="C222" t="inlineStr">
        <is>
          <t>Föryngringsavverkning</t>
        </is>
      </c>
      <c r="D222" s="1" t="n">
        <v>46178</v>
      </c>
      <c r="E222" s="1" t="n">
        <v>46258</v>
      </c>
      <c r="F222" t="inlineStr">
        <is>
          <t>VÄSTMANLANDS LÄN</t>
        </is>
      </c>
      <c r="G222" t="inlineStr">
        <is>
          <t>KÖPING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25812-2026</t>
        </is>
      </c>
      <c r="B223" t="inlineStr">
        <is>
          <t>avverkningsanmälan</t>
        </is>
      </c>
      <c r="C223" t="inlineStr">
        <is>
          <t>Föryngringsavverkning</t>
        </is>
      </c>
      <c r="D223" s="1" t="n">
        <v>46178</v>
      </c>
      <c r="E223" s="1" t="n">
        <v>46258</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26332-2026</t>
        </is>
      </c>
      <c r="B224" t="inlineStr">
        <is>
          <t>avverkningsanmälan</t>
        </is>
      </c>
      <c r="C224" t="inlineStr">
        <is>
          <t>Föryngringsavverkning</t>
        </is>
      </c>
      <c r="D224" s="1" t="n">
        <v>46182</v>
      </c>
      <c r="E224" s="1" t="n">
        <v>46258</v>
      </c>
      <c r="F224" t="inlineStr">
        <is>
          <t>VÄSTMANLANDS LÄN</t>
        </is>
      </c>
      <c r="G224" t="inlineStr">
        <is>
          <t>KÖPING</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26327-2026</t>
        </is>
      </c>
      <c r="B225" t="inlineStr">
        <is>
          <t>avverkningsanmälan</t>
        </is>
      </c>
      <c r="C225" t="inlineStr">
        <is>
          <t>Föryngringsavverkning</t>
        </is>
      </c>
      <c r="D225" s="1" t="n">
        <v>46182</v>
      </c>
      <c r="E225" s="1" t="n">
        <v>46258</v>
      </c>
      <c r="F225" t="inlineStr">
        <is>
          <t>VÄSTMANLANDS LÄN</t>
        </is>
      </c>
      <c r="G225" t="inlineStr">
        <is>
          <t>KÖPING</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26328-2026</t>
        </is>
      </c>
      <c r="B226" t="inlineStr">
        <is>
          <t>avverkningsanmälan</t>
        </is>
      </c>
      <c r="C226" t="inlineStr">
        <is>
          <t>Föryngringsavverkning</t>
        </is>
      </c>
      <c r="D226" s="1" t="n">
        <v>46182</v>
      </c>
      <c r="E226" s="1" t="n">
        <v>46258</v>
      </c>
      <c r="F226" t="inlineStr">
        <is>
          <t>VÄSTMANLANDS LÄN</t>
        </is>
      </c>
      <c r="G226" t="inlineStr">
        <is>
          <t>KÖPING</t>
        </is>
      </c>
      <c r="H226" t="inlineStr">
        <is>
          <t>Sveaskog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51409-2023</t>
        </is>
      </c>
      <c r="B227" t="inlineStr">
        <is>
          <t>avverkningsanmälan</t>
        </is>
      </c>
      <c r="C227" t="inlineStr">
        <is>
          <t>Föryngringsavverkning</t>
        </is>
      </c>
      <c r="D227" s="1" t="n">
        <v>45219</v>
      </c>
      <c r="E227" s="1" t="n">
        <v>46258</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26948-2026</t>
        </is>
      </c>
      <c r="B228" t="inlineStr">
        <is>
          <t>avverkningsanmälan</t>
        </is>
      </c>
      <c r="C228" t="inlineStr">
        <is>
          <t>Föryngringsavverkning</t>
        </is>
      </c>
      <c r="D228" s="1" t="n">
        <v>46185</v>
      </c>
      <c r="E228" s="1" t="n">
        <v>46258</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26945-2026</t>
        </is>
      </c>
      <c r="B229" t="inlineStr">
        <is>
          <t>avverkningsanmälan</t>
        </is>
      </c>
      <c r="C229" t="inlineStr">
        <is>
          <t>Föryngringsavverkning</t>
        </is>
      </c>
      <c r="D229" s="1" t="n">
        <v>46185</v>
      </c>
      <c r="E229" s="1" t="n">
        <v>46258</v>
      </c>
      <c r="F229" t="inlineStr">
        <is>
          <t>VÄSTMANLANDS LÄN</t>
        </is>
      </c>
      <c r="G229" t="inlineStr">
        <is>
          <t>KÖPING</t>
        </is>
      </c>
      <c r="H229" t="inlineStr">
        <is>
          <t>Sveaskog</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40690-2023</t>
        </is>
      </c>
      <c r="B230" t="inlineStr">
        <is>
          <t>avverkningsanmälan</t>
        </is>
      </c>
      <c r="C230" t="inlineStr">
        <is>
          <t>Föryngringsavverkning</t>
        </is>
      </c>
      <c r="D230" s="1" t="n">
        <v>45170</v>
      </c>
      <c r="E230" s="1" t="n">
        <v>46258</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13375-2026</t>
        </is>
      </c>
      <c r="B231" t="inlineStr">
        <is>
          <t>avverkningsanmälan</t>
        </is>
      </c>
      <c r="C231" t="inlineStr">
        <is>
          <t>Föryngringsavverkning</t>
        </is>
      </c>
      <c r="D231" s="1" t="n">
        <v>46094</v>
      </c>
      <c r="E231" s="1" t="n">
        <v>46258</v>
      </c>
      <c r="F231" t="inlineStr">
        <is>
          <t>VÄSTMANLANDS LÄN</t>
        </is>
      </c>
      <c r="G231" t="inlineStr">
        <is>
          <t>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39836-2024</t>
        </is>
      </c>
      <c r="B232" t="inlineStr">
        <is>
          <t>avverkningsanmälan</t>
        </is>
      </c>
      <c r="C232" t="inlineStr">
        <is>
          <t>Föryngringsavverkning</t>
        </is>
      </c>
      <c r="D232" s="1" t="n">
        <v>45553</v>
      </c>
      <c r="E232" s="1" t="n">
        <v>46258</v>
      </c>
      <c r="F232" t="inlineStr">
        <is>
          <t>VÄSTMANLANDS LÄN</t>
        </is>
      </c>
      <c r="G232" t="inlineStr">
        <is>
          <t>KÖPING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14114-2024</t>
        </is>
      </c>
      <c r="B233" t="inlineStr">
        <is>
          <t>avverkningsanmälan</t>
        </is>
      </c>
      <c r="C233" t="inlineStr">
        <is>
          <t>Föryngringsavverkning</t>
        </is>
      </c>
      <c r="D233" s="1" t="n">
        <v>45392</v>
      </c>
      <c r="E233" s="1" t="n">
        <v>46258</v>
      </c>
      <c r="F233" t="inlineStr">
        <is>
          <t>VÄSTMANLANDS LÄN</t>
        </is>
      </c>
      <c r="G233" t="inlineStr">
        <is>
          <t>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60485-2022</t>
        </is>
      </c>
      <c r="B234" t="inlineStr">
        <is>
          <t>avverkningsanmälan</t>
        </is>
      </c>
      <c r="C234" t="inlineStr">
        <is>
          <t>Föryngringsavverkning</t>
        </is>
      </c>
      <c r="D234" s="1" t="n">
        <v>44911</v>
      </c>
      <c r="E234" s="1" t="n">
        <v>46258</v>
      </c>
      <c r="F234" t="inlineStr">
        <is>
          <t>VÄSTMANLANDS LÄN</t>
        </is>
      </c>
      <c r="G234" t="inlineStr">
        <is>
          <t>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15657-2023</t>
        </is>
      </c>
      <c r="B235" t="inlineStr">
        <is>
          <t>avverkningsanmälan</t>
        </is>
      </c>
      <c r="C235" t="inlineStr">
        <is>
          <t>Avverkning för annat ändamål</t>
        </is>
      </c>
      <c r="D235" s="1" t="n">
        <v>45021</v>
      </c>
      <c r="E235" s="1" t="n">
        <v>46258</v>
      </c>
      <c r="F235" t="inlineStr">
        <is>
          <t>VÄSTMANLANDS LÄN</t>
        </is>
      </c>
      <c r="G235" t="inlineStr">
        <is>
          <t>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32095-2026</t>
        </is>
      </c>
      <c r="B236" t="inlineStr">
        <is>
          <t>avverkningsanmälan</t>
        </is>
      </c>
      <c r="C236" t="inlineStr">
        <is>
          <t>Föryngringsavverkning</t>
        </is>
      </c>
      <c r="D236" s="1" t="n">
        <v>46234</v>
      </c>
      <c r="E236" s="1" t="n">
        <v>46258</v>
      </c>
      <c r="F236" t="inlineStr">
        <is>
          <t>VÄSTMANLANDS LÄN</t>
        </is>
      </c>
      <c r="G236" t="inlineStr">
        <is>
          <t>KÖPING</t>
        </is>
      </c>
      <c r="H236" t="inlineStr">
        <is>
          <t>Sveaskog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15055-2026</t>
        </is>
      </c>
      <c r="B237" t="inlineStr">
        <is>
          <t>avverkningsanmälan</t>
        </is>
      </c>
      <c r="C237" t="inlineStr">
        <is>
          <t>Föryngringsavverkning</t>
        </is>
      </c>
      <c r="D237" s="1" t="n">
        <v>46104</v>
      </c>
      <c r="E237" s="1" t="n">
        <v>46258</v>
      </c>
      <c r="F237" t="inlineStr">
        <is>
          <t>VÄSTMANLANDS LÄN</t>
        </is>
      </c>
      <c r="G237" t="inlineStr">
        <is>
          <t>KÖPING</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15053-2026</t>
        </is>
      </c>
      <c r="B238" t="inlineStr">
        <is>
          <t>avverkningsanmälan</t>
        </is>
      </c>
      <c r="C238" t="inlineStr">
        <is>
          <t>Föryngringsavverkning</t>
        </is>
      </c>
      <c r="D238" s="1" t="n">
        <v>46104</v>
      </c>
      <c r="E238" s="1" t="n">
        <v>46258</v>
      </c>
      <c r="F238" t="inlineStr">
        <is>
          <t>VÄSTMANLANDS LÄN</t>
        </is>
      </c>
      <c r="G238" t="inlineStr">
        <is>
          <t>KÖPING</t>
        </is>
      </c>
      <c r="H238" t="inlineStr">
        <is>
          <t>Sveaskog</t>
        </is>
      </c>
      <c r="I238" t="n">
        <v>17.5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32098-2026</t>
        </is>
      </c>
      <c r="B239" t="inlineStr">
        <is>
          <t>avverkningsanmälan</t>
        </is>
      </c>
      <c r="C239" t="inlineStr">
        <is>
          <t>Föryngringsavverkning</t>
        </is>
      </c>
      <c r="D239" s="1" t="n">
        <v>46234</v>
      </c>
      <c r="E239" s="1" t="n">
        <v>46258</v>
      </c>
      <c r="F239" t="inlineStr">
        <is>
          <t>VÄSTMANLANDS LÄN</t>
        </is>
      </c>
      <c r="G239" t="inlineStr">
        <is>
          <t>KÖPING</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14062-2024</t>
        </is>
      </c>
      <c r="B240" t="inlineStr">
        <is>
          <t>avverkningsanmälan</t>
        </is>
      </c>
      <c r="C240" t="inlineStr">
        <is>
          <t>Föryngringsavverkning</t>
        </is>
      </c>
      <c r="D240" s="1" t="n">
        <v>45392</v>
      </c>
      <c r="E240" s="1" t="n">
        <v>46258</v>
      </c>
      <c r="F240" t="inlineStr">
        <is>
          <t>VÄSTMANLANDS LÄN</t>
        </is>
      </c>
      <c r="G240" t="inlineStr">
        <is>
          <t>KÖPING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28353-2026</t>
        </is>
      </c>
      <c r="B241" t="inlineStr">
        <is>
          <t>avverkningsanmälan</t>
        </is>
      </c>
      <c r="C241" t="inlineStr">
        <is>
          <t>Föryngringsavverkning</t>
        </is>
      </c>
      <c r="D241" s="1" t="n">
        <v>46196</v>
      </c>
      <c r="E241" s="1" t="n">
        <v>46258</v>
      </c>
      <c r="F241" t="inlineStr">
        <is>
          <t>VÄSTMANLANDS LÄN</t>
        </is>
      </c>
      <c r="G241" t="inlineStr">
        <is>
          <t>KÖPING</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28357-2026</t>
        </is>
      </c>
      <c r="B242" t="inlineStr">
        <is>
          <t>avverkningsanmälan</t>
        </is>
      </c>
      <c r="C242" t="inlineStr">
        <is>
          <t>Avverkning för att bevara och utveckla /försöksver</t>
        </is>
      </c>
      <c r="D242" s="1" t="n">
        <v>46196</v>
      </c>
      <c r="E242" s="1" t="n">
        <v>46258</v>
      </c>
      <c r="F242" t="inlineStr">
        <is>
          <t>VÄSTMANLANDS LÄN</t>
        </is>
      </c>
      <c r="G242" t="inlineStr">
        <is>
          <t>KÖPING</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10948-2024</t>
        </is>
      </c>
      <c r="B243" t="inlineStr">
        <is>
          <t>avverkningsanmälan</t>
        </is>
      </c>
      <c r="C243" t="inlineStr">
        <is>
          <t>Föryngringsavverkning</t>
        </is>
      </c>
      <c r="D243" s="1" t="n">
        <v>45370</v>
      </c>
      <c r="E243" s="1" t="n">
        <v>46258</v>
      </c>
      <c r="F243" t="inlineStr">
        <is>
          <t>VÄSTMANLANDS LÄN</t>
        </is>
      </c>
      <c r="G243" t="inlineStr">
        <is>
          <t>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10979-2024</t>
        </is>
      </c>
      <c r="B244" t="inlineStr">
        <is>
          <t>avverkningsanmälan</t>
        </is>
      </c>
      <c r="C244" t="inlineStr">
        <is>
          <t>Föryngringsavverkning</t>
        </is>
      </c>
      <c r="D244" s="1" t="n">
        <v>45370</v>
      </c>
      <c r="E244" s="1" t="n">
        <v>46258</v>
      </c>
      <c r="F244" t="inlineStr">
        <is>
          <t>VÄSTMANLANDS LÄN</t>
        </is>
      </c>
      <c r="G244" t="inlineStr">
        <is>
          <t>KÖPING</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20151-2023</t>
        </is>
      </c>
      <c r="B245" t="inlineStr">
        <is>
          <t>avverkningsanmälan</t>
        </is>
      </c>
      <c r="C245" t="inlineStr">
        <is>
          <t>Föryngringsavverkning</t>
        </is>
      </c>
      <c r="D245" s="1" t="n">
        <v>45051</v>
      </c>
      <c r="E245" s="1" t="n">
        <v>46258</v>
      </c>
      <c r="F245" t="inlineStr">
        <is>
          <t>VÄSTMANLANDS LÄN</t>
        </is>
      </c>
      <c r="G245" t="inlineStr">
        <is>
          <t>KÖPING</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32769-2026</t>
        </is>
      </c>
      <c r="B246" t="inlineStr">
        <is>
          <t>avverkningsanmälan</t>
        </is>
      </c>
      <c r="C246" t="inlineStr">
        <is>
          <t>Föryngringsavverkning</t>
        </is>
      </c>
      <c r="D246" s="1" t="n">
        <v>46241</v>
      </c>
      <c r="E246" s="1" t="n">
        <v>46258</v>
      </c>
      <c r="F246" t="inlineStr">
        <is>
          <t>VÄSTMANLANDS LÄN</t>
        </is>
      </c>
      <c r="G246" t="inlineStr">
        <is>
          <t>KÖPING</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32763-2026</t>
        </is>
      </c>
      <c r="B247" t="inlineStr">
        <is>
          <t>avverkningsanmälan</t>
        </is>
      </c>
      <c r="C247" t="inlineStr">
        <is>
          <t>Föryngringsavverkning</t>
        </is>
      </c>
      <c r="D247" s="1" t="n">
        <v>46241</v>
      </c>
      <c r="E247" s="1" t="n">
        <v>46258</v>
      </c>
      <c r="F247" t="inlineStr">
        <is>
          <t>VÄSTMANLANDS LÄN</t>
        </is>
      </c>
      <c r="G247" t="inlineStr">
        <is>
          <t>KÖPING</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10750-2023</t>
        </is>
      </c>
      <c r="B248" t="inlineStr">
        <is>
          <t>avverkningsanmälan</t>
        </is>
      </c>
      <c r="C248" t="inlineStr">
        <is>
          <t>Föryngringsavverkning</t>
        </is>
      </c>
      <c r="D248" s="1" t="n">
        <v>44985</v>
      </c>
      <c r="E248" s="1" t="n">
        <v>46258</v>
      </c>
      <c r="F248" t="inlineStr">
        <is>
          <t>VÄSTMANLANDS LÄN</t>
        </is>
      </c>
      <c r="G248" t="inlineStr">
        <is>
          <t>KÖPING</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18799-2025</t>
        </is>
      </c>
      <c r="B249" t="inlineStr">
        <is>
          <t>avverkningsanmälan</t>
        </is>
      </c>
      <c r="C249" t="inlineStr">
        <is>
          <t>Föryngringsavverkning</t>
        </is>
      </c>
      <c r="D249" s="1" t="n">
        <v>45764</v>
      </c>
      <c r="E249" s="1" t="n">
        <v>46258</v>
      </c>
      <c r="F249" t="inlineStr">
        <is>
          <t>VÄSTMANLANDS LÄN</t>
        </is>
      </c>
      <c r="G249" t="inlineStr">
        <is>
          <t>KÖPING</t>
        </is>
      </c>
      <c r="H249" t="inlineStr">
        <is>
          <t>Sveaskog</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38055-2023</t>
        </is>
      </c>
      <c r="B250" t="inlineStr">
        <is>
          <t>avverkningsanmälan</t>
        </is>
      </c>
      <c r="C250" t="inlineStr">
        <is>
          <t>Föryngringsavverkning</t>
        </is>
      </c>
      <c r="D250" s="1" t="n">
        <v>45160</v>
      </c>
      <c r="E250" s="1" t="n">
        <v>46258</v>
      </c>
      <c r="F250" t="inlineStr">
        <is>
          <t>VÄSTMANLANDS LÄN</t>
        </is>
      </c>
      <c r="G250" t="inlineStr">
        <is>
          <t>KÖPING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32765-2026</t>
        </is>
      </c>
      <c r="B251" t="inlineStr">
        <is>
          <t>avverkningsanmälan</t>
        </is>
      </c>
      <c r="C251" t="inlineStr">
        <is>
          <t>Föryngringsavverkning</t>
        </is>
      </c>
      <c r="D251" s="1" t="n">
        <v>46241</v>
      </c>
      <c r="E251" s="1" t="n">
        <v>46258</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37751-2022</t>
        </is>
      </c>
      <c r="B252" t="inlineStr">
        <is>
          <t>avverkningsanmälan</t>
        </is>
      </c>
      <c r="C252" t="inlineStr">
        <is>
          <t>Föryngringsavverkning</t>
        </is>
      </c>
      <c r="D252" s="1" t="n">
        <v>44810</v>
      </c>
      <c r="E252" s="1" t="n">
        <v>46258</v>
      </c>
      <c r="F252" t="inlineStr">
        <is>
          <t>VÄSTMANLANDS LÄN</t>
        </is>
      </c>
      <c r="G252" t="inlineStr">
        <is>
          <t>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27891-2023</t>
        </is>
      </c>
      <c r="B253" t="inlineStr">
        <is>
          <t>avverkningsanmälan</t>
        </is>
      </c>
      <c r="C253" t="inlineStr">
        <is>
          <t>Föryngringsavverkning</t>
        </is>
      </c>
      <c r="D253" s="1" t="n">
        <v>45098</v>
      </c>
      <c r="E253" s="1" t="n">
        <v>46258</v>
      </c>
      <c r="F253" t="inlineStr">
        <is>
          <t>VÄSTMANLANDS LÄN</t>
        </is>
      </c>
      <c r="G253" t="inlineStr">
        <is>
          <t>KÖPING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9303-2024</t>
        </is>
      </c>
      <c r="B254" t="inlineStr">
        <is>
          <t>avverkningsanmälan</t>
        </is>
      </c>
      <c r="C254" t="inlineStr">
        <is>
          <t>Föryngringsavverkning</t>
        </is>
      </c>
      <c r="D254" s="1" t="n">
        <v>45358</v>
      </c>
      <c r="E254" s="1" t="n">
        <v>46258</v>
      </c>
      <c r="F254" t="inlineStr">
        <is>
          <t>VÄSTMANLANDS LÄN</t>
        </is>
      </c>
      <c r="G254" t="inlineStr">
        <is>
          <t>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3508-2025</t>
        </is>
      </c>
      <c r="B255" t="inlineStr">
        <is>
          <t>avverkningsanmälan</t>
        </is>
      </c>
      <c r="C255" t="inlineStr">
        <is>
          <t>Föryngringsavverkning</t>
        </is>
      </c>
      <c r="D255" s="1" t="n">
        <v>45680</v>
      </c>
      <c r="E255" s="1" t="n">
        <v>46258</v>
      </c>
      <c r="F255" t="inlineStr">
        <is>
          <t>VÄSTMANLANDS LÄN</t>
        </is>
      </c>
      <c r="G255" t="inlineStr">
        <is>
          <t>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28937-2024</t>
        </is>
      </c>
      <c r="B256" t="inlineStr">
        <is>
          <t>avverkningsanmälan</t>
        </is>
      </c>
      <c r="C256" t="inlineStr">
        <is>
          <t>Föryngringsavverkning</t>
        </is>
      </c>
      <c r="D256" s="1" t="n">
        <v>45480</v>
      </c>
      <c r="E256" s="1" t="n">
        <v>46258</v>
      </c>
      <c r="F256" t="inlineStr">
        <is>
          <t>VÄSTMANLANDS LÄN</t>
        </is>
      </c>
      <c r="G256" t="inlineStr">
        <is>
          <t>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61358-2023</t>
        </is>
      </c>
      <c r="B257" t="inlineStr">
        <is>
          <t>avverkningsanmälan</t>
        </is>
      </c>
      <c r="C257" t="inlineStr">
        <is>
          <t>Föryngringsavverkning</t>
        </is>
      </c>
      <c r="D257" s="1" t="n">
        <v>45264</v>
      </c>
      <c r="E257" s="1" t="n">
        <v>46258</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59735-2022</t>
        </is>
      </c>
      <c r="B258" t="inlineStr">
        <is>
          <t>avverkningsanmälan</t>
        </is>
      </c>
      <c r="C258" t="inlineStr">
        <is>
          <t>Föryngringsavverkning</t>
        </is>
      </c>
      <c r="D258" s="1" t="n">
        <v>44908</v>
      </c>
      <c r="E258" s="1" t="n">
        <v>46258</v>
      </c>
      <c r="F258" t="inlineStr">
        <is>
          <t>VÄSTMANLANDS LÄN</t>
        </is>
      </c>
      <c r="G258" t="inlineStr">
        <is>
          <t>KÖPING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23389-2023</t>
        </is>
      </c>
      <c r="B259" t="inlineStr">
        <is>
          <t>avverkningsanmälan</t>
        </is>
      </c>
      <c r="C259" t="inlineStr">
        <is>
          <t>Föryngringsavverkning</t>
        </is>
      </c>
      <c r="D259" s="1" t="n">
        <v>45076</v>
      </c>
      <c r="E259" s="1" t="n">
        <v>46258</v>
      </c>
      <c r="F259" t="inlineStr">
        <is>
          <t>VÄSTMANLANDS LÄN</t>
        </is>
      </c>
      <c r="G259" t="inlineStr">
        <is>
          <t>KÖPING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2854-2022</t>
        </is>
      </c>
      <c r="B260" t="inlineStr">
        <is>
          <t>avverkningsanmälan</t>
        </is>
      </c>
      <c r="C260" t="inlineStr">
        <is>
          <t>Föryngringsavverkning</t>
        </is>
      </c>
      <c r="D260" s="1" t="n">
        <v>44581</v>
      </c>
      <c r="E260" s="1" t="n">
        <v>46258</v>
      </c>
      <c r="F260" t="inlineStr">
        <is>
          <t>VÄSTMANLANDS LÄN</t>
        </is>
      </c>
      <c r="G260" t="inlineStr">
        <is>
          <t>KÖPING</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56294-2025</t>
        </is>
      </c>
      <c r="B261" t="inlineStr">
        <is>
          <t>avverkningsanmälan</t>
        </is>
      </c>
      <c r="C261" t="inlineStr">
        <is>
          <t>Föryngringsavverkning</t>
        </is>
      </c>
      <c r="D261" s="1" t="n">
        <v>45974</v>
      </c>
      <c r="E261" s="1" t="n">
        <v>46258</v>
      </c>
      <c r="F261" t="inlineStr">
        <is>
          <t>VÄSTMANLANDS LÄN</t>
        </is>
      </c>
      <c r="G261" t="inlineStr">
        <is>
          <t>KÖPING</t>
        </is>
      </c>
      <c r="H261" t="inlineStr">
        <is>
          <t>Sveaskog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61339-2023</t>
        </is>
      </c>
      <c r="B262" t="inlineStr">
        <is>
          <t>avverkningsanmälan</t>
        </is>
      </c>
      <c r="C262" t="inlineStr">
        <is>
          <t>Föryngringsavverkning</t>
        </is>
      </c>
      <c r="D262" s="1" t="n">
        <v>45264</v>
      </c>
      <c r="E262" s="1" t="n">
        <v>46258</v>
      </c>
      <c r="F262" t="inlineStr">
        <is>
          <t>VÄSTMANLANDS LÄN</t>
        </is>
      </c>
      <c r="G262" t="inlineStr">
        <is>
          <t>KÖPING</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23399-2026</t>
        </is>
      </c>
      <c r="B263" t="inlineStr">
        <is>
          <t>avverkningsanmälan</t>
        </is>
      </c>
      <c r="C263" t="inlineStr">
        <is>
          <t>Föryngringsavverkning</t>
        </is>
      </c>
      <c r="D263" s="1" t="n">
        <v>46162</v>
      </c>
      <c r="E263" s="1" t="n">
        <v>46258</v>
      </c>
      <c r="F263" t="inlineStr">
        <is>
          <t>VÄSTMANLANDS LÄN</t>
        </is>
      </c>
      <c r="G263" t="inlineStr">
        <is>
          <t>KÖPING</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48979-2025</t>
        </is>
      </c>
      <c r="B264" t="inlineStr">
        <is>
          <t>avverkningsanmälan</t>
        </is>
      </c>
      <c r="C264" t="inlineStr">
        <is>
          <t>Föryngringsavverkning</t>
        </is>
      </c>
      <c r="D264" s="1" t="n">
        <v>45937</v>
      </c>
      <c r="E264" s="1" t="n">
        <v>46258</v>
      </c>
      <c r="F264" t="inlineStr">
        <is>
          <t>VÄSTMANLANDS LÄN</t>
        </is>
      </c>
      <c r="G264" t="inlineStr">
        <is>
          <t>KÖPING</t>
        </is>
      </c>
      <c r="H264" t="inlineStr">
        <is>
          <t>Sveaskog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48978-2025</t>
        </is>
      </c>
      <c r="B265" t="inlineStr">
        <is>
          <t>avverkningsanmälan</t>
        </is>
      </c>
      <c r="C265" t="inlineStr">
        <is>
          <t>Föryngringsavverkning</t>
        </is>
      </c>
      <c r="D265" s="1" t="n">
        <v>45937</v>
      </c>
      <c r="E265" s="1" t="n">
        <v>46258</v>
      </c>
      <c r="F265" t="inlineStr">
        <is>
          <t>VÄSTMANLANDS LÄN</t>
        </is>
      </c>
      <c r="G265" t="inlineStr">
        <is>
          <t>KÖPING</t>
        </is>
      </c>
      <c r="H265" t="inlineStr">
        <is>
          <t>Sveaskog</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56296-2025</t>
        </is>
      </c>
      <c r="B266" t="inlineStr">
        <is>
          <t>avverkningsanmälan</t>
        </is>
      </c>
      <c r="C266" t="inlineStr">
        <is>
          <t>Föryngringsavverkning</t>
        </is>
      </c>
      <c r="D266" s="1" t="n">
        <v>45974</v>
      </c>
      <c r="E266" s="1" t="n">
        <v>46258</v>
      </c>
      <c r="F266" t="inlineStr">
        <is>
          <t>VÄSTMANLANDS LÄN</t>
        </is>
      </c>
      <c r="G266" t="inlineStr">
        <is>
          <t>KÖPING</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56298-2025</t>
        </is>
      </c>
      <c r="B267" t="inlineStr">
        <is>
          <t>avverkningsanmälan</t>
        </is>
      </c>
      <c r="C267" t="inlineStr">
        <is>
          <t>Föryngringsavverkning</t>
        </is>
      </c>
      <c r="D267" s="1" t="n">
        <v>45974</v>
      </c>
      <c r="E267" s="1" t="n">
        <v>46258</v>
      </c>
      <c r="F267" t="inlineStr">
        <is>
          <t>VÄSTMANLANDS LÄN</t>
        </is>
      </c>
      <c r="G267" t="inlineStr">
        <is>
          <t>KÖPING</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44370-2022</t>
        </is>
      </c>
      <c r="B268" t="inlineStr">
        <is>
          <t>avverkningsanmälan</t>
        </is>
      </c>
      <c r="C268" t="inlineStr">
        <is>
          <t>Föryngringsavverkning</t>
        </is>
      </c>
      <c r="D268" s="1" t="n">
        <v>44839</v>
      </c>
      <c r="E268" s="1" t="n">
        <v>46258</v>
      </c>
      <c r="F268" t="inlineStr">
        <is>
          <t>VÄSTMANLANDS LÄN</t>
        </is>
      </c>
      <c r="G268" t="inlineStr">
        <is>
          <t>KÖPING</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13049-2025</t>
        </is>
      </c>
      <c r="B269" t="inlineStr">
        <is>
          <t>avverkningsanmälan</t>
        </is>
      </c>
      <c r="C269" t="inlineStr">
        <is>
          <t>Föryngringsavverkning</t>
        </is>
      </c>
      <c r="D269" s="1" t="n">
        <v>45734</v>
      </c>
      <c r="E269" s="1" t="n">
        <v>46258</v>
      </c>
      <c r="F269" t="inlineStr">
        <is>
          <t>VÄSTMANLANDS LÄN</t>
        </is>
      </c>
      <c r="G269" t="inlineStr">
        <is>
          <t>KÖPING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5710-2026</t>
        </is>
      </c>
      <c r="B270" t="inlineStr">
        <is>
          <t>avverkningsanmälan</t>
        </is>
      </c>
      <c r="C270" t="inlineStr">
        <is>
          <t>Föryngringsavverkning</t>
        </is>
      </c>
      <c r="D270" s="1" t="n">
        <v>46051</v>
      </c>
      <c r="E270" s="1" t="n">
        <v>46258</v>
      </c>
      <c r="F270" t="inlineStr">
        <is>
          <t>VÄSTMANLANDS LÄN</t>
        </is>
      </c>
      <c r="G270" t="inlineStr">
        <is>
          <t>KÖPING</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23825-2023</t>
        </is>
      </c>
      <c r="B271" t="inlineStr">
        <is>
          <t>avverkningsanmälan</t>
        </is>
      </c>
      <c r="C271" t="inlineStr">
        <is>
          <t>Föryngringsavverkning</t>
        </is>
      </c>
      <c r="D271" s="1" t="n">
        <v>45078</v>
      </c>
      <c r="E271" s="1" t="n">
        <v>46258</v>
      </c>
      <c r="F271" t="inlineStr">
        <is>
          <t>VÄSTMANLANDS LÄN</t>
        </is>
      </c>
      <c r="G271" t="inlineStr">
        <is>
          <t>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19593-2025</t>
        </is>
      </c>
      <c r="B272" t="inlineStr">
        <is>
          <t>avverkningsanmälan</t>
        </is>
      </c>
      <c r="C272" t="inlineStr">
        <is>
          <t>Föryngringsavverkning</t>
        </is>
      </c>
      <c r="D272" s="1" t="n">
        <v>45770</v>
      </c>
      <c r="E272" s="1" t="n">
        <v>46258</v>
      </c>
      <c r="F272" t="inlineStr">
        <is>
          <t>VÄSTMANLANDS LÄN</t>
        </is>
      </c>
      <c r="G272" t="inlineStr">
        <is>
          <t>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17816-2024</t>
        </is>
      </c>
      <c r="B273" t="inlineStr">
        <is>
          <t>avverkningsanmälan</t>
        </is>
      </c>
      <c r="C273" t="inlineStr">
        <is>
          <t>Föryngringsavverkning</t>
        </is>
      </c>
      <c r="D273" s="1" t="n">
        <v>45418</v>
      </c>
      <c r="E273" s="1" t="n">
        <v>46258</v>
      </c>
      <c r="F273" t="inlineStr">
        <is>
          <t>VÄSTMANLANDS LÄN</t>
        </is>
      </c>
      <c r="G273" t="inlineStr">
        <is>
          <t>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15551-2024</t>
        </is>
      </c>
      <c r="B274" t="inlineStr">
        <is>
          <t>avverkningsanmälan</t>
        </is>
      </c>
      <c r="C274" t="inlineStr">
        <is>
          <t>Föryngringsavverkning</t>
        </is>
      </c>
      <c r="D274" s="1" t="n">
        <v>45401</v>
      </c>
      <c r="E274" s="1" t="n">
        <v>46258</v>
      </c>
      <c r="F274" t="inlineStr">
        <is>
          <t>VÄSTMANLANDS LÄN</t>
        </is>
      </c>
      <c r="G274" t="inlineStr">
        <is>
          <t>KÖPING</t>
        </is>
      </c>
      <c r="H274" t="inlineStr">
        <is>
          <t>Sveaskog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5711-2026</t>
        </is>
      </c>
      <c r="B275" t="inlineStr">
        <is>
          <t>avverkningsanmälan</t>
        </is>
      </c>
      <c r="C275" t="inlineStr">
        <is>
          <t>Föryngringsavverkning</t>
        </is>
      </c>
      <c r="D275" s="1" t="n">
        <v>46051</v>
      </c>
      <c r="E275" s="1" t="n">
        <v>46258</v>
      </c>
      <c r="F275" t="inlineStr">
        <is>
          <t>VÄSTMANLANDS LÄN</t>
        </is>
      </c>
      <c r="G275" t="inlineStr">
        <is>
          <t>KÖPING</t>
        </is>
      </c>
      <c r="H275" t="inlineStr">
        <is>
          <t>Sveaskog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38852-2025</t>
        </is>
      </c>
      <c r="B276" t="inlineStr">
        <is>
          <t>avverkningsanmälan</t>
        </is>
      </c>
      <c r="C276" t="inlineStr">
        <is>
          <t>Föryngringsavverkning</t>
        </is>
      </c>
      <c r="D276" s="1" t="n">
        <v>45887</v>
      </c>
      <c r="E276" s="1" t="n">
        <v>46258</v>
      </c>
      <c r="F276" t="inlineStr">
        <is>
          <t>VÄSTMANLANDS LÄN</t>
        </is>
      </c>
      <c r="G276" t="inlineStr">
        <is>
          <t>KÖPING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20713-2026</t>
        </is>
      </c>
      <c r="B277" t="inlineStr">
        <is>
          <t>avverkningsanmälan</t>
        </is>
      </c>
      <c r="C277" t="inlineStr">
        <is>
          <t>Föryngringsavverkning</t>
        </is>
      </c>
      <c r="D277" s="1" t="n">
        <v>46141</v>
      </c>
      <c r="E277" s="1" t="n">
        <v>46258</v>
      </c>
      <c r="F277" t="inlineStr">
        <is>
          <t>VÄSTMANLANDS LÄN</t>
        </is>
      </c>
      <c r="G277" t="inlineStr">
        <is>
          <t>KÖPING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25804-2022</t>
        </is>
      </c>
      <c r="B278" t="inlineStr">
        <is>
          <t>avverkningsanmälan</t>
        </is>
      </c>
      <c r="C278" t="inlineStr">
        <is>
          <t>Föryngringsavverkning</t>
        </is>
      </c>
      <c r="D278" s="1" t="n">
        <v>44733</v>
      </c>
      <c r="E278" s="1" t="n">
        <v>46258</v>
      </c>
      <c r="F278" t="inlineStr">
        <is>
          <t>VÄSTMANLANDS LÄN</t>
        </is>
      </c>
      <c r="G278" t="inlineStr">
        <is>
          <t>KÖPING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63236-2023</t>
        </is>
      </c>
      <c r="B279" t="inlineStr">
        <is>
          <t>avverkningsanmälan</t>
        </is>
      </c>
      <c r="C279" t="inlineStr">
        <is>
          <t>Föryngringsavverkning</t>
        </is>
      </c>
      <c r="D279" s="1" t="n">
        <v>45273</v>
      </c>
      <c r="E279" s="1" t="n">
        <v>46258</v>
      </c>
      <c r="F279" t="inlineStr">
        <is>
          <t>VÄSTMANLANDS LÄN</t>
        </is>
      </c>
      <c r="G279" t="inlineStr">
        <is>
          <t>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30079-2022</t>
        </is>
      </c>
      <c r="B280" t="inlineStr">
        <is>
          <t>avverkningsanmälan</t>
        </is>
      </c>
      <c r="C280" t="inlineStr">
        <is>
          <t>Föryngringsavverkning</t>
        </is>
      </c>
      <c r="D280" s="1" t="n">
        <v>44757</v>
      </c>
      <c r="E280" s="1" t="n">
        <v>46258</v>
      </c>
      <c r="F280" t="inlineStr">
        <is>
          <t>VÄSTMANLANDS LÄN</t>
        </is>
      </c>
      <c r="G280" t="inlineStr">
        <is>
          <t>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68714-2021</t>
        </is>
      </c>
      <c r="B281" t="inlineStr">
        <is>
          <t>avverkningsanmälan</t>
        </is>
      </c>
      <c r="C281" t="inlineStr">
        <is>
          <t>Föryngringsavverkning</t>
        </is>
      </c>
      <c r="D281" s="1" t="n">
        <v>44529</v>
      </c>
      <c r="E281" s="1" t="n">
        <v>46258</v>
      </c>
      <c r="F281" t="inlineStr">
        <is>
          <t>VÄSTMANLANDS LÄN</t>
        </is>
      </c>
      <c r="G281" t="inlineStr">
        <is>
          <t>KÖPING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36476-2024</t>
        </is>
      </c>
      <c r="B282" t="inlineStr">
        <is>
          <t>avverkningsanmälan</t>
        </is>
      </c>
      <c r="C282" t="inlineStr">
        <is>
          <t>Föryngringsavverkning</t>
        </is>
      </c>
      <c r="D282" s="1" t="n">
        <v>45537</v>
      </c>
      <c r="E282" s="1" t="n">
        <v>46258</v>
      </c>
      <c r="F282" t="inlineStr">
        <is>
          <t>VÄSTMANLANDS LÄN</t>
        </is>
      </c>
      <c r="G282" t="inlineStr">
        <is>
          <t>KÖPING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53061-2023</t>
        </is>
      </c>
      <c r="B283" t="inlineStr">
        <is>
          <t>avverkningsanmälan</t>
        </is>
      </c>
      <c r="C283" t="inlineStr">
        <is>
          <t>Föryngringsavverkning</t>
        </is>
      </c>
      <c r="D283" s="1" t="n">
        <v>45227</v>
      </c>
      <c r="E283" s="1" t="n">
        <v>46258</v>
      </c>
      <c r="F283" t="inlineStr">
        <is>
          <t>VÄSTMANLANDS LÄN</t>
        </is>
      </c>
      <c r="G283" t="inlineStr">
        <is>
          <t>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39332-2024</t>
        </is>
      </c>
      <c r="B284" t="inlineStr">
        <is>
          <t>avverkningsanmälan</t>
        </is>
      </c>
      <c r="C284" t="inlineStr">
        <is>
          <t>Föryngringsavverkning</t>
        </is>
      </c>
      <c r="D284" s="1" t="n">
        <v>45551</v>
      </c>
      <c r="E284" s="1" t="n">
        <v>46258</v>
      </c>
      <c r="F284" t="inlineStr">
        <is>
          <t>VÄSTMANLANDS LÄN</t>
        </is>
      </c>
      <c r="G284" t="inlineStr">
        <is>
          <t>KÖPING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18361-2025</t>
        </is>
      </c>
      <c r="B285" t="inlineStr">
        <is>
          <t>avverkningsanmälan</t>
        </is>
      </c>
      <c r="C285" t="inlineStr">
        <is>
          <t>Föryngringsavverkning</t>
        </is>
      </c>
      <c r="D285" s="1" t="n">
        <v>45762</v>
      </c>
      <c r="E285" s="1" t="n">
        <v>46258</v>
      </c>
      <c r="F285" t="inlineStr">
        <is>
          <t>VÄSTMANLANDS LÄN</t>
        </is>
      </c>
      <c r="G285" t="inlineStr">
        <is>
          <t>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44749-2021</t>
        </is>
      </c>
      <c r="B286" t="inlineStr">
        <is>
          <t>avverkningsanmälan</t>
        </is>
      </c>
      <c r="C286" t="inlineStr">
        <is>
          <t>Föryngringsavverkning</t>
        </is>
      </c>
      <c r="D286" s="1" t="n">
        <v>44438</v>
      </c>
      <c r="E286" s="1" t="n">
        <v>46258</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17345-2022</t>
        </is>
      </c>
      <c r="B287" t="inlineStr">
        <is>
          <t>avverkningsanmälan</t>
        </is>
      </c>
      <c r="C287" t="inlineStr">
        <is>
          <t>Föryngringsavverkning</t>
        </is>
      </c>
      <c r="D287" s="1" t="n">
        <v>44678</v>
      </c>
      <c r="E287" s="1" t="n">
        <v>46258</v>
      </c>
      <c r="F287" t="inlineStr">
        <is>
          <t>VÄSTMANLANDS LÄN</t>
        </is>
      </c>
      <c r="G287" t="inlineStr">
        <is>
          <t>KÖPING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15158-2022</t>
        </is>
      </c>
      <c r="B288" t="inlineStr">
        <is>
          <t>avverkningsanmälan</t>
        </is>
      </c>
      <c r="C288" t="inlineStr">
        <is>
          <t>Föryngringsavverkning</t>
        </is>
      </c>
      <c r="D288" s="1" t="n">
        <v>44658</v>
      </c>
      <c r="E288" s="1" t="n">
        <v>46258</v>
      </c>
      <c r="F288" t="inlineStr">
        <is>
          <t>VÄSTMANLANDS LÄN</t>
        </is>
      </c>
      <c r="G288" t="inlineStr">
        <is>
          <t>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15162-2022</t>
        </is>
      </c>
      <c r="B289" t="inlineStr">
        <is>
          <t>avverkningsanmälan</t>
        </is>
      </c>
      <c r="C289" t="inlineStr">
        <is>
          <t>Föryngringsavverkning</t>
        </is>
      </c>
      <c r="D289" s="1" t="n">
        <v>44658</v>
      </c>
      <c r="E289" s="1" t="n">
        <v>46258</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13043-2025</t>
        </is>
      </c>
      <c r="B290" t="inlineStr">
        <is>
          <t>avverkningsanmälan</t>
        </is>
      </c>
      <c r="C290" t="inlineStr">
        <is>
          <t>Avverkning för att bevara och utveckla /försöksver</t>
        </is>
      </c>
      <c r="D290" s="1" t="n">
        <v>45734</v>
      </c>
      <c r="E290" s="1" t="n">
        <v>46258</v>
      </c>
      <c r="F290" t="inlineStr">
        <is>
          <t>VÄSTMANLANDS LÄN</t>
        </is>
      </c>
      <c r="G290" t="inlineStr">
        <is>
          <t>KÖPING</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63561-2021</t>
        </is>
      </c>
      <c r="B291" t="inlineStr">
        <is>
          <t>avverkningsanmälan</t>
        </is>
      </c>
      <c r="C291" t="inlineStr">
        <is>
          <t>Föryngringsavverkning</t>
        </is>
      </c>
      <c r="D291" s="1" t="n">
        <v>44508</v>
      </c>
      <c r="E291" s="1" t="n">
        <v>46258</v>
      </c>
      <c r="F291" t="inlineStr">
        <is>
          <t>VÄSTMANLANDS LÄN</t>
        </is>
      </c>
      <c r="G291" t="inlineStr">
        <is>
          <t>KÖPING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22402-2026</t>
        </is>
      </c>
      <c r="B292" t="inlineStr">
        <is>
          <t>avverkningsanmälan</t>
        </is>
      </c>
      <c r="C292" t="inlineStr">
        <is>
          <t>Föryngringsavverkning</t>
        </is>
      </c>
      <c r="D292" s="1" t="n">
        <v>46154</v>
      </c>
      <c r="E292" s="1" t="n">
        <v>46258</v>
      </c>
      <c r="F292" t="inlineStr">
        <is>
          <t>VÄSTMANLANDS LÄN</t>
        </is>
      </c>
      <c r="G292" t="inlineStr">
        <is>
          <t>KÖPING</t>
        </is>
      </c>
      <c r="H292" t="inlineStr">
        <is>
          <t>Sveaskog</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22457-2026</t>
        </is>
      </c>
      <c r="B293" t="inlineStr">
        <is>
          <t>avverkningsanmälan</t>
        </is>
      </c>
      <c r="C293" t="inlineStr">
        <is>
          <t>Föryngringsavverkning</t>
        </is>
      </c>
      <c r="D293" s="1" t="n">
        <v>46155</v>
      </c>
      <c r="E293" s="1" t="n">
        <v>46258</v>
      </c>
      <c r="F293" t="inlineStr">
        <is>
          <t>VÄSTMANLANDS LÄN</t>
        </is>
      </c>
      <c r="G293" t="inlineStr">
        <is>
          <t>KÖPING</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22403-2026</t>
        </is>
      </c>
      <c r="B294" t="inlineStr">
        <is>
          <t>avverkningsanmälan</t>
        </is>
      </c>
      <c r="C294" t="inlineStr">
        <is>
          <t>Föryngringsavverkning</t>
        </is>
      </c>
      <c r="D294" s="1" t="n">
        <v>46154</v>
      </c>
      <c r="E294" s="1" t="n">
        <v>46258</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22750-2026</t>
        </is>
      </c>
      <c r="B295" t="inlineStr">
        <is>
          <t>avverkningsanmälan</t>
        </is>
      </c>
      <c r="C295" t="inlineStr">
        <is>
          <t>Avverkning för annat ändamål</t>
        </is>
      </c>
      <c r="D295" s="1" t="n">
        <v>46157</v>
      </c>
      <c r="E295" s="1" t="n">
        <v>46258</v>
      </c>
      <c r="F295" t="inlineStr">
        <is>
          <t>VÄSTMANLANDS LÄN</t>
        </is>
      </c>
      <c r="G295" t="inlineStr">
        <is>
          <t>KÖPING</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22749-2026</t>
        </is>
      </c>
      <c r="B296" t="inlineStr">
        <is>
          <t>avverkningsanmälan</t>
        </is>
      </c>
      <c r="C296" t="inlineStr">
        <is>
          <t>Avverkning för annat ändamål</t>
        </is>
      </c>
      <c r="D296" s="1" t="n">
        <v>46157</v>
      </c>
      <c r="E296" s="1" t="n">
        <v>46258</v>
      </c>
      <c r="F296" t="inlineStr">
        <is>
          <t>VÄSTMANLANDS LÄN</t>
        </is>
      </c>
      <c r="G296" t="inlineStr">
        <is>
          <t>KÖPING</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21163-2025</t>
        </is>
      </c>
      <c r="B297" t="inlineStr">
        <is>
          <t>avverkningsanmälan</t>
        </is>
      </c>
      <c r="C297" t="inlineStr">
        <is>
          <t>Föryngringsavverkning</t>
        </is>
      </c>
      <c r="D297" s="1" t="n">
        <v>45779</v>
      </c>
      <c r="E297" s="1" t="n">
        <v>46258</v>
      </c>
      <c r="F297" t="inlineStr">
        <is>
          <t>VÄSTMANLANDS LÄN</t>
        </is>
      </c>
      <c r="G297" t="inlineStr">
        <is>
          <t>KÖPING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51156-2024</t>
        </is>
      </c>
      <c r="B298" t="inlineStr">
        <is>
          <t>avverkningsanmälan</t>
        </is>
      </c>
      <c r="C298" t="inlineStr">
        <is>
          <t>Föryngringsavverkning</t>
        </is>
      </c>
      <c r="D298" s="1" t="n">
        <v>45603</v>
      </c>
      <c r="E298" s="1" t="n">
        <v>46258</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22866-2026</t>
        </is>
      </c>
      <c r="B299" t="inlineStr">
        <is>
          <t>avverkningsanmälan</t>
        </is>
      </c>
      <c r="C299" t="inlineStr">
        <is>
          <t>Föryngringsavverkning</t>
        </is>
      </c>
      <c r="D299" s="1" t="n">
        <v>46160</v>
      </c>
      <c r="E299" s="1" t="n">
        <v>46258</v>
      </c>
      <c r="F299" t="inlineStr">
        <is>
          <t>VÄSTMANLANDS LÄN</t>
        </is>
      </c>
      <c r="G299" t="inlineStr">
        <is>
          <t>KÖPING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21691-2025</t>
        </is>
      </c>
      <c r="B300" t="inlineStr">
        <is>
          <t>avverkningsanmälan</t>
        </is>
      </c>
      <c r="C300" t="inlineStr">
        <is>
          <t>Föryngringsavverkning</t>
        </is>
      </c>
      <c r="D300" s="1" t="n">
        <v>45783</v>
      </c>
      <c r="E300" s="1" t="n">
        <v>46258</v>
      </c>
      <c r="F300" t="inlineStr">
        <is>
          <t>VÄSTMANLANDS LÄN</t>
        </is>
      </c>
      <c r="G300" t="inlineStr">
        <is>
          <t>KÖPING</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59724-2025</t>
        </is>
      </c>
      <c r="B301" t="inlineStr">
        <is>
          <t>avverkningsanmälan</t>
        </is>
      </c>
      <c r="C301" t="inlineStr">
        <is>
          <t>Föryngringsavverkning</t>
        </is>
      </c>
      <c r="D301" s="1" t="n">
        <v>45992</v>
      </c>
      <c r="E301" s="1" t="n">
        <v>46258</v>
      </c>
      <c r="F301" t="inlineStr">
        <is>
          <t>VÄSTMANLANDS LÄN</t>
        </is>
      </c>
      <c r="G301" t="inlineStr">
        <is>
          <t>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1387-2025</t>
        </is>
      </c>
      <c r="B302" t="inlineStr">
        <is>
          <t>avverkningsanmälan</t>
        </is>
      </c>
      <c r="C302" t="inlineStr">
        <is>
          <t>Föryngringsavverkning</t>
        </is>
      </c>
      <c r="D302" s="1" t="n">
        <v>45667</v>
      </c>
      <c r="E302" s="1" t="n">
        <v>46258</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57496-2024</t>
        </is>
      </c>
      <c r="B303" t="inlineStr">
        <is>
          <t>avverkningsanmälan</t>
        </is>
      </c>
      <c r="C303" t="inlineStr">
        <is>
          <t>Föryngringsavverkning</t>
        </is>
      </c>
      <c r="D303" s="1" t="n">
        <v>45630</v>
      </c>
      <c r="E303" s="1" t="n">
        <v>46258</v>
      </c>
      <c r="F303" t="inlineStr">
        <is>
          <t>VÄSTMANLANDS LÄN</t>
        </is>
      </c>
      <c r="G303" t="inlineStr">
        <is>
          <t>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23554-2026</t>
        </is>
      </c>
      <c r="B304" t="inlineStr">
        <is>
          <t>avverkningsanmälan</t>
        </is>
      </c>
      <c r="C304" t="inlineStr">
        <is>
          <t>Föryngringsavverkning</t>
        </is>
      </c>
      <c r="D304" s="1" t="n">
        <v>46163</v>
      </c>
      <c r="E304" s="1" t="n">
        <v>46258</v>
      </c>
      <c r="F304" t="inlineStr">
        <is>
          <t>VÄSTMANLANDS LÄN</t>
        </is>
      </c>
      <c r="G304" t="inlineStr">
        <is>
          <t>KÖPING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23559-2026</t>
        </is>
      </c>
      <c r="B305" t="inlineStr">
        <is>
          <t>avverkningsanmälan</t>
        </is>
      </c>
      <c r="C305" t="inlineStr">
        <is>
          <t>Föryngringsavverkning</t>
        </is>
      </c>
      <c r="D305" s="1" t="n">
        <v>46163</v>
      </c>
      <c r="E305" s="1" t="n">
        <v>46258</v>
      </c>
      <c r="F305" t="inlineStr">
        <is>
          <t>VÄSTMANLANDS LÄN</t>
        </is>
      </c>
      <c r="G305" t="inlineStr">
        <is>
          <t>KÖPING</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50409-2024</t>
        </is>
      </c>
      <c r="B306" t="inlineStr">
        <is>
          <t>avverkningsanmälan</t>
        </is>
      </c>
      <c r="C306" t="inlineStr">
        <is>
          <t>Föryngringsavverkning</t>
        </is>
      </c>
      <c r="D306" s="1" t="n">
        <v>45601</v>
      </c>
      <c r="E306" s="1" t="n">
        <v>46258</v>
      </c>
      <c r="F306" t="inlineStr">
        <is>
          <t>VÄSTMANLANDS LÄN</t>
        </is>
      </c>
      <c r="G306" t="inlineStr">
        <is>
          <t>KÖPING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23556-2026</t>
        </is>
      </c>
      <c r="B307" t="inlineStr">
        <is>
          <t>avverkningsanmälan</t>
        </is>
      </c>
      <c r="C307" t="inlineStr">
        <is>
          <t>Föryngringsavverkning</t>
        </is>
      </c>
      <c r="D307" s="1" t="n">
        <v>46163</v>
      </c>
      <c r="E307" s="1" t="n">
        <v>46258</v>
      </c>
      <c r="F307" t="inlineStr">
        <is>
          <t>VÄSTMANLANDS LÄN</t>
        </is>
      </c>
      <c r="G307" t="inlineStr">
        <is>
          <t>KÖPING</t>
        </is>
      </c>
      <c r="H307" t="inlineStr">
        <is>
          <t>Sveaskog</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1360-2024</t>
        </is>
      </c>
      <c r="B308" t="inlineStr">
        <is>
          <t>avverkningsanmälan</t>
        </is>
      </c>
      <c r="C308" t="inlineStr">
        <is>
          <t>Föryngringsavverkning</t>
        </is>
      </c>
      <c r="D308" s="1" t="n">
        <v>45303</v>
      </c>
      <c r="E308" s="1" t="n">
        <v>46258</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895-2025</t>
        </is>
      </c>
      <c r="B309" t="inlineStr">
        <is>
          <t>avverkningsanmälan</t>
        </is>
      </c>
      <c r="C309" t="inlineStr">
        <is>
          <t>Avverkning för annat ändamål</t>
        </is>
      </c>
      <c r="D309" s="1" t="n">
        <v>45665</v>
      </c>
      <c r="E309" s="1" t="n">
        <v>46258</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34436-2024</t>
        </is>
      </c>
      <c r="B310" t="inlineStr">
        <is>
          <t>avverkningsanmälan</t>
        </is>
      </c>
      <c r="C310" t="inlineStr">
        <is>
          <t>Föryngringsavverkning</t>
        </is>
      </c>
      <c r="D310" s="1" t="n">
        <v>45525</v>
      </c>
      <c r="E310" s="1" t="n">
        <v>46258</v>
      </c>
      <c r="F310" t="inlineStr">
        <is>
          <t>VÄSTMANLANDS LÄN</t>
        </is>
      </c>
      <c r="G310" t="inlineStr">
        <is>
          <t>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28902-2024</t>
        </is>
      </c>
      <c r="B311" t="inlineStr">
        <is>
          <t>avverkningsanmälan</t>
        </is>
      </c>
      <c r="C311" t="inlineStr">
        <is>
          <t>Föryngringsavverkning</t>
        </is>
      </c>
      <c r="D311" s="1" t="n">
        <v>45480</v>
      </c>
      <c r="E311" s="1" t="n">
        <v>46258</v>
      </c>
      <c r="F311" t="inlineStr">
        <is>
          <t>VÄSTMANLANDS LÄN</t>
        </is>
      </c>
      <c r="G311" t="inlineStr">
        <is>
          <t>KÖPING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857-2025</t>
        </is>
      </c>
      <c r="B312" t="inlineStr">
        <is>
          <t>avverkningsanmälan</t>
        </is>
      </c>
      <c r="C312" t="inlineStr">
        <is>
          <t>Avverkning för annat ändamål</t>
        </is>
      </c>
      <c r="D312" s="1" t="n">
        <v>45665</v>
      </c>
      <c r="E312" s="1" t="n">
        <v>46258</v>
      </c>
      <c r="F312" t="inlineStr">
        <is>
          <t>VÄSTMANLANDS LÄN</t>
        </is>
      </c>
      <c r="G312" t="inlineStr">
        <is>
          <t>KÖPING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24481-2025</t>
        </is>
      </c>
      <c r="B313" t="inlineStr">
        <is>
          <t>avverkningsanmälan</t>
        </is>
      </c>
      <c r="C313" t="inlineStr">
        <is>
          <t>Föryngringsavverkning</t>
        </is>
      </c>
      <c r="D313" s="1" t="n">
        <v>45798</v>
      </c>
      <c r="E313" s="1" t="n">
        <v>46258</v>
      </c>
      <c r="F313" t="inlineStr">
        <is>
          <t>VÄSTMANLANDS LÄN</t>
        </is>
      </c>
      <c r="G313" t="inlineStr">
        <is>
          <t>KÖPING</t>
        </is>
      </c>
      <c r="H313" t="inlineStr">
        <is>
          <t>Sveaskog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24469-2025</t>
        </is>
      </c>
      <c r="B314" t="inlineStr">
        <is>
          <t>avverkningsanmälan</t>
        </is>
      </c>
      <c r="C314" t="inlineStr">
        <is>
          <t>Föryngringsavverkning</t>
        </is>
      </c>
      <c r="D314" s="1" t="n">
        <v>45798</v>
      </c>
      <c r="E314" s="1" t="n">
        <v>46258</v>
      </c>
      <c r="F314" t="inlineStr">
        <is>
          <t>VÄSTMANLANDS LÄN</t>
        </is>
      </c>
      <c r="G314" t="inlineStr">
        <is>
          <t>KÖPING</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24471-2025</t>
        </is>
      </c>
      <c r="B315" t="inlineStr">
        <is>
          <t>avverkningsanmälan</t>
        </is>
      </c>
      <c r="C315" t="inlineStr">
        <is>
          <t>Föryngringsavverkning</t>
        </is>
      </c>
      <c r="D315" s="1" t="n">
        <v>45798</v>
      </c>
      <c r="E315" s="1" t="n">
        <v>46258</v>
      </c>
      <c r="F315" t="inlineStr">
        <is>
          <t>VÄSTMANLANDS LÄN</t>
        </is>
      </c>
      <c r="G315" t="inlineStr">
        <is>
          <t>KÖPING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28904-2024</t>
        </is>
      </c>
      <c r="B316" t="inlineStr">
        <is>
          <t>avverkningsanmälan</t>
        </is>
      </c>
      <c r="C316" t="inlineStr">
        <is>
          <t>Föryngringsavverkning</t>
        </is>
      </c>
      <c r="D316" s="1" t="n">
        <v>45480</v>
      </c>
      <c r="E316" s="1" t="n">
        <v>46258</v>
      </c>
      <c r="F316" t="inlineStr">
        <is>
          <t>VÄSTMANLANDS LÄN</t>
        </is>
      </c>
      <c r="G316" t="inlineStr">
        <is>
          <t>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24472-2025</t>
        </is>
      </c>
      <c r="B317" t="inlineStr">
        <is>
          <t>avverkningsanmälan</t>
        </is>
      </c>
      <c r="C317" t="inlineStr">
        <is>
          <t>Föryngringsavverkning</t>
        </is>
      </c>
      <c r="D317" s="1" t="n">
        <v>45798</v>
      </c>
      <c r="E317" s="1" t="n">
        <v>46258</v>
      </c>
      <c r="F317" t="inlineStr">
        <is>
          <t>VÄSTMANLANDS LÄN</t>
        </is>
      </c>
      <c r="G317" t="inlineStr">
        <is>
          <t>KÖPING</t>
        </is>
      </c>
      <c r="H317" t="inlineStr">
        <is>
          <t>Sveaskog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24478-2025</t>
        </is>
      </c>
      <c r="B318" t="inlineStr">
        <is>
          <t>avverkningsanmälan</t>
        </is>
      </c>
      <c r="C318" t="inlineStr">
        <is>
          <t>Föryngringsavverkning</t>
        </is>
      </c>
      <c r="D318" s="1" t="n">
        <v>45798</v>
      </c>
      <c r="E318" s="1" t="n">
        <v>46258</v>
      </c>
      <c r="F318" t="inlineStr">
        <is>
          <t>VÄSTMANLANDS LÄN</t>
        </is>
      </c>
      <c r="G318" t="inlineStr">
        <is>
          <t>KÖPING</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1440-2025</t>
        </is>
      </c>
      <c r="B319" t="inlineStr">
        <is>
          <t>avverkningsanmälan</t>
        </is>
      </c>
      <c r="C319" t="inlineStr">
        <is>
          <t>Föryngringsavverkning</t>
        </is>
      </c>
      <c r="D319" s="1" t="n">
        <v>45669</v>
      </c>
      <c r="E319" s="1" t="n">
        <v>46258</v>
      </c>
      <c r="F319" t="inlineStr">
        <is>
          <t>VÄSTMANLANDS LÄN</t>
        </is>
      </c>
      <c r="G319" t="inlineStr">
        <is>
          <t>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46258</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46258</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46258</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46258</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46258</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46258</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46258</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2026-08-24T01:48:11Z</dcterms:created>
  <dcterms:modified xmlns:dcterms="http://purl.org/dc/terms/" xmlns:xsi="http://www.w3.org/2001/XMLSchema-instance" xsi:type="dcterms:W3CDTF">2026-08-24T01:48:12Z</dcterms:modified>
</cp:coreProperties>
</file>