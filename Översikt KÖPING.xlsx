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45355</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45355</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45355</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45355</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45355</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45355</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45355</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45355</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45355</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45355</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45355</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45355</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45355</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45355</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45355</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24535-2021</t>
        </is>
      </c>
      <c r="B17" s="1" t="n">
        <v>44339</v>
      </c>
      <c r="C17" s="1" t="n">
        <v>45355</v>
      </c>
      <c r="D17" t="inlineStr">
        <is>
          <t>VÄSTMANLANDS LÄN</t>
        </is>
      </c>
      <c r="E17" t="inlineStr">
        <is>
          <t>KÖPING</t>
        </is>
      </c>
      <c r="F17" t="inlineStr">
        <is>
          <t>Sveaskog</t>
        </is>
      </c>
      <c r="G17" t="n">
        <v>4.8</v>
      </c>
      <c r="H17" t="n">
        <v>0</v>
      </c>
      <c r="I17" t="n">
        <v>0</v>
      </c>
      <c r="J17" t="n">
        <v>1</v>
      </c>
      <c r="K17" t="n">
        <v>0</v>
      </c>
      <c r="L17" t="n">
        <v>0</v>
      </c>
      <c r="M17" t="n">
        <v>0</v>
      </c>
      <c r="N17" t="n">
        <v>0</v>
      </c>
      <c r="O17" t="n">
        <v>1</v>
      </c>
      <c r="P17" t="n">
        <v>0</v>
      </c>
      <c r="Q17" t="n">
        <v>1</v>
      </c>
      <c r="R17" s="2" t="inlineStr">
        <is>
          <t>Skrovlig taggsvamp</t>
        </is>
      </c>
      <c r="S17">
        <f>HYPERLINK("https://klasma.github.io/Logging_1983/artfynd/A 24535-2021 artfynd.xlsx", "A 24535-2021")</f>
        <v/>
      </c>
      <c r="T17">
        <f>HYPERLINK("https://klasma.github.io/Logging_1983/kartor/A 24535-2021 karta.png", "A 24535-2021")</f>
        <v/>
      </c>
      <c r="V17">
        <f>HYPERLINK("https://klasma.github.io/Logging_1983/klagomål/A 24535-2021 FSC-klagomål.docx", "A 24535-2021")</f>
        <v/>
      </c>
      <c r="W17">
        <f>HYPERLINK("https://klasma.github.io/Logging_1983/klagomålsmail/A 24535-2021 FSC-klagomål mail.docx", "A 24535-2021")</f>
        <v/>
      </c>
      <c r="X17">
        <f>HYPERLINK("https://klasma.github.io/Logging_1983/tillsyn/A 24535-2021 tillsynsbegäran.docx", "A 24535-2021")</f>
        <v/>
      </c>
      <c r="Y17">
        <f>HYPERLINK("https://klasma.github.io/Logging_1983/tillsynsmail/A 24535-2021 tillsynsbegäran mail.docx", "A 24535-2021")</f>
        <v/>
      </c>
    </row>
    <row r="18" ht="15" customHeight="1">
      <c r="A18" t="inlineStr">
        <is>
          <t>A 36209-2021</t>
        </is>
      </c>
      <c r="B18" s="1" t="n">
        <v>44389</v>
      </c>
      <c r="C18" s="1" t="n">
        <v>45355</v>
      </c>
      <c r="D18" t="inlineStr">
        <is>
          <t>VÄSTMANLANDS LÄN</t>
        </is>
      </c>
      <c r="E18" t="inlineStr">
        <is>
          <t>KÖPING</t>
        </is>
      </c>
      <c r="G18" t="n">
        <v>6.9</v>
      </c>
      <c r="H18" t="n">
        <v>0</v>
      </c>
      <c r="I18" t="n">
        <v>1</v>
      </c>
      <c r="J18" t="n">
        <v>0</v>
      </c>
      <c r="K18" t="n">
        <v>0</v>
      </c>
      <c r="L18" t="n">
        <v>0</v>
      </c>
      <c r="M18" t="n">
        <v>0</v>
      </c>
      <c r="N18" t="n">
        <v>0</v>
      </c>
      <c r="O18" t="n">
        <v>0</v>
      </c>
      <c r="P18" t="n">
        <v>0</v>
      </c>
      <c r="Q18" t="n">
        <v>1</v>
      </c>
      <c r="R18" s="2" t="inlineStr">
        <is>
          <t>Svart trolldruva</t>
        </is>
      </c>
      <c r="S18">
        <f>HYPERLINK("https://klasma.github.io/Logging_1983/artfynd/A 36209-2021 artfynd.xlsx", "A 36209-2021")</f>
        <v/>
      </c>
      <c r="T18">
        <f>HYPERLINK("https://klasma.github.io/Logging_1983/kartor/A 36209-2021 karta.png", "A 36209-2021")</f>
        <v/>
      </c>
      <c r="V18">
        <f>HYPERLINK("https://klasma.github.io/Logging_1983/klagomål/A 36209-2021 FSC-klagomål.docx", "A 36209-2021")</f>
        <v/>
      </c>
      <c r="W18">
        <f>HYPERLINK("https://klasma.github.io/Logging_1983/klagomålsmail/A 36209-2021 FSC-klagomål mail.docx", "A 36209-2021")</f>
        <v/>
      </c>
      <c r="X18">
        <f>HYPERLINK("https://klasma.github.io/Logging_1983/tillsyn/A 36209-2021 tillsynsbegäran.docx", "A 36209-2021")</f>
        <v/>
      </c>
      <c r="Y18">
        <f>HYPERLINK("https://klasma.github.io/Logging_1983/tillsynsmail/A 36209-2021 tillsynsbegäran mail.docx", "A 36209-2021")</f>
        <v/>
      </c>
    </row>
    <row r="19" ht="15" customHeight="1">
      <c r="A19" t="inlineStr">
        <is>
          <t>A 45826-2021</t>
        </is>
      </c>
      <c r="B19" s="1" t="n">
        <v>44441</v>
      </c>
      <c r="C19" s="1" t="n">
        <v>45355</v>
      </c>
      <c r="D19" t="inlineStr">
        <is>
          <t>VÄSTMANLANDS LÄN</t>
        </is>
      </c>
      <c r="E19" t="inlineStr">
        <is>
          <t>KÖPING</t>
        </is>
      </c>
      <c r="G19" t="n">
        <v>9</v>
      </c>
      <c r="H19" t="n">
        <v>1</v>
      </c>
      <c r="I19" t="n">
        <v>0</v>
      </c>
      <c r="J19" t="n">
        <v>0</v>
      </c>
      <c r="K19" t="n">
        <v>0</v>
      </c>
      <c r="L19" t="n">
        <v>0</v>
      </c>
      <c r="M19" t="n">
        <v>0</v>
      </c>
      <c r="N19" t="n">
        <v>0</v>
      </c>
      <c r="O19" t="n">
        <v>0</v>
      </c>
      <c r="P19" t="n">
        <v>0</v>
      </c>
      <c r="Q19" t="n">
        <v>1</v>
      </c>
      <c r="R19" s="2" t="inlineStr">
        <is>
          <t>Fläcknycklar</t>
        </is>
      </c>
      <c r="S19">
        <f>HYPERLINK("https://klasma.github.io/Logging_1983/artfynd/A 45826-2021 artfynd.xlsx", "A 45826-2021")</f>
        <v/>
      </c>
      <c r="T19">
        <f>HYPERLINK("https://klasma.github.io/Logging_1983/kartor/A 45826-2021 karta.png", "A 45826-2021")</f>
        <v/>
      </c>
      <c r="V19">
        <f>HYPERLINK("https://klasma.github.io/Logging_1983/klagomål/A 45826-2021 FSC-klagomål.docx", "A 45826-2021")</f>
        <v/>
      </c>
      <c r="W19">
        <f>HYPERLINK("https://klasma.github.io/Logging_1983/klagomålsmail/A 45826-2021 FSC-klagomål mail.docx", "A 45826-2021")</f>
        <v/>
      </c>
      <c r="X19">
        <f>HYPERLINK("https://klasma.github.io/Logging_1983/tillsyn/A 45826-2021 tillsynsbegäran.docx", "A 45826-2021")</f>
        <v/>
      </c>
      <c r="Y19">
        <f>HYPERLINK("https://klasma.github.io/Logging_1983/tillsynsmail/A 45826-2021 tillsynsbegäran mail.docx", "A 45826-2021")</f>
        <v/>
      </c>
    </row>
    <row r="20" ht="15" customHeight="1">
      <c r="A20" t="inlineStr">
        <is>
          <t>A 53151-2021</t>
        </is>
      </c>
      <c r="B20" s="1" t="n">
        <v>44468</v>
      </c>
      <c r="C20" s="1" t="n">
        <v>45355</v>
      </c>
      <c r="D20" t="inlineStr">
        <is>
          <t>VÄSTMANLANDS LÄN</t>
        </is>
      </c>
      <c r="E20" t="inlineStr">
        <is>
          <t>KÖPING</t>
        </is>
      </c>
      <c r="F20" t="inlineStr">
        <is>
          <t>Sveaskog</t>
        </is>
      </c>
      <c r="G20" t="n">
        <v>1.1</v>
      </c>
      <c r="H20" t="n">
        <v>0</v>
      </c>
      <c r="I20" t="n">
        <v>1</v>
      </c>
      <c r="J20" t="n">
        <v>0</v>
      </c>
      <c r="K20" t="n">
        <v>0</v>
      </c>
      <c r="L20" t="n">
        <v>0</v>
      </c>
      <c r="M20" t="n">
        <v>0</v>
      </c>
      <c r="N20" t="n">
        <v>0</v>
      </c>
      <c r="O20" t="n">
        <v>0</v>
      </c>
      <c r="P20" t="n">
        <v>0</v>
      </c>
      <c r="Q20" t="n">
        <v>1</v>
      </c>
      <c r="R20" s="2" t="inlineStr">
        <is>
          <t>Skinnlav</t>
        </is>
      </c>
      <c r="S20">
        <f>HYPERLINK("https://klasma.github.io/Logging_1983/artfynd/A 53151-2021 artfynd.xlsx", "A 53151-2021")</f>
        <v/>
      </c>
      <c r="T20">
        <f>HYPERLINK("https://klasma.github.io/Logging_1983/kartor/A 53151-2021 karta.png", "A 53151-2021")</f>
        <v/>
      </c>
      <c r="V20">
        <f>HYPERLINK("https://klasma.github.io/Logging_1983/klagomål/A 53151-2021 FSC-klagomål.docx", "A 53151-2021")</f>
        <v/>
      </c>
      <c r="W20">
        <f>HYPERLINK("https://klasma.github.io/Logging_1983/klagomålsmail/A 53151-2021 FSC-klagomål mail.docx", "A 53151-2021")</f>
        <v/>
      </c>
      <c r="X20">
        <f>HYPERLINK("https://klasma.github.io/Logging_1983/tillsyn/A 53151-2021 tillsynsbegäran.docx", "A 53151-2021")</f>
        <v/>
      </c>
      <c r="Y20">
        <f>HYPERLINK("https://klasma.github.io/Logging_1983/tillsynsmail/A 53151-2021 tillsynsbegäran mail.docx", "A 53151-2021")</f>
        <v/>
      </c>
    </row>
    <row r="21" ht="15" customHeight="1">
      <c r="A21" t="inlineStr">
        <is>
          <t>A 69022-2021</t>
        </is>
      </c>
      <c r="B21" s="1" t="n">
        <v>44530</v>
      </c>
      <c r="C21" s="1" t="n">
        <v>45355</v>
      </c>
      <c r="D21" t="inlineStr">
        <is>
          <t>VÄSTMANLANDS LÄN</t>
        </is>
      </c>
      <c r="E21" t="inlineStr">
        <is>
          <t>KÖPING</t>
        </is>
      </c>
      <c r="G21" t="n">
        <v>3.1</v>
      </c>
      <c r="H21" t="n">
        <v>0</v>
      </c>
      <c r="I21" t="n">
        <v>1</v>
      </c>
      <c r="J21" t="n">
        <v>0</v>
      </c>
      <c r="K21" t="n">
        <v>0</v>
      </c>
      <c r="L21" t="n">
        <v>0</v>
      </c>
      <c r="M21" t="n">
        <v>0</v>
      </c>
      <c r="N21" t="n">
        <v>0</v>
      </c>
      <c r="O21" t="n">
        <v>0</v>
      </c>
      <c r="P21" t="n">
        <v>0</v>
      </c>
      <c r="Q21" t="n">
        <v>1</v>
      </c>
      <c r="R21" s="2" t="inlineStr">
        <is>
          <t>Skinnlav</t>
        </is>
      </c>
      <c r="S21">
        <f>HYPERLINK("https://klasma.github.io/Logging_1983/artfynd/A 69022-2021 artfynd.xlsx", "A 69022-2021")</f>
        <v/>
      </c>
      <c r="T21">
        <f>HYPERLINK("https://klasma.github.io/Logging_1983/kartor/A 69022-2021 karta.png", "A 69022-2021")</f>
        <v/>
      </c>
      <c r="V21">
        <f>HYPERLINK("https://klasma.github.io/Logging_1983/klagomål/A 69022-2021 FSC-klagomål.docx", "A 69022-2021")</f>
        <v/>
      </c>
      <c r="W21">
        <f>HYPERLINK("https://klasma.github.io/Logging_1983/klagomålsmail/A 69022-2021 FSC-klagomål mail.docx", "A 69022-2021")</f>
        <v/>
      </c>
      <c r="X21">
        <f>HYPERLINK("https://klasma.github.io/Logging_1983/tillsyn/A 69022-2021 tillsynsbegäran.docx", "A 69022-2021")</f>
        <v/>
      </c>
      <c r="Y21">
        <f>HYPERLINK("https://klasma.github.io/Logging_1983/tillsynsmail/A 69022-2021 tillsynsbegäran mail.docx", "A 69022-2021")</f>
        <v/>
      </c>
    </row>
    <row r="22" ht="15" customHeight="1">
      <c r="A22" t="inlineStr">
        <is>
          <t>A 10900-2022</t>
        </is>
      </c>
      <c r="B22" s="1" t="n">
        <v>44627</v>
      </c>
      <c r="C22" s="1" t="n">
        <v>45355</v>
      </c>
      <c r="D22" t="inlineStr">
        <is>
          <t>VÄSTMANLANDS LÄN</t>
        </is>
      </c>
      <c r="E22" t="inlineStr">
        <is>
          <t>KÖPING</t>
        </is>
      </c>
      <c r="G22" t="n">
        <v>1.5</v>
      </c>
      <c r="H22" t="n">
        <v>0</v>
      </c>
      <c r="I22" t="n">
        <v>0</v>
      </c>
      <c r="J22" t="n">
        <v>1</v>
      </c>
      <c r="K22" t="n">
        <v>0</v>
      </c>
      <c r="L22" t="n">
        <v>0</v>
      </c>
      <c r="M22" t="n">
        <v>0</v>
      </c>
      <c r="N22" t="n">
        <v>0</v>
      </c>
      <c r="O22" t="n">
        <v>1</v>
      </c>
      <c r="P22" t="n">
        <v>0</v>
      </c>
      <c r="Q22" t="n">
        <v>1</v>
      </c>
      <c r="R22" s="2" t="inlineStr">
        <is>
          <t>Klofibbla</t>
        </is>
      </c>
      <c r="S22">
        <f>HYPERLINK("https://klasma.github.io/Logging_1983/artfynd/A 10900-2022 artfynd.xlsx", "A 10900-2022")</f>
        <v/>
      </c>
      <c r="T22">
        <f>HYPERLINK("https://klasma.github.io/Logging_1983/kartor/A 10900-2022 karta.png", "A 10900-2022")</f>
        <v/>
      </c>
      <c r="V22">
        <f>HYPERLINK("https://klasma.github.io/Logging_1983/klagomål/A 10900-2022 FSC-klagomål.docx", "A 10900-2022")</f>
        <v/>
      </c>
      <c r="W22">
        <f>HYPERLINK("https://klasma.github.io/Logging_1983/klagomålsmail/A 10900-2022 FSC-klagomål mail.docx", "A 10900-2022")</f>
        <v/>
      </c>
      <c r="X22">
        <f>HYPERLINK("https://klasma.github.io/Logging_1983/tillsyn/A 10900-2022 tillsynsbegäran.docx", "A 10900-2022")</f>
        <v/>
      </c>
      <c r="Y22">
        <f>HYPERLINK("https://klasma.github.io/Logging_1983/tillsynsmail/A 10900-2022 tillsynsbegäran mail.docx", "A 10900-2022")</f>
        <v/>
      </c>
    </row>
    <row r="23" ht="15" customHeight="1">
      <c r="A23" t="inlineStr">
        <is>
          <t>A 48269-2022</t>
        </is>
      </c>
      <c r="B23" s="1" t="n">
        <v>44858</v>
      </c>
      <c r="C23" s="1" t="n">
        <v>45355</v>
      </c>
      <c r="D23" t="inlineStr">
        <is>
          <t>VÄSTMANLANDS LÄN</t>
        </is>
      </c>
      <c r="E23" t="inlineStr">
        <is>
          <t>KÖPING</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HYPERLINK("https://klasma.github.io/Logging_1983/artfynd/A 48269-2022 artfynd.xlsx", "A 48269-2022")</f>
        <v/>
      </c>
      <c r="T23">
        <f>HYPERLINK("https://klasma.github.io/Logging_1983/kartor/A 48269-2022 karta.png", "A 48269-2022")</f>
        <v/>
      </c>
      <c r="V23">
        <f>HYPERLINK("https://klasma.github.io/Logging_1983/klagomål/A 48269-2022 FSC-klagomål.docx", "A 48269-2022")</f>
        <v/>
      </c>
      <c r="W23">
        <f>HYPERLINK("https://klasma.github.io/Logging_1983/klagomålsmail/A 48269-2022 FSC-klagomål mail.docx", "A 48269-2022")</f>
        <v/>
      </c>
      <c r="X23">
        <f>HYPERLINK("https://klasma.github.io/Logging_1983/tillsyn/A 48269-2022 tillsynsbegäran.docx", "A 48269-2022")</f>
        <v/>
      </c>
      <c r="Y23">
        <f>HYPERLINK("https://klasma.github.io/Logging_1983/tillsynsmail/A 48269-2022 tillsynsbegäran mail.docx", "A 48269-2022")</f>
        <v/>
      </c>
    </row>
    <row r="24" ht="15" customHeight="1">
      <c r="A24" t="inlineStr">
        <is>
          <t>A 52476-2023</t>
        </is>
      </c>
      <c r="B24" s="1" t="n">
        <v>45225</v>
      </c>
      <c r="C24" s="1" t="n">
        <v>45355</v>
      </c>
      <c r="D24" t="inlineStr">
        <is>
          <t>VÄSTMANLANDS LÄN</t>
        </is>
      </c>
      <c r="E24" t="inlineStr">
        <is>
          <t>KÖPING</t>
        </is>
      </c>
      <c r="F24" t="inlineStr">
        <is>
          <t>Sveaskog</t>
        </is>
      </c>
      <c r="G24" t="n">
        <v>1.9</v>
      </c>
      <c r="H24" t="n">
        <v>0</v>
      </c>
      <c r="I24" t="n">
        <v>1</v>
      </c>
      <c r="J24" t="n">
        <v>0</v>
      </c>
      <c r="K24" t="n">
        <v>0</v>
      </c>
      <c r="L24" t="n">
        <v>0</v>
      </c>
      <c r="M24" t="n">
        <v>0</v>
      </c>
      <c r="N24" t="n">
        <v>0</v>
      </c>
      <c r="O24" t="n">
        <v>0</v>
      </c>
      <c r="P24" t="n">
        <v>0</v>
      </c>
      <c r="Q24" t="n">
        <v>1</v>
      </c>
      <c r="R24" s="2" t="inlineStr">
        <is>
          <t>Bårdlav</t>
        </is>
      </c>
      <c r="S24">
        <f>HYPERLINK("https://klasma.github.io/Logging_1983/artfynd/A 52476-2023 artfynd.xlsx", "A 52476-2023")</f>
        <v/>
      </c>
      <c r="T24">
        <f>HYPERLINK("https://klasma.github.io/Logging_1983/kartor/A 52476-2023 karta.png", "A 52476-2023")</f>
        <v/>
      </c>
      <c r="V24">
        <f>HYPERLINK("https://klasma.github.io/Logging_1983/klagomål/A 52476-2023 FSC-klagomål.docx", "A 52476-2023")</f>
        <v/>
      </c>
      <c r="W24">
        <f>HYPERLINK("https://klasma.github.io/Logging_1983/klagomålsmail/A 52476-2023 FSC-klagomål mail.docx", "A 52476-2023")</f>
        <v/>
      </c>
      <c r="X24">
        <f>HYPERLINK("https://klasma.github.io/Logging_1983/tillsyn/A 52476-2023 tillsynsbegäran.docx", "A 52476-2023")</f>
        <v/>
      </c>
      <c r="Y24">
        <f>HYPERLINK("https://klasma.github.io/Logging_1983/tillsynsmail/A 52476-2023 tillsynsbegäran mail.docx", "A 52476-2023")</f>
        <v/>
      </c>
    </row>
    <row r="25" ht="15" customHeight="1">
      <c r="A25" t="inlineStr">
        <is>
          <t>A 55157-2023</t>
        </is>
      </c>
      <c r="B25" s="1" t="n">
        <v>45237</v>
      </c>
      <c r="C25" s="1" t="n">
        <v>45355</v>
      </c>
      <c r="D25" t="inlineStr">
        <is>
          <t>VÄSTMANLANDS LÄN</t>
        </is>
      </c>
      <c r="E25" t="inlineStr">
        <is>
          <t>KÖPING</t>
        </is>
      </c>
      <c r="G25" t="n">
        <v>6.7</v>
      </c>
      <c r="H25" t="n">
        <v>1</v>
      </c>
      <c r="I25" t="n">
        <v>0</v>
      </c>
      <c r="J25" t="n">
        <v>0</v>
      </c>
      <c r="K25" t="n">
        <v>0</v>
      </c>
      <c r="L25" t="n">
        <v>0</v>
      </c>
      <c r="M25" t="n">
        <v>0</v>
      </c>
      <c r="N25" t="n">
        <v>0</v>
      </c>
      <c r="O25" t="n">
        <v>0</v>
      </c>
      <c r="P25" t="n">
        <v>0</v>
      </c>
      <c r="Q25" t="n">
        <v>1</v>
      </c>
      <c r="R25" s="2" t="inlineStr">
        <is>
          <t>Nattviol</t>
        </is>
      </c>
      <c r="S25">
        <f>HYPERLINK("https://klasma.github.io/Logging_1983/artfynd/A 55157-2023 artfynd.xlsx", "A 55157-2023")</f>
        <v/>
      </c>
      <c r="T25">
        <f>HYPERLINK("https://klasma.github.io/Logging_1983/kartor/A 55157-2023 karta.png", "A 55157-2023")</f>
        <v/>
      </c>
      <c r="V25">
        <f>HYPERLINK("https://klasma.github.io/Logging_1983/klagomål/A 55157-2023 FSC-klagomål.docx", "A 55157-2023")</f>
        <v/>
      </c>
      <c r="W25">
        <f>HYPERLINK("https://klasma.github.io/Logging_1983/klagomålsmail/A 55157-2023 FSC-klagomål mail.docx", "A 55157-2023")</f>
        <v/>
      </c>
      <c r="X25">
        <f>HYPERLINK("https://klasma.github.io/Logging_1983/tillsyn/A 55157-2023 tillsynsbegäran.docx", "A 55157-2023")</f>
        <v/>
      </c>
      <c r="Y25">
        <f>HYPERLINK("https://klasma.github.io/Logging_1983/tillsynsmail/A 55157-2023 tillsynsbegäran mail.docx", "A 55157-2023")</f>
        <v/>
      </c>
    </row>
    <row r="26" ht="15" customHeight="1">
      <c r="A26" t="inlineStr">
        <is>
          <t>A 3927-2024</t>
        </is>
      </c>
      <c r="B26" s="1" t="n">
        <v>45322</v>
      </c>
      <c r="C26" s="1" t="n">
        <v>45355</v>
      </c>
      <c r="D26" t="inlineStr">
        <is>
          <t>VÄSTMANLANDS LÄN</t>
        </is>
      </c>
      <c r="E26" t="inlineStr">
        <is>
          <t>KÖPING</t>
        </is>
      </c>
      <c r="G26" t="n">
        <v>4.8</v>
      </c>
      <c r="H26" t="n">
        <v>0</v>
      </c>
      <c r="I26" t="n">
        <v>0</v>
      </c>
      <c r="J26" t="n">
        <v>1</v>
      </c>
      <c r="K26" t="n">
        <v>0</v>
      </c>
      <c r="L26" t="n">
        <v>0</v>
      </c>
      <c r="M26" t="n">
        <v>0</v>
      </c>
      <c r="N26" t="n">
        <v>0</v>
      </c>
      <c r="O26" t="n">
        <v>1</v>
      </c>
      <c r="P26" t="n">
        <v>0</v>
      </c>
      <c r="Q26" t="n">
        <v>1</v>
      </c>
      <c r="R26" s="2" t="inlineStr">
        <is>
          <t>Druvfingersvamp</t>
        </is>
      </c>
      <c r="S26">
        <f>HYPERLINK("https://klasma.github.io/Logging_1983/artfynd/A 3927-2024 artfynd.xlsx", "A 3927-2024")</f>
        <v/>
      </c>
      <c r="T26">
        <f>HYPERLINK("https://klasma.github.io/Logging_1983/kartor/A 3927-2024 karta.png", "A 3927-2024")</f>
        <v/>
      </c>
      <c r="V26">
        <f>HYPERLINK("https://klasma.github.io/Logging_1983/klagomål/A 3927-2024 FSC-klagomål.docx", "A 3927-2024")</f>
        <v/>
      </c>
      <c r="W26">
        <f>HYPERLINK("https://klasma.github.io/Logging_1983/klagomålsmail/A 3927-2024 FSC-klagomål mail.docx", "A 3927-2024")</f>
        <v/>
      </c>
      <c r="X26">
        <f>HYPERLINK("https://klasma.github.io/Logging_1983/tillsyn/A 3927-2024 tillsynsbegäran.docx", "A 3927-2024")</f>
        <v/>
      </c>
      <c r="Y26">
        <f>HYPERLINK("https://klasma.github.io/Logging_1983/tillsynsmail/A 3927-2024 tillsynsbegäran mail.docx", "A 3927-2024")</f>
        <v/>
      </c>
    </row>
    <row r="27" ht="15" customHeight="1">
      <c r="A27" t="inlineStr">
        <is>
          <t>A 35480-2018</t>
        </is>
      </c>
      <c r="B27" s="1" t="n">
        <v>43325</v>
      </c>
      <c r="C27" s="1" t="n">
        <v>45355</v>
      </c>
      <c r="D27" t="inlineStr">
        <is>
          <t>VÄSTMANLANDS LÄN</t>
        </is>
      </c>
      <c r="E27" t="inlineStr">
        <is>
          <t>KÖPING</t>
        </is>
      </c>
      <c r="G27" t="n">
        <v>3.6</v>
      </c>
      <c r="H27" t="n">
        <v>0</v>
      </c>
      <c r="I27" t="n">
        <v>0</v>
      </c>
      <c r="J27" t="n">
        <v>0</v>
      </c>
      <c r="K27" t="n">
        <v>0</v>
      </c>
      <c r="L27" t="n">
        <v>0</v>
      </c>
      <c r="M27" t="n">
        <v>0</v>
      </c>
      <c r="N27" t="n">
        <v>0</v>
      </c>
      <c r="O27" t="n">
        <v>0</v>
      </c>
      <c r="P27" t="n">
        <v>0</v>
      </c>
      <c r="Q27" t="n">
        <v>0</v>
      </c>
      <c r="R27" s="2" t="inlineStr"/>
    </row>
    <row r="28" ht="15" customHeight="1">
      <c r="A28" t="inlineStr">
        <is>
          <t>A 36128-2018</t>
        </is>
      </c>
      <c r="B28" s="1" t="n">
        <v>43328</v>
      </c>
      <c r="C28" s="1" t="n">
        <v>45355</v>
      </c>
      <c r="D28" t="inlineStr">
        <is>
          <t>VÄSTMANLANDS LÄN</t>
        </is>
      </c>
      <c r="E28" t="inlineStr">
        <is>
          <t>KÖPING</t>
        </is>
      </c>
      <c r="F28" t="inlineStr">
        <is>
          <t>Sveaskog</t>
        </is>
      </c>
      <c r="G28" t="n">
        <v>2.7</v>
      </c>
      <c r="H28" t="n">
        <v>0</v>
      </c>
      <c r="I28" t="n">
        <v>0</v>
      </c>
      <c r="J28" t="n">
        <v>0</v>
      </c>
      <c r="K28" t="n">
        <v>0</v>
      </c>
      <c r="L28" t="n">
        <v>0</v>
      </c>
      <c r="M28" t="n">
        <v>0</v>
      </c>
      <c r="N28" t="n">
        <v>0</v>
      </c>
      <c r="O28" t="n">
        <v>0</v>
      </c>
      <c r="P28" t="n">
        <v>0</v>
      </c>
      <c r="Q28" t="n">
        <v>0</v>
      </c>
      <c r="R28" s="2" t="inlineStr"/>
    </row>
    <row r="29" ht="15" customHeight="1">
      <c r="A29" t="inlineStr">
        <is>
          <t>A 41404-2018</t>
        </is>
      </c>
      <c r="B29" s="1" t="n">
        <v>43346</v>
      </c>
      <c r="C29" s="1" t="n">
        <v>45355</v>
      </c>
      <c r="D29" t="inlineStr">
        <is>
          <t>VÄSTMANLANDS LÄN</t>
        </is>
      </c>
      <c r="E29" t="inlineStr">
        <is>
          <t>KÖPING</t>
        </is>
      </c>
      <c r="G29" t="n">
        <v>4.7</v>
      </c>
      <c r="H29" t="n">
        <v>0</v>
      </c>
      <c r="I29" t="n">
        <v>0</v>
      </c>
      <c r="J29" t="n">
        <v>0</v>
      </c>
      <c r="K29" t="n">
        <v>0</v>
      </c>
      <c r="L29" t="n">
        <v>0</v>
      </c>
      <c r="M29" t="n">
        <v>0</v>
      </c>
      <c r="N29" t="n">
        <v>0</v>
      </c>
      <c r="O29" t="n">
        <v>0</v>
      </c>
      <c r="P29" t="n">
        <v>0</v>
      </c>
      <c r="Q29" t="n">
        <v>0</v>
      </c>
      <c r="R29" s="2" t="inlineStr"/>
    </row>
    <row r="30" ht="15" customHeight="1">
      <c r="A30" t="inlineStr">
        <is>
          <t>A 40730-2018</t>
        </is>
      </c>
      <c r="B30" s="1" t="n">
        <v>43347</v>
      </c>
      <c r="C30" s="1" t="n">
        <v>45355</v>
      </c>
      <c r="D30" t="inlineStr">
        <is>
          <t>VÄSTMANLANDS LÄN</t>
        </is>
      </c>
      <c r="E30" t="inlineStr">
        <is>
          <t>KÖPING</t>
        </is>
      </c>
      <c r="F30" t="inlineStr">
        <is>
          <t>Sveaskog</t>
        </is>
      </c>
      <c r="G30" t="n">
        <v>0.7</v>
      </c>
      <c r="H30" t="n">
        <v>0</v>
      </c>
      <c r="I30" t="n">
        <v>0</v>
      </c>
      <c r="J30" t="n">
        <v>0</v>
      </c>
      <c r="K30" t="n">
        <v>0</v>
      </c>
      <c r="L30" t="n">
        <v>0</v>
      </c>
      <c r="M30" t="n">
        <v>0</v>
      </c>
      <c r="N30" t="n">
        <v>0</v>
      </c>
      <c r="O30" t="n">
        <v>0</v>
      </c>
      <c r="P30" t="n">
        <v>0</v>
      </c>
      <c r="Q30" t="n">
        <v>0</v>
      </c>
      <c r="R30" s="2" t="inlineStr"/>
    </row>
    <row r="31" ht="15" customHeight="1">
      <c r="A31" t="inlineStr">
        <is>
          <t>A 49125-2018</t>
        </is>
      </c>
      <c r="B31" s="1" t="n">
        <v>43375</v>
      </c>
      <c r="C31" s="1" t="n">
        <v>45355</v>
      </c>
      <c r="D31" t="inlineStr">
        <is>
          <t>VÄSTMANLANDS LÄN</t>
        </is>
      </c>
      <c r="E31" t="inlineStr">
        <is>
          <t>KÖPING</t>
        </is>
      </c>
      <c r="F31" t="inlineStr">
        <is>
          <t>Kyrkan</t>
        </is>
      </c>
      <c r="G31" t="n">
        <v>0.7</v>
      </c>
      <c r="H31" t="n">
        <v>0</v>
      </c>
      <c r="I31" t="n">
        <v>0</v>
      </c>
      <c r="J31" t="n">
        <v>0</v>
      </c>
      <c r="K31" t="n">
        <v>0</v>
      </c>
      <c r="L31" t="n">
        <v>0</v>
      </c>
      <c r="M31" t="n">
        <v>0</v>
      </c>
      <c r="N31" t="n">
        <v>0</v>
      </c>
      <c r="O31" t="n">
        <v>0</v>
      </c>
      <c r="P31" t="n">
        <v>0</v>
      </c>
      <c r="Q31" t="n">
        <v>0</v>
      </c>
      <c r="R31" s="2" t="inlineStr"/>
    </row>
    <row r="32" ht="15" customHeight="1">
      <c r="A32" t="inlineStr">
        <is>
          <t>A 58053-2018</t>
        </is>
      </c>
      <c r="B32" s="1" t="n">
        <v>43406</v>
      </c>
      <c r="C32" s="1" t="n">
        <v>45355</v>
      </c>
      <c r="D32" t="inlineStr">
        <is>
          <t>VÄSTMANLANDS LÄN</t>
        </is>
      </c>
      <c r="E32" t="inlineStr">
        <is>
          <t>KÖPING</t>
        </is>
      </c>
      <c r="G32" t="n">
        <v>3.2</v>
      </c>
      <c r="H32" t="n">
        <v>0</v>
      </c>
      <c r="I32" t="n">
        <v>0</v>
      </c>
      <c r="J32" t="n">
        <v>0</v>
      </c>
      <c r="K32" t="n">
        <v>0</v>
      </c>
      <c r="L32" t="n">
        <v>0</v>
      </c>
      <c r="M32" t="n">
        <v>0</v>
      </c>
      <c r="N32" t="n">
        <v>0</v>
      </c>
      <c r="O32" t="n">
        <v>0</v>
      </c>
      <c r="P32" t="n">
        <v>0</v>
      </c>
      <c r="Q32" t="n">
        <v>0</v>
      </c>
      <c r="R32" s="2" t="inlineStr"/>
    </row>
    <row r="33" ht="15" customHeight="1">
      <c r="A33" t="inlineStr">
        <is>
          <t>A 59617-2018</t>
        </is>
      </c>
      <c r="B33" s="1" t="n">
        <v>43419</v>
      </c>
      <c r="C33" s="1" t="n">
        <v>45355</v>
      </c>
      <c r="D33" t="inlineStr">
        <is>
          <t>VÄSTMANLANDS LÄN</t>
        </is>
      </c>
      <c r="E33" t="inlineStr">
        <is>
          <t>KÖPING</t>
        </is>
      </c>
      <c r="G33" t="n">
        <v>3.4</v>
      </c>
      <c r="H33" t="n">
        <v>0</v>
      </c>
      <c r="I33" t="n">
        <v>0</v>
      </c>
      <c r="J33" t="n">
        <v>0</v>
      </c>
      <c r="K33" t="n">
        <v>0</v>
      </c>
      <c r="L33" t="n">
        <v>0</v>
      </c>
      <c r="M33" t="n">
        <v>0</v>
      </c>
      <c r="N33" t="n">
        <v>0</v>
      </c>
      <c r="O33" t="n">
        <v>0</v>
      </c>
      <c r="P33" t="n">
        <v>0</v>
      </c>
      <c r="Q33" t="n">
        <v>0</v>
      </c>
      <c r="R33" s="2" t="inlineStr"/>
    </row>
    <row r="34" ht="15" customHeight="1">
      <c r="A34" t="inlineStr">
        <is>
          <t>A 59838-2018</t>
        </is>
      </c>
      <c r="B34" s="1" t="n">
        <v>43419</v>
      </c>
      <c r="C34" s="1" t="n">
        <v>45355</v>
      </c>
      <c r="D34" t="inlineStr">
        <is>
          <t>VÄSTMANLANDS LÄN</t>
        </is>
      </c>
      <c r="E34" t="inlineStr">
        <is>
          <t>KÖPING</t>
        </is>
      </c>
      <c r="G34" t="n">
        <v>1.7</v>
      </c>
      <c r="H34" t="n">
        <v>0</v>
      </c>
      <c r="I34" t="n">
        <v>0</v>
      </c>
      <c r="J34" t="n">
        <v>0</v>
      </c>
      <c r="K34" t="n">
        <v>0</v>
      </c>
      <c r="L34" t="n">
        <v>0</v>
      </c>
      <c r="M34" t="n">
        <v>0</v>
      </c>
      <c r="N34" t="n">
        <v>0</v>
      </c>
      <c r="O34" t="n">
        <v>0</v>
      </c>
      <c r="P34" t="n">
        <v>0</v>
      </c>
      <c r="Q34" t="n">
        <v>0</v>
      </c>
      <c r="R34" s="2" t="inlineStr"/>
    </row>
    <row r="35" ht="15" customHeight="1">
      <c r="A35" t="inlineStr">
        <is>
          <t>A 66283-2018</t>
        </is>
      </c>
      <c r="B35" s="1" t="n">
        <v>43427</v>
      </c>
      <c r="C35" s="1" t="n">
        <v>45355</v>
      </c>
      <c r="D35" t="inlineStr">
        <is>
          <t>VÄSTMANLANDS LÄN</t>
        </is>
      </c>
      <c r="E35" t="inlineStr">
        <is>
          <t>KÖPING</t>
        </is>
      </c>
      <c r="G35" t="n">
        <v>12</v>
      </c>
      <c r="H35" t="n">
        <v>0</v>
      </c>
      <c r="I35" t="n">
        <v>0</v>
      </c>
      <c r="J35" t="n">
        <v>0</v>
      </c>
      <c r="K35" t="n">
        <v>0</v>
      </c>
      <c r="L35" t="n">
        <v>0</v>
      </c>
      <c r="M35" t="n">
        <v>0</v>
      </c>
      <c r="N35" t="n">
        <v>0</v>
      </c>
      <c r="O35" t="n">
        <v>0</v>
      </c>
      <c r="P35" t="n">
        <v>0</v>
      </c>
      <c r="Q35" t="n">
        <v>0</v>
      </c>
      <c r="R35" s="2" t="inlineStr"/>
    </row>
    <row r="36" ht="15" customHeight="1">
      <c r="A36" t="inlineStr">
        <is>
          <t>A 64764-2018</t>
        </is>
      </c>
      <c r="B36" s="1" t="n">
        <v>43431</v>
      </c>
      <c r="C36" s="1" t="n">
        <v>45355</v>
      </c>
      <c r="D36" t="inlineStr">
        <is>
          <t>VÄSTMANLANDS LÄN</t>
        </is>
      </c>
      <c r="E36" t="inlineStr">
        <is>
          <t>KÖPING</t>
        </is>
      </c>
      <c r="G36" t="n">
        <v>4.5</v>
      </c>
      <c r="H36" t="n">
        <v>0</v>
      </c>
      <c r="I36" t="n">
        <v>0</v>
      </c>
      <c r="J36" t="n">
        <v>0</v>
      </c>
      <c r="K36" t="n">
        <v>0</v>
      </c>
      <c r="L36" t="n">
        <v>0</v>
      </c>
      <c r="M36" t="n">
        <v>0</v>
      </c>
      <c r="N36" t="n">
        <v>0</v>
      </c>
      <c r="O36" t="n">
        <v>0</v>
      </c>
      <c r="P36" t="n">
        <v>0</v>
      </c>
      <c r="Q36" t="n">
        <v>0</v>
      </c>
      <c r="R36" s="2" t="inlineStr"/>
    </row>
    <row r="37" ht="15" customHeight="1">
      <c r="A37" t="inlineStr">
        <is>
          <t>A 66001-2018</t>
        </is>
      </c>
      <c r="B37" s="1" t="n">
        <v>43434</v>
      </c>
      <c r="C37" s="1" t="n">
        <v>45355</v>
      </c>
      <c r="D37" t="inlineStr">
        <is>
          <t>VÄSTMANLANDS LÄN</t>
        </is>
      </c>
      <c r="E37" t="inlineStr">
        <is>
          <t>KÖPING</t>
        </is>
      </c>
      <c r="G37" t="n">
        <v>0.7</v>
      </c>
      <c r="H37" t="n">
        <v>0</v>
      </c>
      <c r="I37" t="n">
        <v>0</v>
      </c>
      <c r="J37" t="n">
        <v>0</v>
      </c>
      <c r="K37" t="n">
        <v>0</v>
      </c>
      <c r="L37" t="n">
        <v>0</v>
      </c>
      <c r="M37" t="n">
        <v>0</v>
      </c>
      <c r="N37" t="n">
        <v>0</v>
      </c>
      <c r="O37" t="n">
        <v>0</v>
      </c>
      <c r="P37" t="n">
        <v>0</v>
      </c>
      <c r="Q37" t="n">
        <v>0</v>
      </c>
      <c r="R37" s="2" t="inlineStr"/>
    </row>
    <row r="38" ht="15" customHeight="1">
      <c r="A38" t="inlineStr">
        <is>
          <t>A 65923-2018</t>
        </is>
      </c>
      <c r="B38" s="1" t="n">
        <v>43434</v>
      </c>
      <c r="C38" s="1" t="n">
        <v>45355</v>
      </c>
      <c r="D38" t="inlineStr">
        <is>
          <t>VÄSTMANLANDS LÄN</t>
        </is>
      </c>
      <c r="E38" t="inlineStr">
        <is>
          <t>KÖPING</t>
        </is>
      </c>
      <c r="G38" t="n">
        <v>1</v>
      </c>
      <c r="H38" t="n">
        <v>0</v>
      </c>
      <c r="I38" t="n">
        <v>0</v>
      </c>
      <c r="J38" t="n">
        <v>0</v>
      </c>
      <c r="K38" t="n">
        <v>0</v>
      </c>
      <c r="L38" t="n">
        <v>0</v>
      </c>
      <c r="M38" t="n">
        <v>0</v>
      </c>
      <c r="N38" t="n">
        <v>0</v>
      </c>
      <c r="O38" t="n">
        <v>0</v>
      </c>
      <c r="P38" t="n">
        <v>0</v>
      </c>
      <c r="Q38" t="n">
        <v>0</v>
      </c>
      <c r="R38" s="2" t="inlineStr"/>
    </row>
    <row r="39" ht="15" customHeight="1">
      <c r="A39" t="inlineStr">
        <is>
          <t>A 70004-2018</t>
        </is>
      </c>
      <c r="B39" s="1" t="n">
        <v>43447</v>
      </c>
      <c r="C39" s="1" t="n">
        <v>45355</v>
      </c>
      <c r="D39" t="inlineStr">
        <is>
          <t>VÄSTMANLANDS LÄN</t>
        </is>
      </c>
      <c r="E39" t="inlineStr">
        <is>
          <t>KÖPING</t>
        </is>
      </c>
      <c r="G39" t="n">
        <v>2</v>
      </c>
      <c r="H39" t="n">
        <v>0</v>
      </c>
      <c r="I39" t="n">
        <v>0</v>
      </c>
      <c r="J39" t="n">
        <v>0</v>
      </c>
      <c r="K39" t="n">
        <v>0</v>
      </c>
      <c r="L39" t="n">
        <v>0</v>
      </c>
      <c r="M39" t="n">
        <v>0</v>
      </c>
      <c r="N39" t="n">
        <v>0</v>
      </c>
      <c r="O39" t="n">
        <v>0</v>
      </c>
      <c r="P39" t="n">
        <v>0</v>
      </c>
      <c r="Q39" t="n">
        <v>0</v>
      </c>
      <c r="R39" s="2" t="inlineStr"/>
    </row>
    <row r="40" ht="15" customHeight="1">
      <c r="A40" t="inlineStr">
        <is>
          <t>A 72276-2018</t>
        </is>
      </c>
      <c r="B40" s="1" t="n">
        <v>43455</v>
      </c>
      <c r="C40" s="1" t="n">
        <v>45355</v>
      </c>
      <c r="D40" t="inlineStr">
        <is>
          <t>VÄSTMANLANDS LÄN</t>
        </is>
      </c>
      <c r="E40" t="inlineStr">
        <is>
          <t>KÖPING</t>
        </is>
      </c>
      <c r="G40" t="n">
        <v>2.3</v>
      </c>
      <c r="H40" t="n">
        <v>0</v>
      </c>
      <c r="I40" t="n">
        <v>0</v>
      </c>
      <c r="J40" t="n">
        <v>0</v>
      </c>
      <c r="K40" t="n">
        <v>0</v>
      </c>
      <c r="L40" t="n">
        <v>0</v>
      </c>
      <c r="M40" t="n">
        <v>0</v>
      </c>
      <c r="N40" t="n">
        <v>0</v>
      </c>
      <c r="O40" t="n">
        <v>0</v>
      </c>
      <c r="P40" t="n">
        <v>0</v>
      </c>
      <c r="Q40" t="n">
        <v>0</v>
      </c>
      <c r="R40" s="2" t="inlineStr"/>
    </row>
    <row r="41" ht="15" customHeight="1">
      <c r="A41" t="inlineStr">
        <is>
          <t>A 72313-2018</t>
        </is>
      </c>
      <c r="B41" s="1" t="n">
        <v>43456</v>
      </c>
      <c r="C41" s="1" t="n">
        <v>45355</v>
      </c>
      <c r="D41" t="inlineStr">
        <is>
          <t>VÄSTMANLANDS LÄN</t>
        </is>
      </c>
      <c r="E41" t="inlineStr">
        <is>
          <t>KÖPING</t>
        </is>
      </c>
      <c r="G41" t="n">
        <v>0.6</v>
      </c>
      <c r="H41" t="n">
        <v>0</v>
      </c>
      <c r="I41" t="n">
        <v>0</v>
      </c>
      <c r="J41" t="n">
        <v>0</v>
      </c>
      <c r="K41" t="n">
        <v>0</v>
      </c>
      <c r="L41" t="n">
        <v>0</v>
      </c>
      <c r="M41" t="n">
        <v>0</v>
      </c>
      <c r="N41" t="n">
        <v>0</v>
      </c>
      <c r="O41" t="n">
        <v>0</v>
      </c>
      <c r="P41" t="n">
        <v>0</v>
      </c>
      <c r="Q41" t="n">
        <v>0</v>
      </c>
      <c r="R41" s="2" t="inlineStr"/>
    </row>
    <row r="42" ht="15" customHeight="1">
      <c r="A42" t="inlineStr">
        <is>
          <t>A 72314-2018</t>
        </is>
      </c>
      <c r="B42" s="1" t="n">
        <v>43456</v>
      </c>
      <c r="C42" s="1" t="n">
        <v>45355</v>
      </c>
      <c r="D42" t="inlineStr">
        <is>
          <t>VÄSTMANLANDS LÄN</t>
        </is>
      </c>
      <c r="E42" t="inlineStr">
        <is>
          <t>KÖPING</t>
        </is>
      </c>
      <c r="G42" t="n">
        <v>0.7</v>
      </c>
      <c r="H42" t="n">
        <v>0</v>
      </c>
      <c r="I42" t="n">
        <v>0</v>
      </c>
      <c r="J42" t="n">
        <v>0</v>
      </c>
      <c r="K42" t="n">
        <v>0</v>
      </c>
      <c r="L42" t="n">
        <v>0</v>
      </c>
      <c r="M42" t="n">
        <v>0</v>
      </c>
      <c r="N42" t="n">
        <v>0</v>
      </c>
      <c r="O42" t="n">
        <v>0</v>
      </c>
      <c r="P42" t="n">
        <v>0</v>
      </c>
      <c r="Q42" t="n">
        <v>0</v>
      </c>
      <c r="R42" s="2" t="inlineStr"/>
    </row>
    <row r="43" ht="15" customHeight="1">
      <c r="A43" t="inlineStr">
        <is>
          <t>A 72312-2018</t>
        </is>
      </c>
      <c r="B43" s="1" t="n">
        <v>43456</v>
      </c>
      <c r="C43" s="1" t="n">
        <v>45355</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8071-2019</t>
        </is>
      </c>
      <c r="B44" s="1" t="n">
        <v>43501</v>
      </c>
      <c r="C44" s="1" t="n">
        <v>45355</v>
      </c>
      <c r="D44" t="inlineStr">
        <is>
          <t>VÄSTMANLANDS LÄN</t>
        </is>
      </c>
      <c r="E44" t="inlineStr">
        <is>
          <t>KÖPING</t>
        </is>
      </c>
      <c r="G44" t="n">
        <v>0.9</v>
      </c>
      <c r="H44" t="n">
        <v>0</v>
      </c>
      <c r="I44" t="n">
        <v>0</v>
      </c>
      <c r="J44" t="n">
        <v>0</v>
      </c>
      <c r="K44" t="n">
        <v>0</v>
      </c>
      <c r="L44" t="n">
        <v>0</v>
      </c>
      <c r="M44" t="n">
        <v>0</v>
      </c>
      <c r="N44" t="n">
        <v>0</v>
      </c>
      <c r="O44" t="n">
        <v>0</v>
      </c>
      <c r="P44" t="n">
        <v>0</v>
      </c>
      <c r="Q44" t="n">
        <v>0</v>
      </c>
      <c r="R44" s="2" t="inlineStr"/>
    </row>
    <row r="45" ht="15" customHeight="1">
      <c r="A45" t="inlineStr">
        <is>
          <t>A 8914-2019</t>
        </is>
      </c>
      <c r="B45" s="1" t="n">
        <v>43503</v>
      </c>
      <c r="C45" s="1" t="n">
        <v>45355</v>
      </c>
      <c r="D45" t="inlineStr">
        <is>
          <t>VÄSTMANLANDS LÄN</t>
        </is>
      </c>
      <c r="E45" t="inlineStr">
        <is>
          <t>KÖPING</t>
        </is>
      </c>
      <c r="G45" t="n">
        <v>0.8</v>
      </c>
      <c r="H45" t="n">
        <v>0</v>
      </c>
      <c r="I45" t="n">
        <v>0</v>
      </c>
      <c r="J45" t="n">
        <v>0</v>
      </c>
      <c r="K45" t="n">
        <v>0</v>
      </c>
      <c r="L45" t="n">
        <v>0</v>
      </c>
      <c r="M45" t="n">
        <v>0</v>
      </c>
      <c r="N45" t="n">
        <v>0</v>
      </c>
      <c r="O45" t="n">
        <v>0</v>
      </c>
      <c r="P45" t="n">
        <v>0</v>
      </c>
      <c r="Q45" t="n">
        <v>0</v>
      </c>
      <c r="R45" s="2" t="inlineStr"/>
    </row>
    <row r="46" ht="15" customHeight="1">
      <c r="A46" t="inlineStr">
        <is>
          <t>A 8830-2019</t>
        </is>
      </c>
      <c r="B46" s="1" t="n">
        <v>43503</v>
      </c>
      <c r="C46" s="1" t="n">
        <v>45355</v>
      </c>
      <c r="D46" t="inlineStr">
        <is>
          <t>VÄSTMANLANDS LÄN</t>
        </is>
      </c>
      <c r="E46" t="inlineStr">
        <is>
          <t>KÖPING</t>
        </is>
      </c>
      <c r="G46" t="n">
        <v>0.5</v>
      </c>
      <c r="H46" t="n">
        <v>0</v>
      </c>
      <c r="I46" t="n">
        <v>0</v>
      </c>
      <c r="J46" t="n">
        <v>0</v>
      </c>
      <c r="K46" t="n">
        <v>0</v>
      </c>
      <c r="L46" t="n">
        <v>0</v>
      </c>
      <c r="M46" t="n">
        <v>0</v>
      </c>
      <c r="N46" t="n">
        <v>0</v>
      </c>
      <c r="O46" t="n">
        <v>0</v>
      </c>
      <c r="P46" t="n">
        <v>0</v>
      </c>
      <c r="Q46" t="n">
        <v>0</v>
      </c>
      <c r="R46" s="2" t="inlineStr"/>
    </row>
    <row r="47" ht="15" customHeight="1">
      <c r="A47" t="inlineStr">
        <is>
          <t>A 9390-2019</t>
        </is>
      </c>
      <c r="B47" s="1" t="n">
        <v>43507</v>
      </c>
      <c r="C47" s="1" t="n">
        <v>45355</v>
      </c>
      <c r="D47" t="inlineStr">
        <is>
          <t>VÄSTMANLANDS LÄN</t>
        </is>
      </c>
      <c r="E47" t="inlineStr">
        <is>
          <t>KÖPING</t>
        </is>
      </c>
      <c r="G47" t="n">
        <v>11.1</v>
      </c>
      <c r="H47" t="n">
        <v>0</v>
      </c>
      <c r="I47" t="n">
        <v>0</v>
      </c>
      <c r="J47" t="n">
        <v>0</v>
      </c>
      <c r="K47" t="n">
        <v>0</v>
      </c>
      <c r="L47" t="n">
        <v>0</v>
      </c>
      <c r="M47" t="n">
        <v>0</v>
      </c>
      <c r="N47" t="n">
        <v>0</v>
      </c>
      <c r="O47" t="n">
        <v>0</v>
      </c>
      <c r="P47" t="n">
        <v>0</v>
      </c>
      <c r="Q47" t="n">
        <v>0</v>
      </c>
      <c r="R47" s="2" t="inlineStr"/>
    </row>
    <row r="48" ht="15" customHeight="1">
      <c r="A48" t="inlineStr">
        <is>
          <t>A 10876-2019</t>
        </is>
      </c>
      <c r="B48" s="1" t="n">
        <v>43514</v>
      </c>
      <c r="C48" s="1" t="n">
        <v>45355</v>
      </c>
      <c r="D48" t="inlineStr">
        <is>
          <t>VÄSTMANLANDS LÄN</t>
        </is>
      </c>
      <c r="E48" t="inlineStr">
        <is>
          <t>KÖPING</t>
        </is>
      </c>
      <c r="G48" t="n">
        <v>11.5</v>
      </c>
      <c r="H48" t="n">
        <v>0</v>
      </c>
      <c r="I48" t="n">
        <v>0</v>
      </c>
      <c r="J48" t="n">
        <v>0</v>
      </c>
      <c r="K48" t="n">
        <v>0</v>
      </c>
      <c r="L48" t="n">
        <v>0</v>
      </c>
      <c r="M48" t="n">
        <v>0</v>
      </c>
      <c r="N48" t="n">
        <v>0</v>
      </c>
      <c r="O48" t="n">
        <v>0</v>
      </c>
      <c r="P48" t="n">
        <v>0</v>
      </c>
      <c r="Q48" t="n">
        <v>0</v>
      </c>
      <c r="R48" s="2" t="inlineStr"/>
    </row>
    <row r="49" ht="15" customHeight="1">
      <c r="A49" t="inlineStr">
        <is>
          <t>A 10885-2019</t>
        </is>
      </c>
      <c r="B49" s="1" t="n">
        <v>43515</v>
      </c>
      <c r="C49" s="1" t="n">
        <v>45355</v>
      </c>
      <c r="D49" t="inlineStr">
        <is>
          <t>VÄSTMANLANDS LÄN</t>
        </is>
      </c>
      <c r="E49" t="inlineStr">
        <is>
          <t>KÖPING</t>
        </is>
      </c>
      <c r="G49" t="n">
        <v>2.2</v>
      </c>
      <c r="H49" t="n">
        <v>0</v>
      </c>
      <c r="I49" t="n">
        <v>0</v>
      </c>
      <c r="J49" t="n">
        <v>0</v>
      </c>
      <c r="K49" t="n">
        <v>0</v>
      </c>
      <c r="L49" t="n">
        <v>0</v>
      </c>
      <c r="M49" t="n">
        <v>0</v>
      </c>
      <c r="N49" t="n">
        <v>0</v>
      </c>
      <c r="O49" t="n">
        <v>0</v>
      </c>
      <c r="P49" t="n">
        <v>0</v>
      </c>
      <c r="Q49" t="n">
        <v>0</v>
      </c>
      <c r="R49" s="2" t="inlineStr"/>
    </row>
    <row r="50" ht="15" customHeight="1">
      <c r="A50" t="inlineStr">
        <is>
          <t>A 13564-2019</t>
        </is>
      </c>
      <c r="B50" s="1" t="n">
        <v>43530</v>
      </c>
      <c r="C50" s="1" t="n">
        <v>45355</v>
      </c>
      <c r="D50" t="inlineStr">
        <is>
          <t>VÄSTMANLANDS LÄN</t>
        </is>
      </c>
      <c r="E50" t="inlineStr">
        <is>
          <t>KÖPING</t>
        </is>
      </c>
      <c r="G50" t="n">
        <v>1.4</v>
      </c>
      <c r="H50" t="n">
        <v>0</v>
      </c>
      <c r="I50" t="n">
        <v>0</v>
      </c>
      <c r="J50" t="n">
        <v>0</v>
      </c>
      <c r="K50" t="n">
        <v>0</v>
      </c>
      <c r="L50" t="n">
        <v>0</v>
      </c>
      <c r="M50" t="n">
        <v>0</v>
      </c>
      <c r="N50" t="n">
        <v>0</v>
      </c>
      <c r="O50" t="n">
        <v>0</v>
      </c>
      <c r="P50" t="n">
        <v>0</v>
      </c>
      <c r="Q50" t="n">
        <v>0</v>
      </c>
      <c r="R50" s="2" t="inlineStr"/>
    </row>
    <row r="51" ht="15" customHeight="1">
      <c r="A51" t="inlineStr">
        <is>
          <t>A 14314-2019</t>
        </is>
      </c>
      <c r="B51" s="1" t="n">
        <v>43535</v>
      </c>
      <c r="C51" s="1" t="n">
        <v>45355</v>
      </c>
      <c r="D51" t="inlineStr">
        <is>
          <t>VÄSTMANLANDS LÄN</t>
        </is>
      </c>
      <c r="E51" t="inlineStr">
        <is>
          <t>KÖPING</t>
        </is>
      </c>
      <c r="G51" t="n">
        <v>3</v>
      </c>
      <c r="H51" t="n">
        <v>0</v>
      </c>
      <c r="I51" t="n">
        <v>0</v>
      </c>
      <c r="J51" t="n">
        <v>0</v>
      </c>
      <c r="K51" t="n">
        <v>0</v>
      </c>
      <c r="L51" t="n">
        <v>0</v>
      </c>
      <c r="M51" t="n">
        <v>0</v>
      </c>
      <c r="N51" t="n">
        <v>0</v>
      </c>
      <c r="O51" t="n">
        <v>0</v>
      </c>
      <c r="P51" t="n">
        <v>0</v>
      </c>
      <c r="Q51" t="n">
        <v>0</v>
      </c>
      <c r="R51" s="2" t="inlineStr"/>
    </row>
    <row r="52" ht="15" customHeight="1">
      <c r="A52" t="inlineStr">
        <is>
          <t>A 14313-2019</t>
        </is>
      </c>
      <c r="B52" s="1" t="n">
        <v>43535</v>
      </c>
      <c r="C52" s="1" t="n">
        <v>45355</v>
      </c>
      <c r="D52" t="inlineStr">
        <is>
          <t>VÄSTMANLANDS LÄN</t>
        </is>
      </c>
      <c r="E52" t="inlineStr">
        <is>
          <t>KÖPING</t>
        </is>
      </c>
      <c r="G52" t="n">
        <v>0.6</v>
      </c>
      <c r="H52" t="n">
        <v>0</v>
      </c>
      <c r="I52" t="n">
        <v>0</v>
      </c>
      <c r="J52" t="n">
        <v>0</v>
      </c>
      <c r="K52" t="n">
        <v>0</v>
      </c>
      <c r="L52" t="n">
        <v>0</v>
      </c>
      <c r="M52" t="n">
        <v>0</v>
      </c>
      <c r="N52" t="n">
        <v>0</v>
      </c>
      <c r="O52" t="n">
        <v>0</v>
      </c>
      <c r="P52" t="n">
        <v>0</v>
      </c>
      <c r="Q52" t="n">
        <v>0</v>
      </c>
      <c r="R52" s="2" t="inlineStr"/>
    </row>
    <row r="53" ht="15" customHeight="1">
      <c r="A53" t="inlineStr">
        <is>
          <t>A 14318-2019</t>
        </is>
      </c>
      <c r="B53" s="1" t="n">
        <v>43535</v>
      </c>
      <c r="C53" s="1" t="n">
        <v>45355</v>
      </c>
      <c r="D53" t="inlineStr">
        <is>
          <t>VÄSTMANLANDS LÄN</t>
        </is>
      </c>
      <c r="E53" t="inlineStr">
        <is>
          <t>KÖPING</t>
        </is>
      </c>
      <c r="G53" t="n">
        <v>0.3</v>
      </c>
      <c r="H53" t="n">
        <v>0</v>
      </c>
      <c r="I53" t="n">
        <v>0</v>
      </c>
      <c r="J53" t="n">
        <v>0</v>
      </c>
      <c r="K53" t="n">
        <v>0</v>
      </c>
      <c r="L53" t="n">
        <v>0</v>
      </c>
      <c r="M53" t="n">
        <v>0</v>
      </c>
      <c r="N53" t="n">
        <v>0</v>
      </c>
      <c r="O53" t="n">
        <v>0</v>
      </c>
      <c r="P53" t="n">
        <v>0</v>
      </c>
      <c r="Q53" t="n">
        <v>0</v>
      </c>
      <c r="R53" s="2" t="inlineStr"/>
    </row>
    <row r="54" ht="15" customHeight="1">
      <c r="A54" t="inlineStr">
        <is>
          <t>A 17915-2019</t>
        </is>
      </c>
      <c r="B54" s="1" t="n">
        <v>43557</v>
      </c>
      <c r="C54" s="1" t="n">
        <v>45355</v>
      </c>
      <c r="D54" t="inlineStr">
        <is>
          <t>VÄSTMANLANDS LÄN</t>
        </is>
      </c>
      <c r="E54" t="inlineStr">
        <is>
          <t>KÖPING</t>
        </is>
      </c>
      <c r="G54" t="n">
        <v>2.7</v>
      </c>
      <c r="H54" t="n">
        <v>0</v>
      </c>
      <c r="I54" t="n">
        <v>0</v>
      </c>
      <c r="J54" t="n">
        <v>0</v>
      </c>
      <c r="K54" t="n">
        <v>0</v>
      </c>
      <c r="L54" t="n">
        <v>0</v>
      </c>
      <c r="M54" t="n">
        <v>0</v>
      </c>
      <c r="N54" t="n">
        <v>0</v>
      </c>
      <c r="O54" t="n">
        <v>0</v>
      </c>
      <c r="P54" t="n">
        <v>0</v>
      </c>
      <c r="Q54" t="n">
        <v>0</v>
      </c>
      <c r="R54" s="2" t="inlineStr"/>
    </row>
    <row r="55" ht="15" customHeight="1">
      <c r="A55" t="inlineStr">
        <is>
          <t>A 24107-2019</t>
        </is>
      </c>
      <c r="B55" s="1" t="n">
        <v>43595</v>
      </c>
      <c r="C55" s="1" t="n">
        <v>45355</v>
      </c>
      <c r="D55" t="inlineStr">
        <is>
          <t>VÄSTMANLANDS LÄN</t>
        </is>
      </c>
      <c r="E55" t="inlineStr">
        <is>
          <t>KÖPING</t>
        </is>
      </c>
      <c r="G55" t="n">
        <v>5.6</v>
      </c>
      <c r="H55" t="n">
        <v>0</v>
      </c>
      <c r="I55" t="n">
        <v>0</v>
      </c>
      <c r="J55" t="n">
        <v>0</v>
      </c>
      <c r="K55" t="n">
        <v>0</v>
      </c>
      <c r="L55" t="n">
        <v>0</v>
      </c>
      <c r="M55" t="n">
        <v>0</v>
      </c>
      <c r="N55" t="n">
        <v>0</v>
      </c>
      <c r="O55" t="n">
        <v>0</v>
      </c>
      <c r="P55" t="n">
        <v>0</v>
      </c>
      <c r="Q55" t="n">
        <v>0</v>
      </c>
      <c r="R55" s="2" t="inlineStr"/>
    </row>
    <row r="56" ht="15" customHeight="1">
      <c r="A56" t="inlineStr">
        <is>
          <t>A 24017-2019</t>
        </is>
      </c>
      <c r="B56" s="1" t="n">
        <v>43598</v>
      </c>
      <c r="C56" s="1" t="n">
        <v>45355</v>
      </c>
      <c r="D56" t="inlineStr">
        <is>
          <t>VÄSTMANLANDS LÄN</t>
        </is>
      </c>
      <c r="E56" t="inlineStr">
        <is>
          <t>KÖPING</t>
        </is>
      </c>
      <c r="F56" t="inlineStr">
        <is>
          <t>Sveaskog</t>
        </is>
      </c>
      <c r="G56" t="n">
        <v>1.1</v>
      </c>
      <c r="H56" t="n">
        <v>0</v>
      </c>
      <c r="I56" t="n">
        <v>0</v>
      </c>
      <c r="J56" t="n">
        <v>0</v>
      </c>
      <c r="K56" t="n">
        <v>0</v>
      </c>
      <c r="L56" t="n">
        <v>0</v>
      </c>
      <c r="M56" t="n">
        <v>0</v>
      </c>
      <c r="N56" t="n">
        <v>0</v>
      </c>
      <c r="O56" t="n">
        <v>0</v>
      </c>
      <c r="P56" t="n">
        <v>0</v>
      </c>
      <c r="Q56" t="n">
        <v>0</v>
      </c>
      <c r="R56" s="2" t="inlineStr"/>
    </row>
    <row r="57" ht="15" customHeight="1">
      <c r="A57" t="inlineStr">
        <is>
          <t>A 24417-2019</t>
        </is>
      </c>
      <c r="B57" s="1" t="n">
        <v>43600</v>
      </c>
      <c r="C57" s="1" t="n">
        <v>45355</v>
      </c>
      <c r="D57" t="inlineStr">
        <is>
          <t>VÄSTMANLANDS LÄN</t>
        </is>
      </c>
      <c r="E57" t="inlineStr">
        <is>
          <t>KÖPING</t>
        </is>
      </c>
      <c r="G57" t="n">
        <v>2.8</v>
      </c>
      <c r="H57" t="n">
        <v>0</v>
      </c>
      <c r="I57" t="n">
        <v>0</v>
      </c>
      <c r="J57" t="n">
        <v>0</v>
      </c>
      <c r="K57" t="n">
        <v>0</v>
      </c>
      <c r="L57" t="n">
        <v>0</v>
      </c>
      <c r="M57" t="n">
        <v>0</v>
      </c>
      <c r="N57" t="n">
        <v>0</v>
      </c>
      <c r="O57" t="n">
        <v>0</v>
      </c>
      <c r="P57" t="n">
        <v>0</v>
      </c>
      <c r="Q57" t="n">
        <v>0</v>
      </c>
      <c r="R57" s="2" t="inlineStr"/>
    </row>
    <row r="58" ht="15" customHeight="1">
      <c r="A58" t="inlineStr">
        <is>
          <t>A 24909-2019</t>
        </is>
      </c>
      <c r="B58" s="1" t="n">
        <v>43602</v>
      </c>
      <c r="C58" s="1" t="n">
        <v>45355</v>
      </c>
      <c r="D58" t="inlineStr">
        <is>
          <t>VÄSTMANLANDS LÄN</t>
        </is>
      </c>
      <c r="E58" t="inlineStr">
        <is>
          <t>KÖPING</t>
        </is>
      </c>
      <c r="G58" t="n">
        <v>6.2</v>
      </c>
      <c r="H58" t="n">
        <v>0</v>
      </c>
      <c r="I58" t="n">
        <v>0</v>
      </c>
      <c r="J58" t="n">
        <v>0</v>
      </c>
      <c r="K58" t="n">
        <v>0</v>
      </c>
      <c r="L58" t="n">
        <v>0</v>
      </c>
      <c r="M58" t="n">
        <v>0</v>
      </c>
      <c r="N58" t="n">
        <v>0</v>
      </c>
      <c r="O58" t="n">
        <v>0</v>
      </c>
      <c r="P58" t="n">
        <v>0</v>
      </c>
      <c r="Q58" t="n">
        <v>0</v>
      </c>
      <c r="R58" s="2" t="inlineStr"/>
    </row>
    <row r="59" ht="15" customHeight="1">
      <c r="A59" t="inlineStr">
        <is>
          <t>A 25741-2019</t>
        </is>
      </c>
      <c r="B59" s="1" t="n">
        <v>43608</v>
      </c>
      <c r="C59" s="1" t="n">
        <v>45355</v>
      </c>
      <c r="D59" t="inlineStr">
        <is>
          <t>VÄSTMANLANDS LÄN</t>
        </is>
      </c>
      <c r="E59" t="inlineStr">
        <is>
          <t>KÖPING</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26414-2019</t>
        </is>
      </c>
      <c r="B60" s="1" t="n">
        <v>43612</v>
      </c>
      <c r="C60" s="1" t="n">
        <v>45355</v>
      </c>
      <c r="D60" t="inlineStr">
        <is>
          <t>VÄSTMANLANDS LÄN</t>
        </is>
      </c>
      <c r="E60" t="inlineStr">
        <is>
          <t>KÖPING</t>
        </is>
      </c>
      <c r="G60" t="n">
        <v>1.2</v>
      </c>
      <c r="H60" t="n">
        <v>0</v>
      </c>
      <c r="I60" t="n">
        <v>0</v>
      </c>
      <c r="J60" t="n">
        <v>0</v>
      </c>
      <c r="K60" t="n">
        <v>0</v>
      </c>
      <c r="L60" t="n">
        <v>0</v>
      </c>
      <c r="M60" t="n">
        <v>0</v>
      </c>
      <c r="N60" t="n">
        <v>0</v>
      </c>
      <c r="O60" t="n">
        <v>0</v>
      </c>
      <c r="P60" t="n">
        <v>0</v>
      </c>
      <c r="Q60" t="n">
        <v>0</v>
      </c>
      <c r="R60" s="2" t="inlineStr"/>
    </row>
    <row r="61" ht="15" customHeight="1">
      <c r="A61" t="inlineStr">
        <is>
          <t>A 27182-2019</t>
        </is>
      </c>
      <c r="B61" s="1" t="n">
        <v>43614</v>
      </c>
      <c r="C61" s="1" t="n">
        <v>45355</v>
      </c>
      <c r="D61" t="inlineStr">
        <is>
          <t>VÄSTMANLANDS LÄN</t>
        </is>
      </c>
      <c r="E61" t="inlineStr">
        <is>
          <t>KÖPING</t>
        </is>
      </c>
      <c r="G61" t="n">
        <v>6</v>
      </c>
      <c r="H61" t="n">
        <v>0</v>
      </c>
      <c r="I61" t="n">
        <v>0</v>
      </c>
      <c r="J61" t="n">
        <v>0</v>
      </c>
      <c r="K61" t="n">
        <v>0</v>
      </c>
      <c r="L61" t="n">
        <v>0</v>
      </c>
      <c r="M61" t="n">
        <v>0</v>
      </c>
      <c r="N61" t="n">
        <v>0</v>
      </c>
      <c r="O61" t="n">
        <v>0</v>
      </c>
      <c r="P61" t="n">
        <v>0</v>
      </c>
      <c r="Q61" t="n">
        <v>0</v>
      </c>
      <c r="R61" s="2" t="inlineStr"/>
    </row>
    <row r="62" ht="15" customHeight="1">
      <c r="A62" t="inlineStr">
        <is>
          <t>A 27381-2019</t>
        </is>
      </c>
      <c r="B62" s="1" t="n">
        <v>43616</v>
      </c>
      <c r="C62" s="1" t="n">
        <v>45355</v>
      </c>
      <c r="D62" t="inlineStr">
        <is>
          <t>VÄSTMANLANDS LÄN</t>
        </is>
      </c>
      <c r="E62" t="inlineStr">
        <is>
          <t>KÖPING</t>
        </is>
      </c>
      <c r="G62" t="n">
        <v>3.3</v>
      </c>
      <c r="H62" t="n">
        <v>0</v>
      </c>
      <c r="I62" t="n">
        <v>0</v>
      </c>
      <c r="J62" t="n">
        <v>0</v>
      </c>
      <c r="K62" t="n">
        <v>0</v>
      </c>
      <c r="L62" t="n">
        <v>0</v>
      </c>
      <c r="M62" t="n">
        <v>0</v>
      </c>
      <c r="N62" t="n">
        <v>0</v>
      </c>
      <c r="O62" t="n">
        <v>0</v>
      </c>
      <c r="P62" t="n">
        <v>0</v>
      </c>
      <c r="Q62" t="n">
        <v>0</v>
      </c>
      <c r="R62" s="2" t="inlineStr"/>
    </row>
    <row r="63" ht="15" customHeight="1">
      <c r="A63" t="inlineStr">
        <is>
          <t>A 27391-2019</t>
        </is>
      </c>
      <c r="B63" s="1" t="n">
        <v>43616</v>
      </c>
      <c r="C63" s="1" t="n">
        <v>45355</v>
      </c>
      <c r="D63" t="inlineStr">
        <is>
          <t>VÄSTMANLANDS LÄN</t>
        </is>
      </c>
      <c r="E63" t="inlineStr">
        <is>
          <t>KÖPING</t>
        </is>
      </c>
      <c r="G63" t="n">
        <v>2.1</v>
      </c>
      <c r="H63" t="n">
        <v>0</v>
      </c>
      <c r="I63" t="n">
        <v>0</v>
      </c>
      <c r="J63" t="n">
        <v>0</v>
      </c>
      <c r="K63" t="n">
        <v>0</v>
      </c>
      <c r="L63" t="n">
        <v>0</v>
      </c>
      <c r="M63" t="n">
        <v>0</v>
      </c>
      <c r="N63" t="n">
        <v>0</v>
      </c>
      <c r="O63" t="n">
        <v>0</v>
      </c>
      <c r="P63" t="n">
        <v>0</v>
      </c>
      <c r="Q63" t="n">
        <v>0</v>
      </c>
      <c r="R63" s="2" t="inlineStr"/>
    </row>
    <row r="64" ht="15" customHeight="1">
      <c r="A64" t="inlineStr">
        <is>
          <t>A 27914-2019</t>
        </is>
      </c>
      <c r="B64" s="1" t="n">
        <v>43620</v>
      </c>
      <c r="C64" s="1" t="n">
        <v>45355</v>
      </c>
      <c r="D64" t="inlineStr">
        <is>
          <t>VÄSTMANLANDS LÄN</t>
        </is>
      </c>
      <c r="E64" t="inlineStr">
        <is>
          <t>KÖPING</t>
        </is>
      </c>
      <c r="G64" t="n">
        <v>7.6</v>
      </c>
      <c r="H64" t="n">
        <v>0</v>
      </c>
      <c r="I64" t="n">
        <v>0</v>
      </c>
      <c r="J64" t="n">
        <v>0</v>
      </c>
      <c r="K64" t="n">
        <v>0</v>
      </c>
      <c r="L64" t="n">
        <v>0</v>
      </c>
      <c r="M64" t="n">
        <v>0</v>
      </c>
      <c r="N64" t="n">
        <v>0</v>
      </c>
      <c r="O64" t="n">
        <v>0</v>
      </c>
      <c r="P64" t="n">
        <v>0</v>
      </c>
      <c r="Q64" t="n">
        <v>0</v>
      </c>
      <c r="R64" s="2" t="inlineStr"/>
    </row>
    <row r="65" ht="15" customHeight="1">
      <c r="A65" t="inlineStr">
        <is>
          <t>A 28189-2019</t>
        </is>
      </c>
      <c r="B65" s="1" t="n">
        <v>43621</v>
      </c>
      <c r="C65" s="1" t="n">
        <v>45355</v>
      </c>
      <c r="D65" t="inlineStr">
        <is>
          <t>VÄSTMANLANDS LÄN</t>
        </is>
      </c>
      <c r="E65" t="inlineStr">
        <is>
          <t>KÖPING</t>
        </is>
      </c>
      <c r="G65" t="n">
        <v>1.8</v>
      </c>
      <c r="H65" t="n">
        <v>0</v>
      </c>
      <c r="I65" t="n">
        <v>0</v>
      </c>
      <c r="J65" t="n">
        <v>0</v>
      </c>
      <c r="K65" t="n">
        <v>0</v>
      </c>
      <c r="L65" t="n">
        <v>0</v>
      </c>
      <c r="M65" t="n">
        <v>0</v>
      </c>
      <c r="N65" t="n">
        <v>0</v>
      </c>
      <c r="O65" t="n">
        <v>0</v>
      </c>
      <c r="P65" t="n">
        <v>0</v>
      </c>
      <c r="Q65" t="n">
        <v>0</v>
      </c>
      <c r="R65" s="2" t="inlineStr"/>
    </row>
    <row r="66" ht="15" customHeight="1">
      <c r="A66" t="inlineStr">
        <is>
          <t>A 28359-2019</t>
        </is>
      </c>
      <c r="B66" s="1" t="n">
        <v>43625</v>
      </c>
      <c r="C66" s="1" t="n">
        <v>45355</v>
      </c>
      <c r="D66" t="inlineStr">
        <is>
          <t>VÄSTMANLANDS LÄN</t>
        </is>
      </c>
      <c r="E66" t="inlineStr">
        <is>
          <t>KÖPING</t>
        </is>
      </c>
      <c r="F66" t="inlineStr">
        <is>
          <t>Sveaskog</t>
        </is>
      </c>
      <c r="G66" t="n">
        <v>1.1</v>
      </c>
      <c r="H66" t="n">
        <v>0</v>
      </c>
      <c r="I66" t="n">
        <v>0</v>
      </c>
      <c r="J66" t="n">
        <v>0</v>
      </c>
      <c r="K66" t="n">
        <v>0</v>
      </c>
      <c r="L66" t="n">
        <v>0</v>
      </c>
      <c r="M66" t="n">
        <v>0</v>
      </c>
      <c r="N66" t="n">
        <v>0</v>
      </c>
      <c r="O66" t="n">
        <v>0</v>
      </c>
      <c r="P66" t="n">
        <v>0</v>
      </c>
      <c r="Q66" t="n">
        <v>0</v>
      </c>
      <c r="R66" s="2" t="inlineStr"/>
    </row>
    <row r="67" ht="15" customHeight="1">
      <c r="A67" t="inlineStr">
        <is>
          <t>A 31641-2019</t>
        </is>
      </c>
      <c r="B67" s="1" t="n">
        <v>43640</v>
      </c>
      <c r="C67" s="1" t="n">
        <v>45355</v>
      </c>
      <c r="D67" t="inlineStr">
        <is>
          <t>VÄSTMANLANDS LÄN</t>
        </is>
      </c>
      <c r="E67" t="inlineStr">
        <is>
          <t>KÖPING</t>
        </is>
      </c>
      <c r="G67" t="n">
        <v>1.6</v>
      </c>
      <c r="H67" t="n">
        <v>0</v>
      </c>
      <c r="I67" t="n">
        <v>0</v>
      </c>
      <c r="J67" t="n">
        <v>0</v>
      </c>
      <c r="K67" t="n">
        <v>0</v>
      </c>
      <c r="L67" t="n">
        <v>0</v>
      </c>
      <c r="M67" t="n">
        <v>0</v>
      </c>
      <c r="N67" t="n">
        <v>0</v>
      </c>
      <c r="O67" t="n">
        <v>0</v>
      </c>
      <c r="P67" t="n">
        <v>0</v>
      </c>
      <c r="Q67" t="n">
        <v>0</v>
      </c>
      <c r="R67" s="2" t="inlineStr"/>
    </row>
    <row r="68" ht="15" customHeight="1">
      <c r="A68" t="inlineStr">
        <is>
          <t>A 32448-2019</t>
        </is>
      </c>
      <c r="B68" s="1" t="n">
        <v>43644</v>
      </c>
      <c r="C68" s="1" t="n">
        <v>45355</v>
      </c>
      <c r="D68" t="inlineStr">
        <is>
          <t>VÄSTMANLANDS LÄN</t>
        </is>
      </c>
      <c r="E68" t="inlineStr">
        <is>
          <t>KÖPING</t>
        </is>
      </c>
      <c r="G68" t="n">
        <v>5.6</v>
      </c>
      <c r="H68" t="n">
        <v>0</v>
      </c>
      <c r="I68" t="n">
        <v>0</v>
      </c>
      <c r="J68" t="n">
        <v>0</v>
      </c>
      <c r="K68" t="n">
        <v>0</v>
      </c>
      <c r="L68" t="n">
        <v>0</v>
      </c>
      <c r="M68" t="n">
        <v>0</v>
      </c>
      <c r="N68" t="n">
        <v>0</v>
      </c>
      <c r="O68" t="n">
        <v>0</v>
      </c>
      <c r="P68" t="n">
        <v>0</v>
      </c>
      <c r="Q68" t="n">
        <v>0</v>
      </c>
      <c r="R68" s="2" t="inlineStr"/>
    </row>
    <row r="69" ht="15" customHeight="1">
      <c r="A69" t="inlineStr">
        <is>
          <t>A 33758-2019</t>
        </is>
      </c>
      <c r="B69" s="1" t="n">
        <v>43651</v>
      </c>
      <c r="C69" s="1" t="n">
        <v>45355</v>
      </c>
      <c r="D69" t="inlineStr">
        <is>
          <t>VÄSTMANLANDS LÄN</t>
        </is>
      </c>
      <c r="E69" t="inlineStr">
        <is>
          <t>KÖPING</t>
        </is>
      </c>
      <c r="G69" t="n">
        <v>1.4</v>
      </c>
      <c r="H69" t="n">
        <v>0</v>
      </c>
      <c r="I69" t="n">
        <v>0</v>
      </c>
      <c r="J69" t="n">
        <v>0</v>
      </c>
      <c r="K69" t="n">
        <v>0</v>
      </c>
      <c r="L69" t="n">
        <v>0</v>
      </c>
      <c r="M69" t="n">
        <v>0</v>
      </c>
      <c r="N69" t="n">
        <v>0</v>
      </c>
      <c r="O69" t="n">
        <v>0</v>
      </c>
      <c r="P69" t="n">
        <v>0</v>
      </c>
      <c r="Q69" t="n">
        <v>0</v>
      </c>
      <c r="R69" s="2" t="inlineStr"/>
    </row>
    <row r="70" ht="15" customHeight="1">
      <c r="A70" t="inlineStr">
        <is>
          <t>A 33782-2019</t>
        </is>
      </c>
      <c r="B70" s="1" t="n">
        <v>43651</v>
      </c>
      <c r="C70" s="1" t="n">
        <v>45355</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34010-2019</t>
        </is>
      </c>
      <c r="B71" s="1" t="n">
        <v>43654</v>
      </c>
      <c r="C71" s="1" t="n">
        <v>45355</v>
      </c>
      <c r="D71" t="inlineStr">
        <is>
          <t>VÄSTMANLANDS LÄN</t>
        </is>
      </c>
      <c r="E71" t="inlineStr">
        <is>
          <t>KÖPING</t>
        </is>
      </c>
      <c r="G71" t="n">
        <v>0.4</v>
      </c>
      <c r="H71" t="n">
        <v>0</v>
      </c>
      <c r="I71" t="n">
        <v>0</v>
      </c>
      <c r="J71" t="n">
        <v>0</v>
      </c>
      <c r="K71" t="n">
        <v>0</v>
      </c>
      <c r="L71" t="n">
        <v>0</v>
      </c>
      <c r="M71" t="n">
        <v>0</v>
      </c>
      <c r="N71" t="n">
        <v>0</v>
      </c>
      <c r="O71" t="n">
        <v>0</v>
      </c>
      <c r="P71" t="n">
        <v>0</v>
      </c>
      <c r="Q71" t="n">
        <v>0</v>
      </c>
      <c r="R71" s="2" t="inlineStr"/>
    </row>
    <row r="72" ht="15" customHeight="1">
      <c r="A72" t="inlineStr">
        <is>
          <t>A 35787-2019</t>
        </is>
      </c>
      <c r="B72" s="1" t="n">
        <v>43656</v>
      </c>
      <c r="C72" s="1" t="n">
        <v>45355</v>
      </c>
      <c r="D72" t="inlineStr">
        <is>
          <t>VÄSTMANLANDS LÄN</t>
        </is>
      </c>
      <c r="E72" t="inlineStr">
        <is>
          <t>KÖPING</t>
        </is>
      </c>
      <c r="G72" t="n">
        <v>0.9</v>
      </c>
      <c r="H72" t="n">
        <v>0</v>
      </c>
      <c r="I72" t="n">
        <v>0</v>
      </c>
      <c r="J72" t="n">
        <v>0</v>
      </c>
      <c r="K72" t="n">
        <v>0</v>
      </c>
      <c r="L72" t="n">
        <v>0</v>
      </c>
      <c r="M72" t="n">
        <v>0</v>
      </c>
      <c r="N72" t="n">
        <v>0</v>
      </c>
      <c r="O72" t="n">
        <v>0</v>
      </c>
      <c r="P72" t="n">
        <v>0</v>
      </c>
      <c r="Q72" t="n">
        <v>0</v>
      </c>
      <c r="R72" s="2" t="inlineStr"/>
    </row>
    <row r="73" ht="15" customHeight="1">
      <c r="A73" t="inlineStr">
        <is>
          <t>A 35779-2019</t>
        </is>
      </c>
      <c r="B73" s="1" t="n">
        <v>43656</v>
      </c>
      <c r="C73" s="1" t="n">
        <v>45355</v>
      </c>
      <c r="D73" t="inlineStr">
        <is>
          <t>VÄSTMANLANDS LÄN</t>
        </is>
      </c>
      <c r="E73" t="inlineStr">
        <is>
          <t>KÖPING</t>
        </is>
      </c>
      <c r="G73" t="n">
        <v>0.6</v>
      </c>
      <c r="H73" t="n">
        <v>0</v>
      </c>
      <c r="I73" t="n">
        <v>0</v>
      </c>
      <c r="J73" t="n">
        <v>0</v>
      </c>
      <c r="K73" t="n">
        <v>0</v>
      </c>
      <c r="L73" t="n">
        <v>0</v>
      </c>
      <c r="M73" t="n">
        <v>0</v>
      </c>
      <c r="N73" t="n">
        <v>0</v>
      </c>
      <c r="O73" t="n">
        <v>0</v>
      </c>
      <c r="P73" t="n">
        <v>0</v>
      </c>
      <c r="Q73" t="n">
        <v>0</v>
      </c>
      <c r="R73" s="2" t="inlineStr"/>
    </row>
    <row r="74" ht="15" customHeight="1">
      <c r="A74" t="inlineStr">
        <is>
          <t>A 35939-2019</t>
        </is>
      </c>
      <c r="B74" s="1" t="n">
        <v>43665</v>
      </c>
      <c r="C74" s="1" t="n">
        <v>45355</v>
      </c>
      <c r="D74" t="inlineStr">
        <is>
          <t>VÄSTMANLANDS LÄN</t>
        </is>
      </c>
      <c r="E74" t="inlineStr">
        <is>
          <t>KÖPING</t>
        </is>
      </c>
      <c r="F74" t="inlineStr">
        <is>
          <t>Sveaskog</t>
        </is>
      </c>
      <c r="G74" t="n">
        <v>4.1</v>
      </c>
      <c r="H74" t="n">
        <v>0</v>
      </c>
      <c r="I74" t="n">
        <v>0</v>
      </c>
      <c r="J74" t="n">
        <v>0</v>
      </c>
      <c r="K74" t="n">
        <v>0</v>
      </c>
      <c r="L74" t="n">
        <v>0</v>
      </c>
      <c r="M74" t="n">
        <v>0</v>
      </c>
      <c r="N74" t="n">
        <v>0</v>
      </c>
      <c r="O74" t="n">
        <v>0</v>
      </c>
      <c r="P74" t="n">
        <v>0</v>
      </c>
      <c r="Q74" t="n">
        <v>0</v>
      </c>
      <c r="R74" s="2" t="inlineStr"/>
    </row>
    <row r="75" ht="15" customHeight="1">
      <c r="A75" t="inlineStr">
        <is>
          <t>A 38489-2019</t>
        </is>
      </c>
      <c r="B75" s="1" t="n">
        <v>43685</v>
      </c>
      <c r="C75" s="1" t="n">
        <v>45355</v>
      </c>
      <c r="D75" t="inlineStr">
        <is>
          <t>VÄSTMANLANDS LÄN</t>
        </is>
      </c>
      <c r="E75" t="inlineStr">
        <is>
          <t>KÖPING</t>
        </is>
      </c>
      <c r="G75" t="n">
        <v>2.5</v>
      </c>
      <c r="H75" t="n">
        <v>0</v>
      </c>
      <c r="I75" t="n">
        <v>0</v>
      </c>
      <c r="J75" t="n">
        <v>0</v>
      </c>
      <c r="K75" t="n">
        <v>0</v>
      </c>
      <c r="L75" t="n">
        <v>0</v>
      </c>
      <c r="M75" t="n">
        <v>0</v>
      </c>
      <c r="N75" t="n">
        <v>0</v>
      </c>
      <c r="O75" t="n">
        <v>0</v>
      </c>
      <c r="P75" t="n">
        <v>0</v>
      </c>
      <c r="Q75" t="n">
        <v>0</v>
      </c>
      <c r="R75" s="2" t="inlineStr"/>
    </row>
    <row r="76" ht="15" customHeight="1">
      <c r="A76" t="inlineStr">
        <is>
          <t>A 38487-2019</t>
        </is>
      </c>
      <c r="B76" s="1" t="n">
        <v>43685</v>
      </c>
      <c r="C76" s="1" t="n">
        <v>45355</v>
      </c>
      <c r="D76" t="inlineStr">
        <is>
          <t>VÄSTMANLANDS LÄN</t>
        </is>
      </c>
      <c r="E76" t="inlineStr">
        <is>
          <t>KÖPING</t>
        </is>
      </c>
      <c r="G76" t="n">
        <v>4.6</v>
      </c>
      <c r="H76" t="n">
        <v>0</v>
      </c>
      <c r="I76" t="n">
        <v>0</v>
      </c>
      <c r="J76" t="n">
        <v>0</v>
      </c>
      <c r="K76" t="n">
        <v>0</v>
      </c>
      <c r="L76" t="n">
        <v>0</v>
      </c>
      <c r="M76" t="n">
        <v>0</v>
      </c>
      <c r="N76" t="n">
        <v>0</v>
      </c>
      <c r="O76" t="n">
        <v>0</v>
      </c>
      <c r="P76" t="n">
        <v>0</v>
      </c>
      <c r="Q76" t="n">
        <v>0</v>
      </c>
      <c r="R76" s="2" t="inlineStr"/>
    </row>
    <row r="77" ht="15" customHeight="1">
      <c r="A77" t="inlineStr">
        <is>
          <t>A 39803-2019</t>
        </is>
      </c>
      <c r="B77" s="1" t="n">
        <v>43692</v>
      </c>
      <c r="C77" s="1" t="n">
        <v>45355</v>
      </c>
      <c r="D77" t="inlineStr">
        <is>
          <t>VÄSTMANLANDS LÄN</t>
        </is>
      </c>
      <c r="E77" t="inlineStr">
        <is>
          <t>KÖPING</t>
        </is>
      </c>
      <c r="G77" t="n">
        <v>1.1</v>
      </c>
      <c r="H77" t="n">
        <v>0</v>
      </c>
      <c r="I77" t="n">
        <v>0</v>
      </c>
      <c r="J77" t="n">
        <v>0</v>
      </c>
      <c r="K77" t="n">
        <v>0</v>
      </c>
      <c r="L77" t="n">
        <v>0</v>
      </c>
      <c r="M77" t="n">
        <v>0</v>
      </c>
      <c r="N77" t="n">
        <v>0</v>
      </c>
      <c r="O77" t="n">
        <v>0</v>
      </c>
      <c r="P77" t="n">
        <v>0</v>
      </c>
      <c r="Q77" t="n">
        <v>0</v>
      </c>
      <c r="R77" s="2" t="inlineStr"/>
    </row>
    <row r="78" ht="15" customHeight="1">
      <c r="A78" t="inlineStr">
        <is>
          <t>A 40923-2019</t>
        </is>
      </c>
      <c r="B78" s="1" t="n">
        <v>43697</v>
      </c>
      <c r="C78" s="1" t="n">
        <v>45355</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40925-2019</t>
        </is>
      </c>
      <c r="B79" s="1" t="n">
        <v>43697</v>
      </c>
      <c r="C79" s="1" t="n">
        <v>45355</v>
      </c>
      <c r="D79" t="inlineStr">
        <is>
          <t>VÄSTMANLANDS LÄN</t>
        </is>
      </c>
      <c r="E79" t="inlineStr">
        <is>
          <t>KÖPING</t>
        </is>
      </c>
      <c r="F79" t="inlineStr">
        <is>
          <t>Sveaskog</t>
        </is>
      </c>
      <c r="G79" t="n">
        <v>0.9</v>
      </c>
      <c r="H79" t="n">
        <v>0</v>
      </c>
      <c r="I79" t="n">
        <v>0</v>
      </c>
      <c r="J79" t="n">
        <v>0</v>
      </c>
      <c r="K79" t="n">
        <v>0</v>
      </c>
      <c r="L79" t="n">
        <v>0</v>
      </c>
      <c r="M79" t="n">
        <v>0</v>
      </c>
      <c r="N79" t="n">
        <v>0</v>
      </c>
      <c r="O79" t="n">
        <v>0</v>
      </c>
      <c r="P79" t="n">
        <v>0</v>
      </c>
      <c r="Q79" t="n">
        <v>0</v>
      </c>
      <c r="R79" s="2" t="inlineStr"/>
    </row>
    <row r="80" ht="15" customHeight="1">
      <c r="A80" t="inlineStr">
        <is>
          <t>A 41568-2019</t>
        </is>
      </c>
      <c r="B80" s="1" t="n">
        <v>43699</v>
      </c>
      <c r="C80" s="1" t="n">
        <v>45355</v>
      </c>
      <c r="D80" t="inlineStr">
        <is>
          <t>VÄSTMANLANDS LÄN</t>
        </is>
      </c>
      <c r="E80" t="inlineStr">
        <is>
          <t>KÖPING</t>
        </is>
      </c>
      <c r="G80" t="n">
        <v>7.3</v>
      </c>
      <c r="H80" t="n">
        <v>0</v>
      </c>
      <c r="I80" t="n">
        <v>0</v>
      </c>
      <c r="J80" t="n">
        <v>0</v>
      </c>
      <c r="K80" t="n">
        <v>0</v>
      </c>
      <c r="L80" t="n">
        <v>0</v>
      </c>
      <c r="M80" t="n">
        <v>0</v>
      </c>
      <c r="N80" t="n">
        <v>0</v>
      </c>
      <c r="O80" t="n">
        <v>0</v>
      </c>
      <c r="P80" t="n">
        <v>0</v>
      </c>
      <c r="Q80" t="n">
        <v>0</v>
      </c>
      <c r="R80" s="2" t="inlineStr"/>
    </row>
    <row r="81" ht="15" customHeight="1">
      <c r="A81" t="inlineStr">
        <is>
          <t>A 42438-2019</t>
        </is>
      </c>
      <c r="B81" s="1" t="n">
        <v>43704</v>
      </c>
      <c r="C81" s="1" t="n">
        <v>45355</v>
      </c>
      <c r="D81" t="inlineStr">
        <is>
          <t>VÄSTMANLANDS LÄN</t>
        </is>
      </c>
      <c r="E81" t="inlineStr">
        <is>
          <t>KÖPING</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42437-2019</t>
        </is>
      </c>
      <c r="B82" s="1" t="n">
        <v>43704</v>
      </c>
      <c r="C82" s="1" t="n">
        <v>45355</v>
      </c>
      <c r="D82" t="inlineStr">
        <is>
          <t>VÄSTMANLANDS LÄN</t>
        </is>
      </c>
      <c r="E82" t="inlineStr">
        <is>
          <t>KÖPING</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42450-2019</t>
        </is>
      </c>
      <c r="B83" s="1" t="n">
        <v>43704</v>
      </c>
      <c r="C83" s="1" t="n">
        <v>45355</v>
      </c>
      <c r="D83" t="inlineStr">
        <is>
          <t>VÄSTMANLANDS LÄN</t>
        </is>
      </c>
      <c r="E83" t="inlineStr">
        <is>
          <t>KÖPING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42480-2019</t>
        </is>
      </c>
      <c r="B84" s="1" t="n">
        <v>43704</v>
      </c>
      <c r="C84" s="1" t="n">
        <v>45355</v>
      </c>
      <c r="D84" t="inlineStr">
        <is>
          <t>VÄSTMANLANDS LÄN</t>
        </is>
      </c>
      <c r="E84" t="inlineStr">
        <is>
          <t>KÖPING</t>
        </is>
      </c>
      <c r="F84" t="inlineStr">
        <is>
          <t>Sveaskog</t>
        </is>
      </c>
      <c r="G84" t="n">
        <v>1.6</v>
      </c>
      <c r="H84" t="n">
        <v>0</v>
      </c>
      <c r="I84" t="n">
        <v>0</v>
      </c>
      <c r="J84" t="n">
        <v>0</v>
      </c>
      <c r="K84" t="n">
        <v>0</v>
      </c>
      <c r="L84" t="n">
        <v>0</v>
      </c>
      <c r="M84" t="n">
        <v>0</v>
      </c>
      <c r="N84" t="n">
        <v>0</v>
      </c>
      <c r="O84" t="n">
        <v>0</v>
      </c>
      <c r="P84" t="n">
        <v>0</v>
      </c>
      <c r="Q84" t="n">
        <v>0</v>
      </c>
      <c r="R84" s="2" t="inlineStr"/>
    </row>
    <row r="85" ht="15" customHeight="1">
      <c r="A85" t="inlineStr">
        <is>
          <t>A 46303-2019</t>
        </is>
      </c>
      <c r="B85" s="1" t="n">
        <v>43718</v>
      </c>
      <c r="C85" s="1" t="n">
        <v>45355</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46306-2019</t>
        </is>
      </c>
      <c r="B86" s="1" t="n">
        <v>43718</v>
      </c>
      <c r="C86" s="1" t="n">
        <v>45355</v>
      </c>
      <c r="D86" t="inlineStr">
        <is>
          <t>VÄSTMANLANDS LÄN</t>
        </is>
      </c>
      <c r="E86" t="inlineStr">
        <is>
          <t>KÖPING</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49968-2019</t>
        </is>
      </c>
      <c r="B87" s="1" t="n">
        <v>43733</v>
      </c>
      <c r="C87" s="1" t="n">
        <v>45355</v>
      </c>
      <c r="D87" t="inlineStr">
        <is>
          <t>VÄSTMANLANDS LÄN</t>
        </is>
      </c>
      <c r="E87" t="inlineStr">
        <is>
          <t>KÖPING</t>
        </is>
      </c>
      <c r="G87" t="n">
        <v>2.2</v>
      </c>
      <c r="H87" t="n">
        <v>0</v>
      </c>
      <c r="I87" t="n">
        <v>0</v>
      </c>
      <c r="J87" t="n">
        <v>0</v>
      </c>
      <c r="K87" t="n">
        <v>0</v>
      </c>
      <c r="L87" t="n">
        <v>0</v>
      </c>
      <c r="M87" t="n">
        <v>0</v>
      </c>
      <c r="N87" t="n">
        <v>0</v>
      </c>
      <c r="O87" t="n">
        <v>0</v>
      </c>
      <c r="P87" t="n">
        <v>0</v>
      </c>
      <c r="Q87" t="n">
        <v>0</v>
      </c>
      <c r="R87" s="2" t="inlineStr"/>
    </row>
    <row r="88" ht="15" customHeight="1">
      <c r="A88" t="inlineStr">
        <is>
          <t>A 49821-2019</t>
        </is>
      </c>
      <c r="B88" s="1" t="n">
        <v>43733</v>
      </c>
      <c r="C88" s="1" t="n">
        <v>45355</v>
      </c>
      <c r="D88" t="inlineStr">
        <is>
          <t>VÄSTMANLANDS LÄN</t>
        </is>
      </c>
      <c r="E88" t="inlineStr">
        <is>
          <t>KÖPING</t>
        </is>
      </c>
      <c r="G88" t="n">
        <v>0.7</v>
      </c>
      <c r="H88" t="n">
        <v>0</v>
      </c>
      <c r="I88" t="n">
        <v>0</v>
      </c>
      <c r="J88" t="n">
        <v>0</v>
      </c>
      <c r="K88" t="n">
        <v>0</v>
      </c>
      <c r="L88" t="n">
        <v>0</v>
      </c>
      <c r="M88" t="n">
        <v>0</v>
      </c>
      <c r="N88" t="n">
        <v>0</v>
      </c>
      <c r="O88" t="n">
        <v>0</v>
      </c>
      <c r="P88" t="n">
        <v>0</v>
      </c>
      <c r="Q88" t="n">
        <v>0</v>
      </c>
      <c r="R88" s="2" t="inlineStr"/>
    </row>
    <row r="89" ht="15" customHeight="1">
      <c r="A89" t="inlineStr">
        <is>
          <t>A 52788-2019</t>
        </is>
      </c>
      <c r="B89" s="1" t="n">
        <v>43739</v>
      </c>
      <c r="C89" s="1" t="n">
        <v>45355</v>
      </c>
      <c r="D89" t="inlineStr">
        <is>
          <t>VÄSTMANLANDS LÄN</t>
        </is>
      </c>
      <c r="E89" t="inlineStr">
        <is>
          <t>KÖPING</t>
        </is>
      </c>
      <c r="G89" t="n">
        <v>0.6</v>
      </c>
      <c r="H89" t="n">
        <v>0</v>
      </c>
      <c r="I89" t="n">
        <v>0</v>
      </c>
      <c r="J89" t="n">
        <v>0</v>
      </c>
      <c r="K89" t="n">
        <v>0</v>
      </c>
      <c r="L89" t="n">
        <v>0</v>
      </c>
      <c r="M89" t="n">
        <v>0</v>
      </c>
      <c r="N89" t="n">
        <v>0</v>
      </c>
      <c r="O89" t="n">
        <v>0</v>
      </c>
      <c r="P89" t="n">
        <v>0</v>
      </c>
      <c r="Q89" t="n">
        <v>0</v>
      </c>
      <c r="R89" s="2" t="inlineStr"/>
    </row>
    <row r="90" ht="15" customHeight="1">
      <c r="A90" t="inlineStr">
        <is>
          <t>A 51647-2019</t>
        </is>
      </c>
      <c r="B90" s="1" t="n">
        <v>43740</v>
      </c>
      <c r="C90" s="1" t="n">
        <v>45355</v>
      </c>
      <c r="D90" t="inlineStr">
        <is>
          <t>VÄSTMANLANDS LÄN</t>
        </is>
      </c>
      <c r="E90" t="inlineStr">
        <is>
          <t>KÖPING</t>
        </is>
      </c>
      <c r="G90" t="n">
        <v>1.2</v>
      </c>
      <c r="H90" t="n">
        <v>0</v>
      </c>
      <c r="I90" t="n">
        <v>0</v>
      </c>
      <c r="J90" t="n">
        <v>0</v>
      </c>
      <c r="K90" t="n">
        <v>0</v>
      </c>
      <c r="L90" t="n">
        <v>0</v>
      </c>
      <c r="M90" t="n">
        <v>0</v>
      </c>
      <c r="N90" t="n">
        <v>0</v>
      </c>
      <c r="O90" t="n">
        <v>0</v>
      </c>
      <c r="P90" t="n">
        <v>0</v>
      </c>
      <c r="Q90" t="n">
        <v>0</v>
      </c>
      <c r="R90" s="2" t="inlineStr"/>
    </row>
    <row r="91" ht="15" customHeight="1">
      <c r="A91" t="inlineStr">
        <is>
          <t>A 51769-2019</t>
        </is>
      </c>
      <c r="B91" s="1" t="n">
        <v>43741</v>
      </c>
      <c r="C91" s="1" t="n">
        <v>45355</v>
      </c>
      <c r="D91" t="inlineStr">
        <is>
          <t>VÄSTMANLANDS LÄN</t>
        </is>
      </c>
      <c r="E91" t="inlineStr">
        <is>
          <t>KÖPING</t>
        </is>
      </c>
      <c r="G91" t="n">
        <v>0.5</v>
      </c>
      <c r="H91" t="n">
        <v>0</v>
      </c>
      <c r="I91" t="n">
        <v>0</v>
      </c>
      <c r="J91" t="n">
        <v>0</v>
      </c>
      <c r="K91" t="n">
        <v>0</v>
      </c>
      <c r="L91" t="n">
        <v>0</v>
      </c>
      <c r="M91" t="n">
        <v>0</v>
      </c>
      <c r="N91" t="n">
        <v>0</v>
      </c>
      <c r="O91" t="n">
        <v>0</v>
      </c>
      <c r="P91" t="n">
        <v>0</v>
      </c>
      <c r="Q91" t="n">
        <v>0</v>
      </c>
      <c r="R91" s="2" t="inlineStr"/>
    </row>
    <row r="92" ht="15" customHeight="1">
      <c r="A92" t="inlineStr">
        <is>
          <t>A 51844-2019</t>
        </is>
      </c>
      <c r="B92" s="1" t="n">
        <v>43741</v>
      </c>
      <c r="C92" s="1" t="n">
        <v>45355</v>
      </c>
      <c r="D92" t="inlineStr">
        <is>
          <t>VÄSTMANLANDS LÄN</t>
        </is>
      </c>
      <c r="E92" t="inlineStr">
        <is>
          <t>KÖPING</t>
        </is>
      </c>
      <c r="G92" t="n">
        <v>1.4</v>
      </c>
      <c r="H92" t="n">
        <v>0</v>
      </c>
      <c r="I92" t="n">
        <v>0</v>
      </c>
      <c r="J92" t="n">
        <v>0</v>
      </c>
      <c r="K92" t="n">
        <v>0</v>
      </c>
      <c r="L92" t="n">
        <v>0</v>
      </c>
      <c r="M92" t="n">
        <v>0</v>
      </c>
      <c r="N92" t="n">
        <v>0</v>
      </c>
      <c r="O92" t="n">
        <v>0</v>
      </c>
      <c r="P92" t="n">
        <v>0</v>
      </c>
      <c r="Q92" t="n">
        <v>0</v>
      </c>
      <c r="R92" s="2" t="inlineStr"/>
    </row>
    <row r="93" ht="15" customHeight="1">
      <c r="A93" t="inlineStr">
        <is>
          <t>A 55400-2019</t>
        </is>
      </c>
      <c r="B93" s="1" t="n">
        <v>43758</v>
      </c>
      <c r="C93" s="1" t="n">
        <v>45355</v>
      </c>
      <c r="D93" t="inlineStr">
        <is>
          <t>VÄSTMANLANDS LÄN</t>
        </is>
      </c>
      <c r="E93" t="inlineStr">
        <is>
          <t>KÖPING</t>
        </is>
      </c>
      <c r="G93" t="n">
        <v>1.7</v>
      </c>
      <c r="H93" t="n">
        <v>0</v>
      </c>
      <c r="I93" t="n">
        <v>0</v>
      </c>
      <c r="J93" t="n">
        <v>0</v>
      </c>
      <c r="K93" t="n">
        <v>0</v>
      </c>
      <c r="L93" t="n">
        <v>0</v>
      </c>
      <c r="M93" t="n">
        <v>0</v>
      </c>
      <c r="N93" t="n">
        <v>0</v>
      </c>
      <c r="O93" t="n">
        <v>0</v>
      </c>
      <c r="P93" t="n">
        <v>0</v>
      </c>
      <c r="Q93" t="n">
        <v>0</v>
      </c>
      <c r="R93" s="2" t="inlineStr"/>
    </row>
    <row r="94" ht="15" customHeight="1">
      <c r="A94" t="inlineStr">
        <is>
          <t>A 55659-2019</t>
        </is>
      </c>
      <c r="B94" s="1" t="n">
        <v>43760</v>
      </c>
      <c r="C94" s="1" t="n">
        <v>45355</v>
      </c>
      <c r="D94" t="inlineStr">
        <is>
          <t>VÄSTMANLANDS LÄN</t>
        </is>
      </c>
      <c r="E94" t="inlineStr">
        <is>
          <t>KÖPING</t>
        </is>
      </c>
      <c r="G94" t="n">
        <v>10.7</v>
      </c>
      <c r="H94" t="n">
        <v>0</v>
      </c>
      <c r="I94" t="n">
        <v>0</v>
      </c>
      <c r="J94" t="n">
        <v>0</v>
      </c>
      <c r="K94" t="n">
        <v>0</v>
      </c>
      <c r="L94" t="n">
        <v>0</v>
      </c>
      <c r="M94" t="n">
        <v>0</v>
      </c>
      <c r="N94" t="n">
        <v>0</v>
      </c>
      <c r="O94" t="n">
        <v>0</v>
      </c>
      <c r="P94" t="n">
        <v>0</v>
      </c>
      <c r="Q94" t="n">
        <v>0</v>
      </c>
      <c r="R94" s="2" t="inlineStr"/>
    </row>
    <row r="95" ht="15" customHeight="1">
      <c r="A95" t="inlineStr">
        <is>
          <t>A 56012-2019</t>
        </is>
      </c>
      <c r="B95" s="1" t="n">
        <v>43760</v>
      </c>
      <c r="C95" s="1" t="n">
        <v>45355</v>
      </c>
      <c r="D95" t="inlineStr">
        <is>
          <t>VÄSTMANLANDS LÄN</t>
        </is>
      </c>
      <c r="E95" t="inlineStr">
        <is>
          <t>KÖPING</t>
        </is>
      </c>
      <c r="G95" t="n">
        <v>2.2</v>
      </c>
      <c r="H95" t="n">
        <v>0</v>
      </c>
      <c r="I95" t="n">
        <v>0</v>
      </c>
      <c r="J95" t="n">
        <v>0</v>
      </c>
      <c r="K95" t="n">
        <v>0</v>
      </c>
      <c r="L95" t="n">
        <v>0</v>
      </c>
      <c r="M95" t="n">
        <v>0</v>
      </c>
      <c r="N95" t="n">
        <v>0</v>
      </c>
      <c r="O95" t="n">
        <v>0</v>
      </c>
      <c r="P95" t="n">
        <v>0</v>
      </c>
      <c r="Q95" t="n">
        <v>0</v>
      </c>
      <c r="R95" s="2" t="inlineStr"/>
    </row>
    <row r="96" ht="15" customHeight="1">
      <c r="A96" t="inlineStr">
        <is>
          <t>A 56152-2019</t>
        </is>
      </c>
      <c r="B96" s="1" t="n">
        <v>43761</v>
      </c>
      <c r="C96" s="1" t="n">
        <v>45355</v>
      </c>
      <c r="D96" t="inlineStr">
        <is>
          <t>VÄSTMANLANDS LÄN</t>
        </is>
      </c>
      <c r="E96" t="inlineStr">
        <is>
          <t>KÖPING</t>
        </is>
      </c>
      <c r="G96" t="n">
        <v>1.6</v>
      </c>
      <c r="H96" t="n">
        <v>0</v>
      </c>
      <c r="I96" t="n">
        <v>0</v>
      </c>
      <c r="J96" t="n">
        <v>0</v>
      </c>
      <c r="K96" t="n">
        <v>0</v>
      </c>
      <c r="L96" t="n">
        <v>0</v>
      </c>
      <c r="M96" t="n">
        <v>0</v>
      </c>
      <c r="N96" t="n">
        <v>0</v>
      </c>
      <c r="O96" t="n">
        <v>0</v>
      </c>
      <c r="P96" t="n">
        <v>0</v>
      </c>
      <c r="Q96" t="n">
        <v>0</v>
      </c>
      <c r="R96" s="2" t="inlineStr"/>
    </row>
    <row r="97" ht="15" customHeight="1">
      <c r="A97" t="inlineStr">
        <is>
          <t>A 55837-2019</t>
        </is>
      </c>
      <c r="B97" s="1" t="n">
        <v>43761</v>
      </c>
      <c r="C97" s="1" t="n">
        <v>45355</v>
      </c>
      <c r="D97" t="inlineStr">
        <is>
          <t>VÄSTMANLANDS LÄN</t>
        </is>
      </c>
      <c r="E97" t="inlineStr">
        <is>
          <t>KÖPING</t>
        </is>
      </c>
      <c r="G97" t="n">
        <v>23.2</v>
      </c>
      <c r="H97" t="n">
        <v>0</v>
      </c>
      <c r="I97" t="n">
        <v>0</v>
      </c>
      <c r="J97" t="n">
        <v>0</v>
      </c>
      <c r="K97" t="n">
        <v>0</v>
      </c>
      <c r="L97" t="n">
        <v>0</v>
      </c>
      <c r="M97" t="n">
        <v>0</v>
      </c>
      <c r="N97" t="n">
        <v>0</v>
      </c>
      <c r="O97" t="n">
        <v>0</v>
      </c>
      <c r="P97" t="n">
        <v>0</v>
      </c>
      <c r="Q97" t="n">
        <v>0</v>
      </c>
      <c r="R97" s="2" t="inlineStr"/>
    </row>
    <row r="98" ht="15" customHeight="1">
      <c r="A98" t="inlineStr">
        <is>
          <t>A 56156-2019</t>
        </is>
      </c>
      <c r="B98" s="1" t="n">
        <v>43761</v>
      </c>
      <c r="C98" s="1" t="n">
        <v>45355</v>
      </c>
      <c r="D98" t="inlineStr">
        <is>
          <t>VÄSTMANLANDS LÄN</t>
        </is>
      </c>
      <c r="E98" t="inlineStr">
        <is>
          <t>KÖPING</t>
        </is>
      </c>
      <c r="G98" t="n">
        <v>0.4</v>
      </c>
      <c r="H98" t="n">
        <v>0</v>
      </c>
      <c r="I98" t="n">
        <v>0</v>
      </c>
      <c r="J98" t="n">
        <v>0</v>
      </c>
      <c r="K98" t="n">
        <v>0</v>
      </c>
      <c r="L98" t="n">
        <v>0</v>
      </c>
      <c r="M98" t="n">
        <v>0</v>
      </c>
      <c r="N98" t="n">
        <v>0</v>
      </c>
      <c r="O98" t="n">
        <v>0</v>
      </c>
      <c r="P98" t="n">
        <v>0</v>
      </c>
      <c r="Q98" t="n">
        <v>0</v>
      </c>
      <c r="R98" s="2" t="inlineStr"/>
    </row>
    <row r="99" ht="15" customHeight="1">
      <c r="A99" t="inlineStr">
        <is>
          <t>A 56618-2019</t>
        </is>
      </c>
      <c r="B99" s="1" t="n">
        <v>43763</v>
      </c>
      <c r="C99" s="1" t="n">
        <v>45355</v>
      </c>
      <c r="D99" t="inlineStr">
        <is>
          <t>VÄSTMANLANDS LÄN</t>
        </is>
      </c>
      <c r="E99" t="inlineStr">
        <is>
          <t>KÖPING</t>
        </is>
      </c>
      <c r="G99" t="n">
        <v>1.2</v>
      </c>
      <c r="H99" t="n">
        <v>0</v>
      </c>
      <c r="I99" t="n">
        <v>0</v>
      </c>
      <c r="J99" t="n">
        <v>0</v>
      </c>
      <c r="K99" t="n">
        <v>0</v>
      </c>
      <c r="L99" t="n">
        <v>0</v>
      </c>
      <c r="M99" t="n">
        <v>0</v>
      </c>
      <c r="N99" t="n">
        <v>0</v>
      </c>
      <c r="O99" t="n">
        <v>0</v>
      </c>
      <c r="P99" t="n">
        <v>0</v>
      </c>
      <c r="Q99" t="n">
        <v>0</v>
      </c>
      <c r="R99" s="2" t="inlineStr"/>
    </row>
    <row r="100" ht="15" customHeight="1">
      <c r="A100" t="inlineStr">
        <is>
          <t>A 56616-2019</t>
        </is>
      </c>
      <c r="B100" s="1" t="n">
        <v>43763</v>
      </c>
      <c r="C100" s="1" t="n">
        <v>45355</v>
      </c>
      <c r="D100" t="inlineStr">
        <is>
          <t>VÄSTMANLANDS LÄN</t>
        </is>
      </c>
      <c r="E100" t="inlineStr">
        <is>
          <t>KÖPING</t>
        </is>
      </c>
      <c r="G100" t="n">
        <v>2.1</v>
      </c>
      <c r="H100" t="n">
        <v>0</v>
      </c>
      <c r="I100" t="n">
        <v>0</v>
      </c>
      <c r="J100" t="n">
        <v>0</v>
      </c>
      <c r="K100" t="n">
        <v>0</v>
      </c>
      <c r="L100" t="n">
        <v>0</v>
      </c>
      <c r="M100" t="n">
        <v>0</v>
      </c>
      <c r="N100" t="n">
        <v>0</v>
      </c>
      <c r="O100" t="n">
        <v>0</v>
      </c>
      <c r="P100" t="n">
        <v>0</v>
      </c>
      <c r="Q100" t="n">
        <v>0</v>
      </c>
      <c r="R100" s="2" t="inlineStr"/>
    </row>
    <row r="101" ht="15" customHeight="1">
      <c r="A101" t="inlineStr">
        <is>
          <t>A 56607-2019</t>
        </is>
      </c>
      <c r="B101" s="1" t="n">
        <v>43763</v>
      </c>
      <c r="C101" s="1" t="n">
        <v>45355</v>
      </c>
      <c r="D101" t="inlineStr">
        <is>
          <t>VÄSTMANLANDS LÄN</t>
        </is>
      </c>
      <c r="E101" t="inlineStr">
        <is>
          <t>KÖPING</t>
        </is>
      </c>
      <c r="G101" t="n">
        <v>1.7</v>
      </c>
      <c r="H101" t="n">
        <v>0</v>
      </c>
      <c r="I101" t="n">
        <v>0</v>
      </c>
      <c r="J101" t="n">
        <v>0</v>
      </c>
      <c r="K101" t="n">
        <v>0</v>
      </c>
      <c r="L101" t="n">
        <v>0</v>
      </c>
      <c r="M101" t="n">
        <v>0</v>
      </c>
      <c r="N101" t="n">
        <v>0</v>
      </c>
      <c r="O101" t="n">
        <v>0</v>
      </c>
      <c r="P101" t="n">
        <v>0</v>
      </c>
      <c r="Q101" t="n">
        <v>0</v>
      </c>
      <c r="R101" s="2" t="inlineStr"/>
    </row>
    <row r="102" ht="15" customHeight="1">
      <c r="A102" t="inlineStr">
        <is>
          <t>A 57409-2019</t>
        </is>
      </c>
      <c r="B102" s="1" t="n">
        <v>43767</v>
      </c>
      <c r="C102" s="1" t="n">
        <v>45355</v>
      </c>
      <c r="D102" t="inlineStr">
        <is>
          <t>VÄSTMANLANDS LÄN</t>
        </is>
      </c>
      <c r="E102" t="inlineStr">
        <is>
          <t>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57406-2019</t>
        </is>
      </c>
      <c r="B103" s="1" t="n">
        <v>43767</v>
      </c>
      <c r="C103" s="1" t="n">
        <v>45355</v>
      </c>
      <c r="D103" t="inlineStr">
        <is>
          <t>VÄSTMANLANDS LÄN</t>
        </is>
      </c>
      <c r="E103" t="inlineStr">
        <is>
          <t>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59467-2019</t>
        </is>
      </c>
      <c r="B104" s="1" t="n">
        <v>43775</v>
      </c>
      <c r="C104" s="1" t="n">
        <v>45355</v>
      </c>
      <c r="D104" t="inlineStr">
        <is>
          <t>VÄSTMANLANDS LÄN</t>
        </is>
      </c>
      <c r="E104" t="inlineStr">
        <is>
          <t>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61016-2019</t>
        </is>
      </c>
      <c r="B105" s="1" t="n">
        <v>43782</v>
      </c>
      <c r="C105" s="1" t="n">
        <v>45355</v>
      </c>
      <c r="D105" t="inlineStr">
        <is>
          <t>VÄSTMANLANDS LÄN</t>
        </is>
      </c>
      <c r="E105" t="inlineStr">
        <is>
          <t>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61081-2019</t>
        </is>
      </c>
      <c r="B106" s="1" t="n">
        <v>43782</v>
      </c>
      <c r="C106" s="1" t="n">
        <v>45355</v>
      </c>
      <c r="D106" t="inlineStr">
        <is>
          <t>VÄSTMANLANDS LÄN</t>
        </is>
      </c>
      <c r="E106" t="inlineStr">
        <is>
          <t>KÖPING</t>
        </is>
      </c>
      <c r="G106" t="n">
        <v>1.5</v>
      </c>
      <c r="H106" t="n">
        <v>0</v>
      </c>
      <c r="I106" t="n">
        <v>0</v>
      </c>
      <c r="J106" t="n">
        <v>0</v>
      </c>
      <c r="K106" t="n">
        <v>0</v>
      </c>
      <c r="L106" t="n">
        <v>0</v>
      </c>
      <c r="M106" t="n">
        <v>0</v>
      </c>
      <c r="N106" t="n">
        <v>0</v>
      </c>
      <c r="O106" t="n">
        <v>0</v>
      </c>
      <c r="P106" t="n">
        <v>0</v>
      </c>
      <c r="Q106" t="n">
        <v>0</v>
      </c>
      <c r="R106" s="2" t="inlineStr"/>
    </row>
    <row r="107" ht="15" customHeight="1">
      <c r="A107" t="inlineStr">
        <is>
          <t>A 61762-2019</t>
        </is>
      </c>
      <c r="B107" s="1" t="n">
        <v>43784</v>
      </c>
      <c r="C107" s="1" t="n">
        <v>45355</v>
      </c>
      <c r="D107" t="inlineStr">
        <is>
          <t>VÄSTMANLANDS LÄN</t>
        </is>
      </c>
      <c r="E107" t="inlineStr">
        <is>
          <t>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62912-2019</t>
        </is>
      </c>
      <c r="B108" s="1" t="n">
        <v>43784</v>
      </c>
      <c r="C108" s="1" t="n">
        <v>45355</v>
      </c>
      <c r="D108" t="inlineStr">
        <is>
          <t>VÄSTMANLANDS LÄN</t>
        </is>
      </c>
      <c r="E108" t="inlineStr">
        <is>
          <t>KÖPING</t>
        </is>
      </c>
      <c r="G108" t="n">
        <v>3.7</v>
      </c>
      <c r="H108" t="n">
        <v>0</v>
      </c>
      <c r="I108" t="n">
        <v>0</v>
      </c>
      <c r="J108" t="n">
        <v>0</v>
      </c>
      <c r="K108" t="n">
        <v>0</v>
      </c>
      <c r="L108" t="n">
        <v>0</v>
      </c>
      <c r="M108" t="n">
        <v>0</v>
      </c>
      <c r="N108" t="n">
        <v>0</v>
      </c>
      <c r="O108" t="n">
        <v>0</v>
      </c>
      <c r="P108" t="n">
        <v>0</v>
      </c>
      <c r="Q108" t="n">
        <v>0</v>
      </c>
      <c r="R108" s="2" t="inlineStr"/>
    </row>
    <row r="109" ht="15" customHeight="1">
      <c r="A109" t="inlineStr">
        <is>
          <t>A 61760-2019</t>
        </is>
      </c>
      <c r="B109" s="1" t="n">
        <v>43784</v>
      </c>
      <c r="C109" s="1" t="n">
        <v>45355</v>
      </c>
      <c r="D109" t="inlineStr">
        <is>
          <t>VÄSTMANLANDS LÄN</t>
        </is>
      </c>
      <c r="E109" t="inlineStr">
        <is>
          <t>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62020-2019</t>
        </is>
      </c>
      <c r="B110" s="1" t="n">
        <v>43787</v>
      </c>
      <c r="C110" s="1" t="n">
        <v>45355</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62410-2019</t>
        </is>
      </c>
      <c r="B111" s="1" t="n">
        <v>43788</v>
      </c>
      <c r="C111" s="1" t="n">
        <v>45355</v>
      </c>
      <c r="D111" t="inlineStr">
        <is>
          <t>VÄSTMANLANDS LÄN</t>
        </is>
      </c>
      <c r="E111" t="inlineStr">
        <is>
          <t>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64223-2019</t>
        </is>
      </c>
      <c r="B112" s="1" t="n">
        <v>43797</v>
      </c>
      <c r="C112" s="1" t="n">
        <v>45355</v>
      </c>
      <c r="D112" t="inlineStr">
        <is>
          <t>VÄSTMANLANDS LÄN</t>
        </is>
      </c>
      <c r="E112" t="inlineStr">
        <is>
          <t>KÖPING</t>
        </is>
      </c>
      <c r="G112" t="n">
        <v>2.7</v>
      </c>
      <c r="H112" t="n">
        <v>0</v>
      </c>
      <c r="I112" t="n">
        <v>0</v>
      </c>
      <c r="J112" t="n">
        <v>0</v>
      </c>
      <c r="K112" t="n">
        <v>0</v>
      </c>
      <c r="L112" t="n">
        <v>0</v>
      </c>
      <c r="M112" t="n">
        <v>0</v>
      </c>
      <c r="N112" t="n">
        <v>0</v>
      </c>
      <c r="O112" t="n">
        <v>0</v>
      </c>
      <c r="P112" t="n">
        <v>0</v>
      </c>
      <c r="Q112" t="n">
        <v>0</v>
      </c>
      <c r="R112" s="2" t="inlineStr"/>
    </row>
    <row r="113" ht="15" customHeight="1">
      <c r="A113" t="inlineStr">
        <is>
          <t>A 66576-2019</t>
        </is>
      </c>
      <c r="B113" s="1" t="n">
        <v>43803</v>
      </c>
      <c r="C113" s="1" t="n">
        <v>45355</v>
      </c>
      <c r="D113" t="inlineStr">
        <is>
          <t>VÄSTMANLANDS LÄN</t>
        </is>
      </c>
      <c r="E113" t="inlineStr">
        <is>
          <t>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66476-2019</t>
        </is>
      </c>
      <c r="B114" s="1" t="n">
        <v>43809</v>
      </c>
      <c r="C114" s="1" t="n">
        <v>45355</v>
      </c>
      <c r="D114" t="inlineStr">
        <is>
          <t>VÄSTMANLANDS LÄN</t>
        </is>
      </c>
      <c r="E114" t="inlineStr">
        <is>
          <t>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66934-2019</t>
        </is>
      </c>
      <c r="B115" s="1" t="n">
        <v>43810</v>
      </c>
      <c r="C115" s="1" t="n">
        <v>45355</v>
      </c>
      <c r="D115" t="inlineStr">
        <is>
          <t>VÄSTMANLANDS LÄN</t>
        </is>
      </c>
      <c r="E115" t="inlineStr">
        <is>
          <t>KÖPING</t>
        </is>
      </c>
      <c r="G115" t="n">
        <v>8</v>
      </c>
      <c r="H115" t="n">
        <v>0</v>
      </c>
      <c r="I115" t="n">
        <v>0</v>
      </c>
      <c r="J115" t="n">
        <v>0</v>
      </c>
      <c r="K115" t="n">
        <v>0</v>
      </c>
      <c r="L115" t="n">
        <v>0</v>
      </c>
      <c r="M115" t="n">
        <v>0</v>
      </c>
      <c r="N115" t="n">
        <v>0</v>
      </c>
      <c r="O115" t="n">
        <v>0</v>
      </c>
      <c r="P115" t="n">
        <v>0</v>
      </c>
      <c r="Q115" t="n">
        <v>0</v>
      </c>
      <c r="R115" s="2" t="inlineStr"/>
    </row>
    <row r="116" ht="15" customHeight="1">
      <c r="A116" t="inlineStr">
        <is>
          <t>A 66952-2019</t>
        </is>
      </c>
      <c r="B116" s="1" t="n">
        <v>43810</v>
      </c>
      <c r="C116" s="1" t="n">
        <v>45355</v>
      </c>
      <c r="D116" t="inlineStr">
        <is>
          <t>VÄSTMANLANDS LÄN</t>
        </is>
      </c>
      <c r="E116" t="inlineStr">
        <is>
          <t>KÖPING</t>
        </is>
      </c>
      <c r="G116" t="n">
        <v>5.9</v>
      </c>
      <c r="H116" t="n">
        <v>0</v>
      </c>
      <c r="I116" t="n">
        <v>0</v>
      </c>
      <c r="J116" t="n">
        <v>0</v>
      </c>
      <c r="K116" t="n">
        <v>0</v>
      </c>
      <c r="L116" t="n">
        <v>0</v>
      </c>
      <c r="M116" t="n">
        <v>0</v>
      </c>
      <c r="N116" t="n">
        <v>0</v>
      </c>
      <c r="O116" t="n">
        <v>0</v>
      </c>
      <c r="P116" t="n">
        <v>0</v>
      </c>
      <c r="Q116" t="n">
        <v>0</v>
      </c>
      <c r="R116" s="2" t="inlineStr"/>
    </row>
    <row r="117" ht="15" customHeight="1">
      <c r="A117" t="inlineStr">
        <is>
          <t>A 67061-2019</t>
        </is>
      </c>
      <c r="B117" s="1" t="n">
        <v>43811</v>
      </c>
      <c r="C117" s="1" t="n">
        <v>45355</v>
      </c>
      <c r="D117" t="inlineStr">
        <is>
          <t>VÄSTMANLANDS LÄN</t>
        </is>
      </c>
      <c r="E117" t="inlineStr">
        <is>
          <t>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549-2020</t>
        </is>
      </c>
      <c r="B118" s="1" t="n">
        <v>43838</v>
      </c>
      <c r="C118" s="1" t="n">
        <v>45355</v>
      </c>
      <c r="D118" t="inlineStr">
        <is>
          <t>VÄSTMANLANDS LÄN</t>
        </is>
      </c>
      <c r="E118" t="inlineStr">
        <is>
          <t>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2323-2020</t>
        </is>
      </c>
      <c r="B119" s="1" t="n">
        <v>43840</v>
      </c>
      <c r="C119" s="1" t="n">
        <v>45355</v>
      </c>
      <c r="D119" t="inlineStr">
        <is>
          <t>VÄSTMANLANDS LÄN</t>
        </is>
      </c>
      <c r="E119" t="inlineStr">
        <is>
          <t>KÖPING</t>
        </is>
      </c>
      <c r="G119" t="n">
        <v>4.1</v>
      </c>
      <c r="H119" t="n">
        <v>0</v>
      </c>
      <c r="I119" t="n">
        <v>0</v>
      </c>
      <c r="J119" t="n">
        <v>0</v>
      </c>
      <c r="K119" t="n">
        <v>0</v>
      </c>
      <c r="L119" t="n">
        <v>0</v>
      </c>
      <c r="M119" t="n">
        <v>0</v>
      </c>
      <c r="N119" t="n">
        <v>0</v>
      </c>
      <c r="O119" t="n">
        <v>0</v>
      </c>
      <c r="P119" t="n">
        <v>0</v>
      </c>
      <c r="Q119" t="n">
        <v>0</v>
      </c>
      <c r="R119" s="2" t="inlineStr"/>
    </row>
    <row r="120" ht="15" customHeight="1">
      <c r="A120" t="inlineStr">
        <is>
          <t>A 5693-2020</t>
        </is>
      </c>
      <c r="B120" s="1" t="n">
        <v>43861</v>
      </c>
      <c r="C120" s="1" t="n">
        <v>45355</v>
      </c>
      <c r="D120" t="inlineStr">
        <is>
          <t>VÄSTMANLANDS LÄN</t>
        </is>
      </c>
      <c r="E120" t="inlineStr">
        <is>
          <t>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7294-2020</t>
        </is>
      </c>
      <c r="B121" s="1" t="n">
        <v>43871</v>
      </c>
      <c r="C121" s="1" t="n">
        <v>45355</v>
      </c>
      <c r="D121" t="inlineStr">
        <is>
          <t>VÄSTMANLANDS LÄN</t>
        </is>
      </c>
      <c r="E121" t="inlineStr">
        <is>
          <t>KÖPING</t>
        </is>
      </c>
      <c r="F121" t="inlineStr">
        <is>
          <t>Allmännings- och besparingsskogar</t>
        </is>
      </c>
      <c r="G121" t="n">
        <v>31.2</v>
      </c>
      <c r="H121" t="n">
        <v>0</v>
      </c>
      <c r="I121" t="n">
        <v>0</v>
      </c>
      <c r="J121" t="n">
        <v>0</v>
      </c>
      <c r="K121" t="n">
        <v>0</v>
      </c>
      <c r="L121" t="n">
        <v>0</v>
      </c>
      <c r="M121" t="n">
        <v>0</v>
      </c>
      <c r="N121" t="n">
        <v>0</v>
      </c>
      <c r="O121" t="n">
        <v>0</v>
      </c>
      <c r="P121" t="n">
        <v>0</v>
      </c>
      <c r="Q121" t="n">
        <v>0</v>
      </c>
      <c r="R121" s="2" t="inlineStr"/>
    </row>
    <row r="122" ht="15" customHeight="1">
      <c r="A122" t="inlineStr">
        <is>
          <t>A 9706-2020</t>
        </is>
      </c>
      <c r="B122" s="1" t="n">
        <v>43881</v>
      </c>
      <c r="C122" s="1" t="n">
        <v>45355</v>
      </c>
      <c r="D122" t="inlineStr">
        <is>
          <t>VÄSTMANLANDS LÄN</t>
        </is>
      </c>
      <c r="E122" t="inlineStr">
        <is>
          <t>KÖPING</t>
        </is>
      </c>
      <c r="G122" t="n">
        <v>4.4</v>
      </c>
      <c r="H122" t="n">
        <v>0</v>
      </c>
      <c r="I122" t="n">
        <v>0</v>
      </c>
      <c r="J122" t="n">
        <v>0</v>
      </c>
      <c r="K122" t="n">
        <v>0</v>
      </c>
      <c r="L122" t="n">
        <v>0</v>
      </c>
      <c r="M122" t="n">
        <v>0</v>
      </c>
      <c r="N122" t="n">
        <v>0</v>
      </c>
      <c r="O122" t="n">
        <v>0</v>
      </c>
      <c r="P122" t="n">
        <v>0</v>
      </c>
      <c r="Q122" t="n">
        <v>0</v>
      </c>
      <c r="R122" s="2" t="inlineStr"/>
    </row>
    <row r="123" ht="15" customHeight="1">
      <c r="A123" t="inlineStr">
        <is>
          <t>A 10472-2020</t>
        </is>
      </c>
      <c r="B123" s="1" t="n">
        <v>43886</v>
      </c>
      <c r="C123" s="1" t="n">
        <v>45355</v>
      </c>
      <c r="D123" t="inlineStr">
        <is>
          <t>VÄSTMANLANDS LÄN</t>
        </is>
      </c>
      <c r="E123" t="inlineStr">
        <is>
          <t>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11452-2020</t>
        </is>
      </c>
      <c r="B124" s="1" t="n">
        <v>43893</v>
      </c>
      <c r="C124" s="1" t="n">
        <v>45355</v>
      </c>
      <c r="D124" t="inlineStr">
        <is>
          <t>VÄSTMANLANDS LÄN</t>
        </is>
      </c>
      <c r="E124" t="inlineStr">
        <is>
          <t>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13158-2020</t>
        </is>
      </c>
      <c r="B125" s="1" t="n">
        <v>43901</v>
      </c>
      <c r="C125" s="1" t="n">
        <v>45355</v>
      </c>
      <c r="D125" t="inlineStr">
        <is>
          <t>VÄSTMANLANDS LÄN</t>
        </is>
      </c>
      <c r="E125" t="inlineStr">
        <is>
          <t>KÖPING</t>
        </is>
      </c>
      <c r="G125" t="n">
        <v>4.6</v>
      </c>
      <c r="H125" t="n">
        <v>0</v>
      </c>
      <c r="I125" t="n">
        <v>0</v>
      </c>
      <c r="J125" t="n">
        <v>0</v>
      </c>
      <c r="K125" t="n">
        <v>0</v>
      </c>
      <c r="L125" t="n">
        <v>0</v>
      </c>
      <c r="M125" t="n">
        <v>0</v>
      </c>
      <c r="N125" t="n">
        <v>0</v>
      </c>
      <c r="O125" t="n">
        <v>0</v>
      </c>
      <c r="P125" t="n">
        <v>0</v>
      </c>
      <c r="Q125" t="n">
        <v>0</v>
      </c>
      <c r="R125" s="2" t="inlineStr"/>
    </row>
    <row r="126" ht="15" customHeight="1">
      <c r="A126" t="inlineStr">
        <is>
          <t>A 14295-2020</t>
        </is>
      </c>
      <c r="B126" s="1" t="n">
        <v>43907</v>
      </c>
      <c r="C126" s="1" t="n">
        <v>45355</v>
      </c>
      <c r="D126" t="inlineStr">
        <is>
          <t>VÄSTMANLANDS LÄN</t>
        </is>
      </c>
      <c r="E126" t="inlineStr">
        <is>
          <t>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14403-2020</t>
        </is>
      </c>
      <c r="B127" s="1" t="n">
        <v>43908</v>
      </c>
      <c r="C127" s="1" t="n">
        <v>45355</v>
      </c>
      <c r="D127" t="inlineStr">
        <is>
          <t>VÄSTMANLANDS LÄN</t>
        </is>
      </c>
      <c r="E127" t="inlineStr">
        <is>
          <t>KÖPING</t>
        </is>
      </c>
      <c r="G127" t="n">
        <v>3.1</v>
      </c>
      <c r="H127" t="n">
        <v>0</v>
      </c>
      <c r="I127" t="n">
        <v>0</v>
      </c>
      <c r="J127" t="n">
        <v>0</v>
      </c>
      <c r="K127" t="n">
        <v>0</v>
      </c>
      <c r="L127" t="n">
        <v>0</v>
      </c>
      <c r="M127" t="n">
        <v>0</v>
      </c>
      <c r="N127" t="n">
        <v>0</v>
      </c>
      <c r="O127" t="n">
        <v>0</v>
      </c>
      <c r="P127" t="n">
        <v>0</v>
      </c>
      <c r="Q127" t="n">
        <v>0</v>
      </c>
      <c r="R127" s="2" t="inlineStr"/>
    </row>
    <row r="128" ht="15" customHeight="1">
      <c r="A128" t="inlineStr">
        <is>
          <t>A 14898-2020</t>
        </is>
      </c>
      <c r="B128" s="1" t="n">
        <v>43910</v>
      </c>
      <c r="C128" s="1" t="n">
        <v>45355</v>
      </c>
      <c r="D128" t="inlineStr">
        <is>
          <t>VÄSTMANLANDS LÄN</t>
        </is>
      </c>
      <c r="E128" t="inlineStr">
        <is>
          <t>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16989-2020</t>
        </is>
      </c>
      <c r="B129" s="1" t="n">
        <v>43921</v>
      </c>
      <c r="C129" s="1" t="n">
        <v>45355</v>
      </c>
      <c r="D129" t="inlineStr">
        <is>
          <t>VÄSTMANLANDS LÄN</t>
        </is>
      </c>
      <c r="E129" t="inlineStr">
        <is>
          <t>KÖPING</t>
        </is>
      </c>
      <c r="G129" t="n">
        <v>11</v>
      </c>
      <c r="H129" t="n">
        <v>0</v>
      </c>
      <c r="I129" t="n">
        <v>0</v>
      </c>
      <c r="J129" t="n">
        <v>0</v>
      </c>
      <c r="K129" t="n">
        <v>0</v>
      </c>
      <c r="L129" t="n">
        <v>0</v>
      </c>
      <c r="M129" t="n">
        <v>0</v>
      </c>
      <c r="N129" t="n">
        <v>0</v>
      </c>
      <c r="O129" t="n">
        <v>0</v>
      </c>
      <c r="P129" t="n">
        <v>0</v>
      </c>
      <c r="Q129" t="n">
        <v>0</v>
      </c>
      <c r="R129" s="2" t="inlineStr"/>
    </row>
    <row r="130" ht="15" customHeight="1">
      <c r="A130" t="inlineStr">
        <is>
          <t>A 16912-2020</t>
        </is>
      </c>
      <c r="B130" s="1" t="n">
        <v>43921</v>
      </c>
      <c r="C130" s="1" t="n">
        <v>45355</v>
      </c>
      <c r="D130" t="inlineStr">
        <is>
          <t>VÄSTMANLANDS LÄN</t>
        </is>
      </c>
      <c r="E130" t="inlineStr">
        <is>
          <t>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20740-2020</t>
        </is>
      </c>
      <c r="B131" s="1" t="n">
        <v>43949</v>
      </c>
      <c r="C131" s="1" t="n">
        <v>45355</v>
      </c>
      <c r="D131" t="inlineStr">
        <is>
          <t>VÄSTMANLANDS LÄN</t>
        </is>
      </c>
      <c r="E131" t="inlineStr">
        <is>
          <t>KÖPING</t>
        </is>
      </c>
      <c r="G131" t="n">
        <v>2.4</v>
      </c>
      <c r="H131" t="n">
        <v>0</v>
      </c>
      <c r="I131" t="n">
        <v>0</v>
      </c>
      <c r="J131" t="n">
        <v>0</v>
      </c>
      <c r="K131" t="n">
        <v>0</v>
      </c>
      <c r="L131" t="n">
        <v>0</v>
      </c>
      <c r="M131" t="n">
        <v>0</v>
      </c>
      <c r="N131" t="n">
        <v>0</v>
      </c>
      <c r="O131" t="n">
        <v>0</v>
      </c>
      <c r="P131" t="n">
        <v>0</v>
      </c>
      <c r="Q131" t="n">
        <v>0</v>
      </c>
      <c r="R131" s="2" t="inlineStr"/>
    </row>
    <row r="132" ht="15" customHeight="1">
      <c r="A132" t="inlineStr">
        <is>
          <t>A 21691-2020</t>
        </is>
      </c>
      <c r="B132" s="1" t="n">
        <v>43957</v>
      </c>
      <c r="C132" s="1" t="n">
        <v>45355</v>
      </c>
      <c r="D132" t="inlineStr">
        <is>
          <t>VÄSTMANLANDS LÄN</t>
        </is>
      </c>
      <c r="E132" t="inlineStr">
        <is>
          <t>KÖPING</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22523-2020</t>
        </is>
      </c>
      <c r="B133" s="1" t="n">
        <v>43963</v>
      </c>
      <c r="C133" s="1" t="n">
        <v>45355</v>
      </c>
      <c r="D133" t="inlineStr">
        <is>
          <t>VÄSTMANLANDS LÄN</t>
        </is>
      </c>
      <c r="E133" t="inlineStr">
        <is>
          <t>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23780-2020</t>
        </is>
      </c>
      <c r="B134" s="1" t="n">
        <v>43970</v>
      </c>
      <c r="C134" s="1" t="n">
        <v>45355</v>
      </c>
      <c r="D134" t="inlineStr">
        <is>
          <t>VÄSTMANLANDS LÄN</t>
        </is>
      </c>
      <c r="E134" t="inlineStr">
        <is>
          <t>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24271-2020</t>
        </is>
      </c>
      <c r="B135" s="1" t="n">
        <v>43976</v>
      </c>
      <c r="C135" s="1" t="n">
        <v>45355</v>
      </c>
      <c r="D135" t="inlineStr">
        <is>
          <t>VÄSTMANLANDS LÄN</t>
        </is>
      </c>
      <c r="E135" t="inlineStr">
        <is>
          <t>KÖPING</t>
        </is>
      </c>
      <c r="F135" t="inlineStr">
        <is>
          <t>Sveaskog</t>
        </is>
      </c>
      <c r="G135" t="n">
        <v>5.9</v>
      </c>
      <c r="H135" t="n">
        <v>0</v>
      </c>
      <c r="I135" t="n">
        <v>0</v>
      </c>
      <c r="J135" t="n">
        <v>0</v>
      </c>
      <c r="K135" t="n">
        <v>0</v>
      </c>
      <c r="L135" t="n">
        <v>0</v>
      </c>
      <c r="M135" t="n">
        <v>0</v>
      </c>
      <c r="N135" t="n">
        <v>0</v>
      </c>
      <c r="O135" t="n">
        <v>0</v>
      </c>
      <c r="P135" t="n">
        <v>0</v>
      </c>
      <c r="Q135" t="n">
        <v>0</v>
      </c>
      <c r="R135" s="2" t="inlineStr"/>
    </row>
    <row r="136" ht="15" customHeight="1">
      <c r="A136" t="inlineStr">
        <is>
          <t>A 24309-2020</t>
        </is>
      </c>
      <c r="B136" s="1" t="n">
        <v>43976</v>
      </c>
      <c r="C136" s="1" t="n">
        <v>45355</v>
      </c>
      <c r="D136" t="inlineStr">
        <is>
          <t>VÄSTMANLANDS LÄN</t>
        </is>
      </c>
      <c r="E136" t="inlineStr">
        <is>
          <t>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25480-2020</t>
        </is>
      </c>
      <c r="B137" s="1" t="n">
        <v>43983</v>
      </c>
      <c r="C137" s="1" t="n">
        <v>45355</v>
      </c>
      <c r="D137" t="inlineStr">
        <is>
          <t>VÄSTMANLANDS LÄN</t>
        </is>
      </c>
      <c r="E137" t="inlineStr">
        <is>
          <t>KÖPING</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26013-2020</t>
        </is>
      </c>
      <c r="B138" s="1" t="n">
        <v>43985</v>
      </c>
      <c r="C138" s="1" t="n">
        <v>45355</v>
      </c>
      <c r="D138" t="inlineStr">
        <is>
          <t>VÄSTMANLANDS LÄN</t>
        </is>
      </c>
      <c r="E138" t="inlineStr">
        <is>
          <t>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26343-2020</t>
        </is>
      </c>
      <c r="B139" s="1" t="n">
        <v>43986</v>
      </c>
      <c r="C139" s="1" t="n">
        <v>45355</v>
      </c>
      <c r="D139" t="inlineStr">
        <is>
          <t>VÄSTMANLANDS LÄN</t>
        </is>
      </c>
      <c r="E139" t="inlineStr">
        <is>
          <t>KÖPING</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26743-2020</t>
        </is>
      </c>
      <c r="B140" s="1" t="n">
        <v>43990</v>
      </c>
      <c r="C140" s="1" t="n">
        <v>45355</v>
      </c>
      <c r="D140" t="inlineStr">
        <is>
          <t>VÄSTMANLANDS LÄN</t>
        </is>
      </c>
      <c r="E140" t="inlineStr">
        <is>
          <t>KÖPING</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26754-2020</t>
        </is>
      </c>
      <c r="B141" s="1" t="n">
        <v>43990</v>
      </c>
      <c r="C141" s="1" t="n">
        <v>45355</v>
      </c>
      <c r="D141" t="inlineStr">
        <is>
          <t>VÄSTMANLANDS LÄN</t>
        </is>
      </c>
      <c r="E141" t="inlineStr">
        <is>
          <t>KÖPING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26771-2020</t>
        </is>
      </c>
      <c r="B142" s="1" t="n">
        <v>43990</v>
      </c>
      <c r="C142" s="1" t="n">
        <v>45355</v>
      </c>
      <c r="D142" t="inlineStr">
        <is>
          <t>VÄSTMANLANDS LÄN</t>
        </is>
      </c>
      <c r="E142" t="inlineStr">
        <is>
          <t>KÖPING</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26749-2020</t>
        </is>
      </c>
      <c r="B143" s="1" t="n">
        <v>43990</v>
      </c>
      <c r="C143" s="1" t="n">
        <v>45355</v>
      </c>
      <c r="D143" t="inlineStr">
        <is>
          <t>VÄSTMANLANDS LÄN</t>
        </is>
      </c>
      <c r="E143" t="inlineStr">
        <is>
          <t>KÖPING</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26759-2020</t>
        </is>
      </c>
      <c r="B144" s="1" t="n">
        <v>43990</v>
      </c>
      <c r="C144" s="1" t="n">
        <v>45355</v>
      </c>
      <c r="D144" t="inlineStr">
        <is>
          <t>VÄSTMANLANDS LÄN</t>
        </is>
      </c>
      <c r="E144" t="inlineStr">
        <is>
          <t>KÖPING</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26765-2020</t>
        </is>
      </c>
      <c r="B145" s="1" t="n">
        <v>43990</v>
      </c>
      <c r="C145" s="1" t="n">
        <v>45355</v>
      </c>
      <c r="D145" t="inlineStr">
        <is>
          <t>VÄSTMANLANDS LÄN</t>
        </is>
      </c>
      <c r="E145" t="inlineStr">
        <is>
          <t>KÖPING</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26740-2020</t>
        </is>
      </c>
      <c r="B146" s="1" t="n">
        <v>43990</v>
      </c>
      <c r="C146" s="1" t="n">
        <v>45355</v>
      </c>
      <c r="D146" t="inlineStr">
        <is>
          <t>VÄSTMANLANDS LÄN</t>
        </is>
      </c>
      <c r="E146" t="inlineStr">
        <is>
          <t>KÖPING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26769-2020</t>
        </is>
      </c>
      <c r="B147" s="1" t="n">
        <v>43990</v>
      </c>
      <c r="C147" s="1" t="n">
        <v>45355</v>
      </c>
      <c r="D147" t="inlineStr">
        <is>
          <t>VÄSTMANLANDS LÄN</t>
        </is>
      </c>
      <c r="E147" t="inlineStr">
        <is>
          <t>KÖPING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26782-2020</t>
        </is>
      </c>
      <c r="B148" s="1" t="n">
        <v>43990</v>
      </c>
      <c r="C148" s="1" t="n">
        <v>45355</v>
      </c>
      <c r="D148" t="inlineStr">
        <is>
          <t>VÄSTMANLANDS LÄN</t>
        </is>
      </c>
      <c r="E148" t="inlineStr">
        <is>
          <t>KÖPING</t>
        </is>
      </c>
      <c r="F148" t="inlineStr">
        <is>
          <t>Sveaskog</t>
        </is>
      </c>
      <c r="G148" t="n">
        <v>0.8</v>
      </c>
      <c r="H148" t="n">
        <v>0</v>
      </c>
      <c r="I148" t="n">
        <v>0</v>
      </c>
      <c r="J148" t="n">
        <v>0</v>
      </c>
      <c r="K148" t="n">
        <v>0</v>
      </c>
      <c r="L148" t="n">
        <v>0</v>
      </c>
      <c r="M148" t="n">
        <v>0</v>
      </c>
      <c r="N148" t="n">
        <v>0</v>
      </c>
      <c r="O148" t="n">
        <v>0</v>
      </c>
      <c r="P148" t="n">
        <v>0</v>
      </c>
      <c r="Q148" t="n">
        <v>0</v>
      </c>
      <c r="R148" s="2" t="inlineStr"/>
    </row>
    <row r="149" ht="15" customHeight="1">
      <c r="A149" t="inlineStr">
        <is>
          <t>A 28555-2020</t>
        </is>
      </c>
      <c r="B149" s="1" t="n">
        <v>43999</v>
      </c>
      <c r="C149" s="1" t="n">
        <v>45355</v>
      </c>
      <c r="D149" t="inlineStr">
        <is>
          <t>VÄSTMANLANDS LÄN</t>
        </is>
      </c>
      <c r="E149" t="inlineStr">
        <is>
          <t>KÖPING</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30928-2020</t>
        </is>
      </c>
      <c r="B150" s="1" t="n">
        <v>44011</v>
      </c>
      <c r="C150" s="1" t="n">
        <v>45355</v>
      </c>
      <c r="D150" t="inlineStr">
        <is>
          <t>VÄSTMANLANDS LÄN</t>
        </is>
      </c>
      <c r="E150" t="inlineStr">
        <is>
          <t>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30985-2020</t>
        </is>
      </c>
      <c r="B151" s="1" t="n">
        <v>44011</v>
      </c>
      <c r="C151" s="1" t="n">
        <v>45355</v>
      </c>
      <c r="D151" t="inlineStr">
        <is>
          <t>VÄSTMANLANDS LÄN</t>
        </is>
      </c>
      <c r="E151" t="inlineStr">
        <is>
          <t>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32265-2020</t>
        </is>
      </c>
      <c r="B152" s="1" t="n">
        <v>44015</v>
      </c>
      <c r="C152" s="1" t="n">
        <v>45355</v>
      </c>
      <c r="D152" t="inlineStr">
        <is>
          <t>VÄSTMANLANDS LÄN</t>
        </is>
      </c>
      <c r="E152" t="inlineStr">
        <is>
          <t>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32605-2020</t>
        </is>
      </c>
      <c r="B153" s="1" t="n">
        <v>44019</v>
      </c>
      <c r="C153" s="1" t="n">
        <v>45355</v>
      </c>
      <c r="D153" t="inlineStr">
        <is>
          <t>VÄSTMANLANDS LÄN</t>
        </is>
      </c>
      <c r="E153" t="inlineStr">
        <is>
          <t>KÖPING</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33417-2020</t>
        </is>
      </c>
      <c r="B154" s="1" t="n">
        <v>44022</v>
      </c>
      <c r="C154" s="1" t="n">
        <v>45355</v>
      </c>
      <c r="D154" t="inlineStr">
        <is>
          <t>VÄSTMANLANDS LÄN</t>
        </is>
      </c>
      <c r="E154" t="inlineStr">
        <is>
          <t>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33865-2020</t>
        </is>
      </c>
      <c r="B155" s="1" t="n">
        <v>44027</v>
      </c>
      <c r="C155" s="1" t="n">
        <v>45355</v>
      </c>
      <c r="D155" t="inlineStr">
        <is>
          <t>VÄSTMANLANDS LÄN</t>
        </is>
      </c>
      <c r="E155" t="inlineStr">
        <is>
          <t>KÖPING</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33916-2020</t>
        </is>
      </c>
      <c r="B156" s="1" t="n">
        <v>44027</v>
      </c>
      <c r="C156" s="1" t="n">
        <v>45355</v>
      </c>
      <c r="D156" t="inlineStr">
        <is>
          <t>VÄSTMANLANDS LÄN</t>
        </is>
      </c>
      <c r="E156" t="inlineStr">
        <is>
          <t>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33919-2020</t>
        </is>
      </c>
      <c r="B157" s="1" t="n">
        <v>44027</v>
      </c>
      <c r="C157" s="1" t="n">
        <v>45355</v>
      </c>
      <c r="D157" t="inlineStr">
        <is>
          <t>VÄSTMANLANDS LÄN</t>
        </is>
      </c>
      <c r="E157" t="inlineStr">
        <is>
          <t>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34065-2020</t>
        </is>
      </c>
      <c r="B158" s="1" t="n">
        <v>44028</v>
      </c>
      <c r="C158" s="1" t="n">
        <v>45355</v>
      </c>
      <c r="D158" t="inlineStr">
        <is>
          <t>VÄSTMANLANDS LÄN</t>
        </is>
      </c>
      <c r="E158" t="inlineStr">
        <is>
          <t>KÖPING</t>
        </is>
      </c>
      <c r="F158" t="inlineStr">
        <is>
          <t>Sveaskog</t>
        </is>
      </c>
      <c r="G158" t="n">
        <v>2.4</v>
      </c>
      <c r="H158" t="n">
        <v>0</v>
      </c>
      <c r="I158" t="n">
        <v>0</v>
      </c>
      <c r="J158" t="n">
        <v>0</v>
      </c>
      <c r="K158" t="n">
        <v>0</v>
      </c>
      <c r="L158" t="n">
        <v>0</v>
      </c>
      <c r="M158" t="n">
        <v>0</v>
      </c>
      <c r="N158" t="n">
        <v>0</v>
      </c>
      <c r="O158" t="n">
        <v>0</v>
      </c>
      <c r="P158" t="n">
        <v>0</v>
      </c>
      <c r="Q158" t="n">
        <v>0</v>
      </c>
      <c r="R158" s="2" t="inlineStr"/>
    </row>
    <row r="159" ht="15" customHeight="1">
      <c r="A159" t="inlineStr">
        <is>
          <t>A 34011-2020</t>
        </is>
      </c>
      <c r="B159" s="1" t="n">
        <v>44028</v>
      </c>
      <c r="C159" s="1" t="n">
        <v>45355</v>
      </c>
      <c r="D159" t="inlineStr">
        <is>
          <t>VÄSTMANLANDS LÄN</t>
        </is>
      </c>
      <c r="E159" t="inlineStr">
        <is>
          <t>KÖPING</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34864-2020</t>
        </is>
      </c>
      <c r="B160" s="1" t="n">
        <v>44036</v>
      </c>
      <c r="C160" s="1" t="n">
        <v>45355</v>
      </c>
      <c r="D160" t="inlineStr">
        <is>
          <t>VÄSTMANLANDS LÄN</t>
        </is>
      </c>
      <c r="E160" t="inlineStr">
        <is>
          <t>KÖPING</t>
        </is>
      </c>
      <c r="G160" t="n">
        <v>2.4</v>
      </c>
      <c r="H160" t="n">
        <v>0</v>
      </c>
      <c r="I160" t="n">
        <v>0</v>
      </c>
      <c r="J160" t="n">
        <v>0</v>
      </c>
      <c r="K160" t="n">
        <v>0</v>
      </c>
      <c r="L160" t="n">
        <v>0</v>
      </c>
      <c r="M160" t="n">
        <v>0</v>
      </c>
      <c r="N160" t="n">
        <v>0</v>
      </c>
      <c r="O160" t="n">
        <v>0</v>
      </c>
      <c r="P160" t="n">
        <v>0</v>
      </c>
      <c r="Q160" t="n">
        <v>0</v>
      </c>
      <c r="R160" s="2" t="inlineStr"/>
    </row>
    <row r="161" ht="15" customHeight="1">
      <c r="A161" t="inlineStr">
        <is>
          <t>A 35532-2020</t>
        </is>
      </c>
      <c r="B161" s="1" t="n">
        <v>44043</v>
      </c>
      <c r="C161" s="1" t="n">
        <v>45355</v>
      </c>
      <c r="D161" t="inlineStr">
        <is>
          <t>VÄSTMANLANDS LÄN</t>
        </is>
      </c>
      <c r="E161" t="inlineStr">
        <is>
          <t>KÖPING</t>
        </is>
      </c>
      <c r="G161" t="n">
        <v>3.9</v>
      </c>
      <c r="H161" t="n">
        <v>0</v>
      </c>
      <c r="I161" t="n">
        <v>0</v>
      </c>
      <c r="J161" t="n">
        <v>0</v>
      </c>
      <c r="K161" t="n">
        <v>0</v>
      </c>
      <c r="L161" t="n">
        <v>0</v>
      </c>
      <c r="M161" t="n">
        <v>0</v>
      </c>
      <c r="N161" t="n">
        <v>0</v>
      </c>
      <c r="O161" t="n">
        <v>0</v>
      </c>
      <c r="P161" t="n">
        <v>0</v>
      </c>
      <c r="Q161" t="n">
        <v>0</v>
      </c>
      <c r="R161" s="2" t="inlineStr"/>
    </row>
    <row r="162" ht="15" customHeight="1">
      <c r="A162" t="inlineStr">
        <is>
          <t>A 37467-2020</t>
        </is>
      </c>
      <c r="B162" s="1" t="n">
        <v>44055</v>
      </c>
      <c r="C162" s="1" t="n">
        <v>45355</v>
      </c>
      <c r="D162" t="inlineStr">
        <is>
          <t>VÄSTMANLANDS LÄN</t>
        </is>
      </c>
      <c r="E162" t="inlineStr">
        <is>
          <t>KÖPING</t>
        </is>
      </c>
      <c r="F162" t="inlineStr">
        <is>
          <t>Kyrkan</t>
        </is>
      </c>
      <c r="G162" t="n">
        <v>1.1</v>
      </c>
      <c r="H162" t="n">
        <v>0</v>
      </c>
      <c r="I162" t="n">
        <v>0</v>
      </c>
      <c r="J162" t="n">
        <v>0</v>
      </c>
      <c r="K162" t="n">
        <v>0</v>
      </c>
      <c r="L162" t="n">
        <v>0</v>
      </c>
      <c r="M162" t="n">
        <v>0</v>
      </c>
      <c r="N162" t="n">
        <v>0</v>
      </c>
      <c r="O162" t="n">
        <v>0</v>
      </c>
      <c r="P162" t="n">
        <v>0</v>
      </c>
      <c r="Q162" t="n">
        <v>0</v>
      </c>
      <c r="R162" s="2" t="inlineStr"/>
    </row>
    <row r="163" ht="15" customHeight="1">
      <c r="A163" t="inlineStr">
        <is>
          <t>A 39936-2020</t>
        </is>
      </c>
      <c r="B163" s="1" t="n">
        <v>44067</v>
      </c>
      <c r="C163" s="1" t="n">
        <v>45355</v>
      </c>
      <c r="D163" t="inlineStr">
        <is>
          <t>VÄSTMANLANDS LÄN</t>
        </is>
      </c>
      <c r="E163" t="inlineStr">
        <is>
          <t>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39982-2020</t>
        </is>
      </c>
      <c r="B164" s="1" t="n">
        <v>44067</v>
      </c>
      <c r="C164" s="1" t="n">
        <v>45355</v>
      </c>
      <c r="D164" t="inlineStr">
        <is>
          <t>VÄSTMANLANDS LÄN</t>
        </is>
      </c>
      <c r="E164" t="inlineStr">
        <is>
          <t>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40486-2020</t>
        </is>
      </c>
      <c r="B165" s="1" t="n">
        <v>44069</v>
      </c>
      <c r="C165" s="1" t="n">
        <v>45355</v>
      </c>
      <c r="D165" t="inlineStr">
        <is>
          <t>VÄSTMANLANDS LÄN</t>
        </is>
      </c>
      <c r="E165" t="inlineStr">
        <is>
          <t>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40547-2020</t>
        </is>
      </c>
      <c r="B166" s="1" t="n">
        <v>44069</v>
      </c>
      <c r="C166" s="1" t="n">
        <v>45355</v>
      </c>
      <c r="D166" t="inlineStr">
        <is>
          <t>VÄSTMANLANDS LÄN</t>
        </is>
      </c>
      <c r="E166" t="inlineStr">
        <is>
          <t>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40671-2020</t>
        </is>
      </c>
      <c r="B167" s="1" t="n">
        <v>44069</v>
      </c>
      <c r="C167" s="1" t="n">
        <v>45355</v>
      </c>
      <c r="D167" t="inlineStr">
        <is>
          <t>VÄSTMANLANDS LÄN</t>
        </is>
      </c>
      <c r="E167" t="inlineStr">
        <is>
          <t>KÖPING</t>
        </is>
      </c>
      <c r="G167" t="n">
        <v>5.6</v>
      </c>
      <c r="H167" t="n">
        <v>0</v>
      </c>
      <c r="I167" t="n">
        <v>0</v>
      </c>
      <c r="J167" t="n">
        <v>0</v>
      </c>
      <c r="K167" t="n">
        <v>0</v>
      </c>
      <c r="L167" t="n">
        <v>0</v>
      </c>
      <c r="M167" t="n">
        <v>0</v>
      </c>
      <c r="N167" t="n">
        <v>0</v>
      </c>
      <c r="O167" t="n">
        <v>0</v>
      </c>
      <c r="P167" t="n">
        <v>0</v>
      </c>
      <c r="Q167" t="n">
        <v>0</v>
      </c>
      <c r="R167" s="2" t="inlineStr"/>
    </row>
    <row r="168" ht="15" customHeight="1">
      <c r="A168" t="inlineStr">
        <is>
          <t>A 41464-2020</t>
        </is>
      </c>
      <c r="B168" s="1" t="n">
        <v>44069</v>
      </c>
      <c r="C168" s="1" t="n">
        <v>45355</v>
      </c>
      <c r="D168" t="inlineStr">
        <is>
          <t>VÄSTMANLANDS LÄN</t>
        </is>
      </c>
      <c r="E168" t="inlineStr">
        <is>
          <t>KÖPING</t>
        </is>
      </c>
      <c r="G168" t="n">
        <v>8.1</v>
      </c>
      <c r="H168" t="n">
        <v>0</v>
      </c>
      <c r="I168" t="n">
        <v>0</v>
      </c>
      <c r="J168" t="n">
        <v>0</v>
      </c>
      <c r="K168" t="n">
        <v>0</v>
      </c>
      <c r="L168" t="n">
        <v>0</v>
      </c>
      <c r="M168" t="n">
        <v>0</v>
      </c>
      <c r="N168" t="n">
        <v>0</v>
      </c>
      <c r="O168" t="n">
        <v>0</v>
      </c>
      <c r="P168" t="n">
        <v>0</v>
      </c>
      <c r="Q168" t="n">
        <v>0</v>
      </c>
      <c r="R168" s="2" t="inlineStr"/>
    </row>
    <row r="169" ht="15" customHeight="1">
      <c r="A169" t="inlineStr">
        <is>
          <t>A 41568-2020</t>
        </is>
      </c>
      <c r="B169" s="1" t="n">
        <v>44069</v>
      </c>
      <c r="C169" s="1" t="n">
        <v>45355</v>
      </c>
      <c r="D169" t="inlineStr">
        <is>
          <t>VÄSTMANLANDS LÄN</t>
        </is>
      </c>
      <c r="E169" t="inlineStr">
        <is>
          <t>KÖPING</t>
        </is>
      </c>
      <c r="G169" t="n">
        <v>4.2</v>
      </c>
      <c r="H169" t="n">
        <v>0</v>
      </c>
      <c r="I169" t="n">
        <v>0</v>
      </c>
      <c r="J169" t="n">
        <v>0</v>
      </c>
      <c r="K169" t="n">
        <v>0</v>
      </c>
      <c r="L169" t="n">
        <v>0</v>
      </c>
      <c r="M169" t="n">
        <v>0</v>
      </c>
      <c r="N169" t="n">
        <v>0</v>
      </c>
      <c r="O169" t="n">
        <v>0</v>
      </c>
      <c r="P169" t="n">
        <v>0</v>
      </c>
      <c r="Q169" t="n">
        <v>0</v>
      </c>
      <c r="R169" s="2" t="inlineStr"/>
    </row>
    <row r="170" ht="15" customHeight="1">
      <c r="A170" t="inlineStr">
        <is>
          <t>A 41074-2020</t>
        </is>
      </c>
      <c r="B170" s="1" t="n">
        <v>44071</v>
      </c>
      <c r="C170" s="1" t="n">
        <v>45355</v>
      </c>
      <c r="D170" t="inlineStr">
        <is>
          <t>VÄSTMANLANDS LÄN</t>
        </is>
      </c>
      <c r="E170" t="inlineStr">
        <is>
          <t>KÖPING</t>
        </is>
      </c>
      <c r="F170" t="inlineStr">
        <is>
          <t>Sveaskog</t>
        </is>
      </c>
      <c r="G170" t="n">
        <v>0.7</v>
      </c>
      <c r="H170" t="n">
        <v>0</v>
      </c>
      <c r="I170" t="n">
        <v>0</v>
      </c>
      <c r="J170" t="n">
        <v>0</v>
      </c>
      <c r="K170" t="n">
        <v>0</v>
      </c>
      <c r="L170" t="n">
        <v>0</v>
      </c>
      <c r="M170" t="n">
        <v>0</v>
      </c>
      <c r="N170" t="n">
        <v>0</v>
      </c>
      <c r="O170" t="n">
        <v>0</v>
      </c>
      <c r="P170" t="n">
        <v>0</v>
      </c>
      <c r="Q170" t="n">
        <v>0</v>
      </c>
      <c r="R170" s="2" t="inlineStr"/>
    </row>
    <row r="171" ht="15" customHeight="1">
      <c r="A171" t="inlineStr">
        <is>
          <t>A 42309-2020</t>
        </is>
      </c>
      <c r="B171" s="1" t="n">
        <v>44076</v>
      </c>
      <c r="C171" s="1" t="n">
        <v>45355</v>
      </c>
      <c r="D171" t="inlineStr">
        <is>
          <t>VÄSTMANLANDS LÄN</t>
        </is>
      </c>
      <c r="E171" t="inlineStr">
        <is>
          <t>KÖPING</t>
        </is>
      </c>
      <c r="F171" t="inlineStr">
        <is>
          <t>Allmännings- och besparingsskogar</t>
        </is>
      </c>
      <c r="G171" t="n">
        <v>5.4</v>
      </c>
      <c r="H171" t="n">
        <v>0</v>
      </c>
      <c r="I171" t="n">
        <v>0</v>
      </c>
      <c r="J171" t="n">
        <v>0</v>
      </c>
      <c r="K171" t="n">
        <v>0</v>
      </c>
      <c r="L171" t="n">
        <v>0</v>
      </c>
      <c r="M171" t="n">
        <v>0</v>
      </c>
      <c r="N171" t="n">
        <v>0</v>
      </c>
      <c r="O171" t="n">
        <v>0</v>
      </c>
      <c r="P171" t="n">
        <v>0</v>
      </c>
      <c r="Q171" t="n">
        <v>0</v>
      </c>
      <c r="R171" s="2" t="inlineStr"/>
    </row>
    <row r="172" ht="15" customHeight="1">
      <c r="A172" t="inlineStr">
        <is>
          <t>A 43244-2020</t>
        </is>
      </c>
      <c r="B172" s="1" t="n">
        <v>44081</v>
      </c>
      <c r="C172" s="1" t="n">
        <v>45355</v>
      </c>
      <c r="D172" t="inlineStr">
        <is>
          <t>VÄSTMANLANDS LÄN</t>
        </is>
      </c>
      <c r="E172" t="inlineStr">
        <is>
          <t>KÖPING</t>
        </is>
      </c>
      <c r="F172" t="inlineStr">
        <is>
          <t>Sveaskog</t>
        </is>
      </c>
      <c r="G172" t="n">
        <v>0.5</v>
      </c>
      <c r="H172" t="n">
        <v>0</v>
      </c>
      <c r="I172" t="n">
        <v>0</v>
      </c>
      <c r="J172" t="n">
        <v>0</v>
      </c>
      <c r="K172" t="n">
        <v>0</v>
      </c>
      <c r="L172" t="n">
        <v>0</v>
      </c>
      <c r="M172" t="n">
        <v>0</v>
      </c>
      <c r="N172" t="n">
        <v>0</v>
      </c>
      <c r="O172" t="n">
        <v>0</v>
      </c>
      <c r="P172" t="n">
        <v>0</v>
      </c>
      <c r="Q172" t="n">
        <v>0</v>
      </c>
      <c r="R172" s="2" t="inlineStr"/>
    </row>
    <row r="173" ht="15" customHeight="1">
      <c r="A173" t="inlineStr">
        <is>
          <t>A 44969-2020</t>
        </is>
      </c>
      <c r="B173" s="1" t="n">
        <v>44088</v>
      </c>
      <c r="C173" s="1" t="n">
        <v>45355</v>
      </c>
      <c r="D173" t="inlineStr">
        <is>
          <t>VÄSTMANLANDS LÄN</t>
        </is>
      </c>
      <c r="E173" t="inlineStr">
        <is>
          <t>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47048-2020</t>
        </is>
      </c>
      <c r="B174" s="1" t="n">
        <v>44096</v>
      </c>
      <c r="C174" s="1" t="n">
        <v>45355</v>
      </c>
      <c r="D174" t="inlineStr">
        <is>
          <t>VÄSTMANLANDS LÄN</t>
        </is>
      </c>
      <c r="E174" t="inlineStr">
        <is>
          <t>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47944-2020</t>
        </is>
      </c>
      <c r="B175" s="1" t="n">
        <v>44099</v>
      </c>
      <c r="C175" s="1" t="n">
        <v>45355</v>
      </c>
      <c r="D175" t="inlineStr">
        <is>
          <t>VÄSTMANLANDS LÄN</t>
        </is>
      </c>
      <c r="E175" t="inlineStr">
        <is>
          <t>KÖPING</t>
        </is>
      </c>
      <c r="F175" t="inlineStr">
        <is>
          <t>Sveaskog</t>
        </is>
      </c>
      <c r="G175" t="n">
        <v>4.2</v>
      </c>
      <c r="H175" t="n">
        <v>0</v>
      </c>
      <c r="I175" t="n">
        <v>0</v>
      </c>
      <c r="J175" t="n">
        <v>0</v>
      </c>
      <c r="K175" t="n">
        <v>0</v>
      </c>
      <c r="L175" t="n">
        <v>0</v>
      </c>
      <c r="M175" t="n">
        <v>0</v>
      </c>
      <c r="N175" t="n">
        <v>0</v>
      </c>
      <c r="O175" t="n">
        <v>0</v>
      </c>
      <c r="P175" t="n">
        <v>0</v>
      </c>
      <c r="Q175" t="n">
        <v>0</v>
      </c>
      <c r="R175" s="2" t="inlineStr"/>
    </row>
    <row r="176" ht="15" customHeight="1">
      <c r="A176" t="inlineStr">
        <is>
          <t>A 50357-2020</t>
        </is>
      </c>
      <c r="B176" s="1" t="n">
        <v>44110</v>
      </c>
      <c r="C176" s="1" t="n">
        <v>45355</v>
      </c>
      <c r="D176" t="inlineStr">
        <is>
          <t>VÄSTMANLANDS LÄN</t>
        </is>
      </c>
      <c r="E176" t="inlineStr">
        <is>
          <t>KÖPING</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50360-2020</t>
        </is>
      </c>
      <c r="B177" s="1" t="n">
        <v>44110</v>
      </c>
      <c r="C177" s="1" t="n">
        <v>45355</v>
      </c>
      <c r="D177" t="inlineStr">
        <is>
          <t>VÄSTMANLANDS LÄN</t>
        </is>
      </c>
      <c r="E177" t="inlineStr">
        <is>
          <t>KÖPING</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51349-2020</t>
        </is>
      </c>
      <c r="B178" s="1" t="n">
        <v>44112</v>
      </c>
      <c r="C178" s="1" t="n">
        <v>45355</v>
      </c>
      <c r="D178" t="inlineStr">
        <is>
          <t>VÄSTMANLANDS LÄN</t>
        </is>
      </c>
      <c r="E178" t="inlineStr">
        <is>
          <t>KÖPING</t>
        </is>
      </c>
      <c r="F178" t="inlineStr">
        <is>
          <t>Sveaskog</t>
        </is>
      </c>
      <c r="G178" t="n">
        <v>0.5</v>
      </c>
      <c r="H178" t="n">
        <v>0</v>
      </c>
      <c r="I178" t="n">
        <v>0</v>
      </c>
      <c r="J178" t="n">
        <v>0</v>
      </c>
      <c r="K178" t="n">
        <v>0</v>
      </c>
      <c r="L178" t="n">
        <v>0</v>
      </c>
      <c r="M178" t="n">
        <v>0</v>
      </c>
      <c r="N178" t="n">
        <v>0</v>
      </c>
      <c r="O178" t="n">
        <v>0</v>
      </c>
      <c r="P178" t="n">
        <v>0</v>
      </c>
      <c r="Q178" t="n">
        <v>0</v>
      </c>
      <c r="R178" s="2" t="inlineStr"/>
    </row>
    <row r="179" ht="15" customHeight="1">
      <c r="A179" t="inlineStr">
        <is>
          <t>A 51350-2020</t>
        </is>
      </c>
      <c r="B179" s="1" t="n">
        <v>44112</v>
      </c>
      <c r="C179" s="1" t="n">
        <v>45355</v>
      </c>
      <c r="D179" t="inlineStr">
        <is>
          <t>VÄSTMANLANDS LÄN</t>
        </is>
      </c>
      <c r="E179" t="inlineStr">
        <is>
          <t>KÖPING</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51607-2020</t>
        </is>
      </c>
      <c r="B180" s="1" t="n">
        <v>44113</v>
      </c>
      <c r="C180" s="1" t="n">
        <v>45355</v>
      </c>
      <c r="D180" t="inlineStr">
        <is>
          <t>VÄSTMANLANDS LÄN</t>
        </is>
      </c>
      <c r="E180" t="inlineStr">
        <is>
          <t>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52289-2020</t>
        </is>
      </c>
      <c r="B181" s="1" t="n">
        <v>44117</v>
      </c>
      <c r="C181" s="1" t="n">
        <v>45355</v>
      </c>
      <c r="D181" t="inlineStr">
        <is>
          <t>VÄSTMANLANDS LÄN</t>
        </is>
      </c>
      <c r="E181" t="inlineStr">
        <is>
          <t>KÖPING</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53306-2020</t>
        </is>
      </c>
      <c r="B182" s="1" t="n">
        <v>44123</v>
      </c>
      <c r="C182" s="1" t="n">
        <v>45355</v>
      </c>
      <c r="D182" t="inlineStr">
        <is>
          <t>VÄSTMANLANDS LÄN</t>
        </is>
      </c>
      <c r="E182" t="inlineStr">
        <is>
          <t>KÖPING</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54117-2020</t>
        </is>
      </c>
      <c r="B183" s="1" t="n">
        <v>44123</v>
      </c>
      <c r="C183" s="1" t="n">
        <v>45355</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54276-2020</t>
        </is>
      </c>
      <c r="B184" s="1" t="n">
        <v>44126</v>
      </c>
      <c r="C184" s="1" t="n">
        <v>45355</v>
      </c>
      <c r="D184" t="inlineStr">
        <is>
          <t>VÄSTMANLANDS LÄN</t>
        </is>
      </c>
      <c r="E184" t="inlineStr">
        <is>
          <t>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54769-2020</t>
        </is>
      </c>
      <c r="B185" s="1" t="n">
        <v>44127</v>
      </c>
      <c r="C185" s="1" t="n">
        <v>45355</v>
      </c>
      <c r="D185" t="inlineStr">
        <is>
          <t>VÄSTMANLANDS LÄN</t>
        </is>
      </c>
      <c r="E185" t="inlineStr">
        <is>
          <t>KÖPING</t>
        </is>
      </c>
      <c r="F185" t="inlineStr">
        <is>
          <t>Allmännings- och besparingsskogar</t>
        </is>
      </c>
      <c r="G185" t="n">
        <v>23.2</v>
      </c>
      <c r="H185" t="n">
        <v>0</v>
      </c>
      <c r="I185" t="n">
        <v>0</v>
      </c>
      <c r="J185" t="n">
        <v>0</v>
      </c>
      <c r="K185" t="n">
        <v>0</v>
      </c>
      <c r="L185" t="n">
        <v>0</v>
      </c>
      <c r="M185" t="n">
        <v>0</v>
      </c>
      <c r="N185" t="n">
        <v>0</v>
      </c>
      <c r="O185" t="n">
        <v>0</v>
      </c>
      <c r="P185" t="n">
        <v>0</v>
      </c>
      <c r="Q185" t="n">
        <v>0</v>
      </c>
      <c r="R185" s="2" t="inlineStr"/>
    </row>
    <row r="186" ht="15" customHeight="1">
      <c r="A186" t="inlineStr">
        <is>
          <t>A 57629-2020</t>
        </is>
      </c>
      <c r="B186" s="1" t="n">
        <v>44140</v>
      </c>
      <c r="C186" s="1" t="n">
        <v>45355</v>
      </c>
      <c r="D186" t="inlineStr">
        <is>
          <t>VÄSTMANLANDS LÄN</t>
        </is>
      </c>
      <c r="E186" t="inlineStr">
        <is>
          <t>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57979-2020</t>
        </is>
      </c>
      <c r="B187" s="1" t="n">
        <v>44143</v>
      </c>
      <c r="C187" s="1" t="n">
        <v>45355</v>
      </c>
      <c r="D187" t="inlineStr">
        <is>
          <t>VÄSTMANLANDS LÄN</t>
        </is>
      </c>
      <c r="E187" t="inlineStr">
        <is>
          <t>KÖPING</t>
        </is>
      </c>
      <c r="G187" t="n">
        <v>5</v>
      </c>
      <c r="H187" t="n">
        <v>0</v>
      </c>
      <c r="I187" t="n">
        <v>0</v>
      </c>
      <c r="J187" t="n">
        <v>0</v>
      </c>
      <c r="K187" t="n">
        <v>0</v>
      </c>
      <c r="L187" t="n">
        <v>0</v>
      </c>
      <c r="M187" t="n">
        <v>0</v>
      </c>
      <c r="N187" t="n">
        <v>0</v>
      </c>
      <c r="O187" t="n">
        <v>0</v>
      </c>
      <c r="P187" t="n">
        <v>0</v>
      </c>
      <c r="Q187" t="n">
        <v>0</v>
      </c>
      <c r="R187" s="2" t="inlineStr"/>
    </row>
    <row r="188" ht="15" customHeight="1">
      <c r="A188" t="inlineStr">
        <is>
          <t>A 61201-2020</t>
        </is>
      </c>
      <c r="B188" s="1" t="n">
        <v>44155</v>
      </c>
      <c r="C188" s="1" t="n">
        <v>45355</v>
      </c>
      <c r="D188" t="inlineStr">
        <is>
          <t>VÄSTMANLANDS LÄN</t>
        </is>
      </c>
      <c r="E188" t="inlineStr">
        <is>
          <t>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61202-2020</t>
        </is>
      </c>
      <c r="B189" s="1" t="n">
        <v>44155</v>
      </c>
      <c r="C189" s="1" t="n">
        <v>45355</v>
      </c>
      <c r="D189" t="inlineStr">
        <is>
          <t>VÄSTMANLANDS LÄN</t>
        </is>
      </c>
      <c r="E189" t="inlineStr">
        <is>
          <t>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64317-2020</t>
        </is>
      </c>
      <c r="B190" s="1" t="n">
        <v>44167</v>
      </c>
      <c r="C190" s="1" t="n">
        <v>45355</v>
      </c>
      <c r="D190" t="inlineStr">
        <is>
          <t>VÄSTMANLANDS LÄN</t>
        </is>
      </c>
      <c r="E190" t="inlineStr">
        <is>
          <t>KÖPING</t>
        </is>
      </c>
      <c r="G190" t="n">
        <v>6.8</v>
      </c>
      <c r="H190" t="n">
        <v>0</v>
      </c>
      <c r="I190" t="n">
        <v>0</v>
      </c>
      <c r="J190" t="n">
        <v>0</v>
      </c>
      <c r="K190" t="n">
        <v>0</v>
      </c>
      <c r="L190" t="n">
        <v>0</v>
      </c>
      <c r="M190" t="n">
        <v>0</v>
      </c>
      <c r="N190" t="n">
        <v>0</v>
      </c>
      <c r="O190" t="n">
        <v>0</v>
      </c>
      <c r="P190" t="n">
        <v>0</v>
      </c>
      <c r="Q190" t="n">
        <v>0</v>
      </c>
      <c r="R190" s="2" t="inlineStr"/>
    </row>
    <row r="191" ht="15" customHeight="1">
      <c r="A191" t="inlineStr">
        <is>
          <t>A 65193-2020</t>
        </is>
      </c>
      <c r="B191" s="1" t="n">
        <v>44172</v>
      </c>
      <c r="C191" s="1" t="n">
        <v>45355</v>
      </c>
      <c r="D191" t="inlineStr">
        <is>
          <t>VÄSTMANLANDS LÄN</t>
        </is>
      </c>
      <c r="E191" t="inlineStr">
        <is>
          <t>KÖPING</t>
        </is>
      </c>
      <c r="F191" t="inlineStr">
        <is>
          <t>Sveaskog</t>
        </is>
      </c>
      <c r="G191" t="n">
        <v>8</v>
      </c>
      <c r="H191" t="n">
        <v>0</v>
      </c>
      <c r="I191" t="n">
        <v>0</v>
      </c>
      <c r="J191" t="n">
        <v>0</v>
      </c>
      <c r="K191" t="n">
        <v>0</v>
      </c>
      <c r="L191" t="n">
        <v>0</v>
      </c>
      <c r="M191" t="n">
        <v>0</v>
      </c>
      <c r="N191" t="n">
        <v>0</v>
      </c>
      <c r="O191" t="n">
        <v>0</v>
      </c>
      <c r="P191" t="n">
        <v>0</v>
      </c>
      <c r="Q191" t="n">
        <v>0</v>
      </c>
      <c r="R191" s="2" t="inlineStr"/>
    </row>
    <row r="192" ht="15" customHeight="1">
      <c r="A192" t="inlineStr">
        <is>
          <t>A 67005-2020</t>
        </is>
      </c>
      <c r="B192" s="1" t="n">
        <v>44180</v>
      </c>
      <c r="C192" s="1" t="n">
        <v>45355</v>
      </c>
      <c r="D192" t="inlineStr">
        <is>
          <t>VÄSTMANLANDS LÄN</t>
        </is>
      </c>
      <c r="E192" t="inlineStr">
        <is>
          <t>KÖPING</t>
        </is>
      </c>
      <c r="F192" t="inlineStr">
        <is>
          <t>Allmännings- och besparingsskogar</t>
        </is>
      </c>
      <c r="G192" t="n">
        <v>4.6</v>
      </c>
      <c r="H192" t="n">
        <v>0</v>
      </c>
      <c r="I192" t="n">
        <v>0</v>
      </c>
      <c r="J192" t="n">
        <v>0</v>
      </c>
      <c r="K192" t="n">
        <v>0</v>
      </c>
      <c r="L192" t="n">
        <v>0</v>
      </c>
      <c r="M192" t="n">
        <v>0</v>
      </c>
      <c r="N192" t="n">
        <v>0</v>
      </c>
      <c r="O192" t="n">
        <v>0</v>
      </c>
      <c r="P192" t="n">
        <v>0</v>
      </c>
      <c r="Q192" t="n">
        <v>0</v>
      </c>
      <c r="R192" s="2" t="inlineStr"/>
    </row>
    <row r="193" ht="15" customHeight="1">
      <c r="A193" t="inlineStr">
        <is>
          <t>A 68513-2020</t>
        </is>
      </c>
      <c r="B193" s="1" t="n">
        <v>44186</v>
      </c>
      <c r="C193" s="1" t="n">
        <v>45355</v>
      </c>
      <c r="D193" t="inlineStr">
        <is>
          <t>VÄSTMANLANDS LÄN</t>
        </is>
      </c>
      <c r="E193" t="inlineStr">
        <is>
          <t>KÖPING</t>
        </is>
      </c>
      <c r="F193" t="inlineStr">
        <is>
          <t>Sveaskog</t>
        </is>
      </c>
      <c r="G193" t="n">
        <v>0.1</v>
      </c>
      <c r="H193" t="n">
        <v>0</v>
      </c>
      <c r="I193" t="n">
        <v>0</v>
      </c>
      <c r="J193" t="n">
        <v>0</v>
      </c>
      <c r="K193" t="n">
        <v>0</v>
      </c>
      <c r="L193" t="n">
        <v>0</v>
      </c>
      <c r="M193" t="n">
        <v>0</v>
      </c>
      <c r="N193" t="n">
        <v>0</v>
      </c>
      <c r="O193" t="n">
        <v>0</v>
      </c>
      <c r="P193" t="n">
        <v>0</v>
      </c>
      <c r="Q193" t="n">
        <v>0</v>
      </c>
      <c r="R193" s="2" t="inlineStr"/>
    </row>
    <row r="194" ht="15" customHeight="1">
      <c r="A194" t="inlineStr">
        <is>
          <t>A 68531-2020</t>
        </is>
      </c>
      <c r="B194" s="1" t="n">
        <v>44186</v>
      </c>
      <c r="C194" s="1" t="n">
        <v>45355</v>
      </c>
      <c r="D194" t="inlineStr">
        <is>
          <t>VÄSTMANLANDS LÄN</t>
        </is>
      </c>
      <c r="E194" t="inlineStr">
        <is>
          <t>KÖPING</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263-2021</t>
        </is>
      </c>
      <c r="B195" s="1" t="n">
        <v>44200</v>
      </c>
      <c r="C195" s="1" t="n">
        <v>45355</v>
      </c>
      <c r="D195" t="inlineStr">
        <is>
          <t>VÄSTMANLANDS LÄN</t>
        </is>
      </c>
      <c r="E195" t="inlineStr">
        <is>
          <t>KÖPING</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4508-2021</t>
        </is>
      </c>
      <c r="B196" s="1" t="n">
        <v>44224</v>
      </c>
      <c r="C196" s="1" t="n">
        <v>45355</v>
      </c>
      <c r="D196" t="inlineStr">
        <is>
          <t>VÄSTMANLANDS LÄN</t>
        </is>
      </c>
      <c r="E196" t="inlineStr">
        <is>
          <t>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6834-2021</t>
        </is>
      </c>
      <c r="B197" s="1" t="n">
        <v>44236</v>
      </c>
      <c r="C197" s="1" t="n">
        <v>45355</v>
      </c>
      <c r="D197" t="inlineStr">
        <is>
          <t>VÄSTMANLANDS LÄN</t>
        </is>
      </c>
      <c r="E197" t="inlineStr">
        <is>
          <t>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6830-2021</t>
        </is>
      </c>
      <c r="B198" s="1" t="n">
        <v>44236</v>
      </c>
      <c r="C198" s="1" t="n">
        <v>45355</v>
      </c>
      <c r="D198" t="inlineStr">
        <is>
          <t>VÄSTMANLANDS LÄN</t>
        </is>
      </c>
      <c r="E198" t="inlineStr">
        <is>
          <t>KÖPING</t>
        </is>
      </c>
      <c r="G198" t="n">
        <v>4.5</v>
      </c>
      <c r="H198" t="n">
        <v>0</v>
      </c>
      <c r="I198" t="n">
        <v>0</v>
      </c>
      <c r="J198" t="n">
        <v>0</v>
      </c>
      <c r="K198" t="n">
        <v>0</v>
      </c>
      <c r="L198" t="n">
        <v>0</v>
      </c>
      <c r="M198" t="n">
        <v>0</v>
      </c>
      <c r="N198" t="n">
        <v>0</v>
      </c>
      <c r="O198" t="n">
        <v>0</v>
      </c>
      <c r="P198" t="n">
        <v>0</v>
      </c>
      <c r="Q198" t="n">
        <v>0</v>
      </c>
      <c r="R198" s="2" t="inlineStr"/>
    </row>
    <row r="199" ht="15" customHeight="1">
      <c r="A199" t="inlineStr">
        <is>
          <t>A 6913-2021</t>
        </is>
      </c>
      <c r="B199" s="1" t="n">
        <v>44237</v>
      </c>
      <c r="C199" s="1" t="n">
        <v>45355</v>
      </c>
      <c r="D199" t="inlineStr">
        <is>
          <t>VÄSTMANLANDS LÄN</t>
        </is>
      </c>
      <c r="E199" t="inlineStr">
        <is>
          <t>KÖPING</t>
        </is>
      </c>
      <c r="G199" t="n">
        <v>5</v>
      </c>
      <c r="H199" t="n">
        <v>0</v>
      </c>
      <c r="I199" t="n">
        <v>0</v>
      </c>
      <c r="J199" t="n">
        <v>0</v>
      </c>
      <c r="K199" t="n">
        <v>0</v>
      </c>
      <c r="L199" t="n">
        <v>0</v>
      </c>
      <c r="M199" t="n">
        <v>0</v>
      </c>
      <c r="N199" t="n">
        <v>0</v>
      </c>
      <c r="O199" t="n">
        <v>0</v>
      </c>
      <c r="P199" t="n">
        <v>0</v>
      </c>
      <c r="Q199" t="n">
        <v>0</v>
      </c>
      <c r="R199" s="2" t="inlineStr"/>
    </row>
    <row r="200" ht="15" customHeight="1">
      <c r="A200" t="inlineStr">
        <is>
          <t>A 8731-2021</t>
        </is>
      </c>
      <c r="B200" s="1" t="n">
        <v>44246</v>
      </c>
      <c r="C200" s="1" t="n">
        <v>45355</v>
      </c>
      <c r="D200" t="inlineStr">
        <is>
          <t>VÄSTMANLANDS LÄN</t>
        </is>
      </c>
      <c r="E200" t="inlineStr">
        <is>
          <t>KÖPING</t>
        </is>
      </c>
      <c r="F200" t="inlineStr">
        <is>
          <t>Sveaskog</t>
        </is>
      </c>
      <c r="G200" t="n">
        <v>0.1</v>
      </c>
      <c r="H200" t="n">
        <v>0</v>
      </c>
      <c r="I200" t="n">
        <v>0</v>
      </c>
      <c r="J200" t="n">
        <v>0</v>
      </c>
      <c r="K200" t="n">
        <v>0</v>
      </c>
      <c r="L200" t="n">
        <v>0</v>
      </c>
      <c r="M200" t="n">
        <v>0</v>
      </c>
      <c r="N200" t="n">
        <v>0</v>
      </c>
      <c r="O200" t="n">
        <v>0</v>
      </c>
      <c r="P200" t="n">
        <v>0</v>
      </c>
      <c r="Q200" t="n">
        <v>0</v>
      </c>
      <c r="R200" s="2" t="inlineStr"/>
    </row>
    <row r="201" ht="15" customHeight="1">
      <c r="A201" t="inlineStr">
        <is>
          <t>A 8681-2021</t>
        </is>
      </c>
      <c r="B201" s="1" t="n">
        <v>44246</v>
      </c>
      <c r="C201" s="1" t="n">
        <v>45355</v>
      </c>
      <c r="D201" t="inlineStr">
        <is>
          <t>VÄSTMANLANDS LÄN</t>
        </is>
      </c>
      <c r="E201" t="inlineStr">
        <is>
          <t>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10435-2021</t>
        </is>
      </c>
      <c r="B202" s="1" t="n">
        <v>44257</v>
      </c>
      <c r="C202" s="1" t="n">
        <v>45355</v>
      </c>
      <c r="D202" t="inlineStr">
        <is>
          <t>VÄSTMANLANDS LÄN</t>
        </is>
      </c>
      <c r="E202" t="inlineStr">
        <is>
          <t>KÖPING</t>
        </is>
      </c>
      <c r="F202" t="inlineStr">
        <is>
          <t>Kyrkan</t>
        </is>
      </c>
      <c r="G202" t="n">
        <v>1.4</v>
      </c>
      <c r="H202" t="n">
        <v>0</v>
      </c>
      <c r="I202" t="n">
        <v>0</v>
      </c>
      <c r="J202" t="n">
        <v>0</v>
      </c>
      <c r="K202" t="n">
        <v>0</v>
      </c>
      <c r="L202" t="n">
        <v>0</v>
      </c>
      <c r="M202" t="n">
        <v>0</v>
      </c>
      <c r="N202" t="n">
        <v>0</v>
      </c>
      <c r="O202" t="n">
        <v>0</v>
      </c>
      <c r="P202" t="n">
        <v>0</v>
      </c>
      <c r="Q202" t="n">
        <v>0</v>
      </c>
      <c r="R202" s="2" t="inlineStr"/>
    </row>
    <row r="203" ht="15" customHeight="1">
      <c r="A203" t="inlineStr">
        <is>
          <t>A 10431-2021</t>
        </is>
      </c>
      <c r="B203" s="1" t="n">
        <v>44257</v>
      </c>
      <c r="C203" s="1" t="n">
        <v>45355</v>
      </c>
      <c r="D203" t="inlineStr">
        <is>
          <t>VÄSTMANLANDS LÄN</t>
        </is>
      </c>
      <c r="E203" t="inlineStr">
        <is>
          <t>KÖPING</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10972-2021</t>
        </is>
      </c>
      <c r="B204" s="1" t="n">
        <v>44260</v>
      </c>
      <c r="C204" s="1" t="n">
        <v>45355</v>
      </c>
      <c r="D204" t="inlineStr">
        <is>
          <t>VÄSTMANLANDS LÄN</t>
        </is>
      </c>
      <c r="E204" t="inlineStr">
        <is>
          <t>KÖPING</t>
        </is>
      </c>
      <c r="F204" t="inlineStr">
        <is>
          <t>Sveaskog</t>
        </is>
      </c>
      <c r="G204" t="n">
        <v>6</v>
      </c>
      <c r="H204" t="n">
        <v>0</v>
      </c>
      <c r="I204" t="n">
        <v>0</v>
      </c>
      <c r="J204" t="n">
        <v>0</v>
      </c>
      <c r="K204" t="n">
        <v>0</v>
      </c>
      <c r="L204" t="n">
        <v>0</v>
      </c>
      <c r="M204" t="n">
        <v>0</v>
      </c>
      <c r="N204" t="n">
        <v>0</v>
      </c>
      <c r="O204" t="n">
        <v>0</v>
      </c>
      <c r="P204" t="n">
        <v>0</v>
      </c>
      <c r="Q204" t="n">
        <v>0</v>
      </c>
      <c r="R204" s="2" t="inlineStr"/>
    </row>
    <row r="205" ht="15" customHeight="1">
      <c r="A205" t="inlineStr">
        <is>
          <t>A 11890-2021</t>
        </is>
      </c>
      <c r="B205" s="1" t="n">
        <v>44265</v>
      </c>
      <c r="C205" s="1" t="n">
        <v>45355</v>
      </c>
      <c r="D205" t="inlineStr">
        <is>
          <t>VÄSTMANLANDS LÄN</t>
        </is>
      </c>
      <c r="E205" t="inlineStr">
        <is>
          <t>KÖPING</t>
        </is>
      </c>
      <c r="G205" t="n">
        <v>3</v>
      </c>
      <c r="H205" t="n">
        <v>0</v>
      </c>
      <c r="I205" t="n">
        <v>0</v>
      </c>
      <c r="J205" t="n">
        <v>0</v>
      </c>
      <c r="K205" t="n">
        <v>0</v>
      </c>
      <c r="L205" t="n">
        <v>0</v>
      </c>
      <c r="M205" t="n">
        <v>0</v>
      </c>
      <c r="N205" t="n">
        <v>0</v>
      </c>
      <c r="O205" t="n">
        <v>0</v>
      </c>
      <c r="P205" t="n">
        <v>0</v>
      </c>
      <c r="Q205" t="n">
        <v>0</v>
      </c>
      <c r="R205" s="2" t="inlineStr"/>
    </row>
    <row r="206" ht="15" customHeight="1">
      <c r="A206" t="inlineStr">
        <is>
          <t>A 11922-2021</t>
        </is>
      </c>
      <c r="B206" s="1" t="n">
        <v>44266</v>
      </c>
      <c r="C206" s="1" t="n">
        <v>45355</v>
      </c>
      <c r="D206" t="inlineStr">
        <is>
          <t>VÄSTMANLANDS LÄN</t>
        </is>
      </c>
      <c r="E206" t="inlineStr">
        <is>
          <t>KÖPING</t>
        </is>
      </c>
      <c r="G206" t="n">
        <v>4.7</v>
      </c>
      <c r="H206" t="n">
        <v>0</v>
      </c>
      <c r="I206" t="n">
        <v>0</v>
      </c>
      <c r="J206" t="n">
        <v>0</v>
      </c>
      <c r="K206" t="n">
        <v>0</v>
      </c>
      <c r="L206" t="n">
        <v>0</v>
      </c>
      <c r="M206" t="n">
        <v>0</v>
      </c>
      <c r="N206" t="n">
        <v>0</v>
      </c>
      <c r="O206" t="n">
        <v>0</v>
      </c>
      <c r="P206" t="n">
        <v>0</v>
      </c>
      <c r="Q206" t="n">
        <v>0</v>
      </c>
      <c r="R206" s="2" t="inlineStr"/>
    </row>
    <row r="207" ht="15" customHeight="1">
      <c r="A207" t="inlineStr">
        <is>
          <t>A 12357-2021</t>
        </is>
      </c>
      <c r="B207" s="1" t="n">
        <v>44267</v>
      </c>
      <c r="C207" s="1" t="n">
        <v>45355</v>
      </c>
      <c r="D207" t="inlineStr">
        <is>
          <t>VÄSTMANLANDS LÄN</t>
        </is>
      </c>
      <c r="E207" t="inlineStr">
        <is>
          <t>KÖPING</t>
        </is>
      </c>
      <c r="G207" t="n">
        <v>4.2</v>
      </c>
      <c r="H207" t="n">
        <v>0</v>
      </c>
      <c r="I207" t="n">
        <v>0</v>
      </c>
      <c r="J207" t="n">
        <v>0</v>
      </c>
      <c r="K207" t="n">
        <v>0</v>
      </c>
      <c r="L207" t="n">
        <v>0</v>
      </c>
      <c r="M207" t="n">
        <v>0</v>
      </c>
      <c r="N207" t="n">
        <v>0</v>
      </c>
      <c r="O207" t="n">
        <v>0</v>
      </c>
      <c r="P207" t="n">
        <v>0</v>
      </c>
      <c r="Q207" t="n">
        <v>0</v>
      </c>
      <c r="R207" s="2" t="inlineStr"/>
    </row>
    <row r="208" ht="15" customHeight="1">
      <c r="A208" t="inlineStr">
        <is>
          <t>A 12655-2021</t>
        </is>
      </c>
      <c r="B208" s="1" t="n">
        <v>44267</v>
      </c>
      <c r="C208" s="1" t="n">
        <v>45355</v>
      </c>
      <c r="D208" t="inlineStr">
        <is>
          <t>VÄSTMANLANDS LÄN</t>
        </is>
      </c>
      <c r="E208" t="inlineStr">
        <is>
          <t>KÖPING</t>
        </is>
      </c>
      <c r="G208" t="n">
        <v>6.2</v>
      </c>
      <c r="H208" t="n">
        <v>0</v>
      </c>
      <c r="I208" t="n">
        <v>0</v>
      </c>
      <c r="J208" t="n">
        <v>0</v>
      </c>
      <c r="K208" t="n">
        <v>0</v>
      </c>
      <c r="L208" t="n">
        <v>0</v>
      </c>
      <c r="M208" t="n">
        <v>0</v>
      </c>
      <c r="N208" t="n">
        <v>0</v>
      </c>
      <c r="O208" t="n">
        <v>0</v>
      </c>
      <c r="P208" t="n">
        <v>0</v>
      </c>
      <c r="Q208" t="n">
        <v>0</v>
      </c>
      <c r="R208" s="2" t="inlineStr"/>
    </row>
    <row r="209" ht="15" customHeight="1">
      <c r="A209" t="inlineStr">
        <is>
          <t>A 12641-2021</t>
        </is>
      </c>
      <c r="B209" s="1" t="n">
        <v>44267</v>
      </c>
      <c r="C209" s="1" t="n">
        <v>45355</v>
      </c>
      <c r="D209" t="inlineStr">
        <is>
          <t>VÄSTMANLANDS LÄN</t>
        </is>
      </c>
      <c r="E209" t="inlineStr">
        <is>
          <t>KÖPING</t>
        </is>
      </c>
      <c r="G209" t="n">
        <v>10.7</v>
      </c>
      <c r="H209" t="n">
        <v>0</v>
      </c>
      <c r="I209" t="n">
        <v>0</v>
      </c>
      <c r="J209" t="n">
        <v>0</v>
      </c>
      <c r="K209" t="n">
        <v>0</v>
      </c>
      <c r="L209" t="n">
        <v>0</v>
      </c>
      <c r="M209" t="n">
        <v>0</v>
      </c>
      <c r="N209" t="n">
        <v>0</v>
      </c>
      <c r="O209" t="n">
        <v>0</v>
      </c>
      <c r="P209" t="n">
        <v>0</v>
      </c>
      <c r="Q209" t="n">
        <v>0</v>
      </c>
      <c r="R209" s="2" t="inlineStr"/>
    </row>
    <row r="210" ht="15" customHeight="1">
      <c r="A210" t="inlineStr">
        <is>
          <t>A 14314-2021</t>
        </is>
      </c>
      <c r="B210" s="1" t="n">
        <v>44278</v>
      </c>
      <c r="C210" s="1" t="n">
        <v>45355</v>
      </c>
      <c r="D210" t="inlineStr">
        <is>
          <t>VÄSTMANLANDS LÄN</t>
        </is>
      </c>
      <c r="E210" t="inlineStr">
        <is>
          <t>KÖPING</t>
        </is>
      </c>
      <c r="G210" t="n">
        <v>3.1</v>
      </c>
      <c r="H210" t="n">
        <v>0</v>
      </c>
      <c r="I210" t="n">
        <v>0</v>
      </c>
      <c r="J210" t="n">
        <v>0</v>
      </c>
      <c r="K210" t="n">
        <v>0</v>
      </c>
      <c r="L210" t="n">
        <v>0</v>
      </c>
      <c r="M210" t="n">
        <v>0</v>
      </c>
      <c r="N210" t="n">
        <v>0</v>
      </c>
      <c r="O210" t="n">
        <v>0</v>
      </c>
      <c r="P210" t="n">
        <v>0</v>
      </c>
      <c r="Q210" t="n">
        <v>0</v>
      </c>
      <c r="R210" s="2" t="inlineStr"/>
    </row>
    <row r="211" ht="15" customHeight="1">
      <c r="A211" t="inlineStr">
        <is>
          <t>A 14313-2021</t>
        </is>
      </c>
      <c r="B211" s="1" t="n">
        <v>44278</v>
      </c>
      <c r="C211" s="1" t="n">
        <v>45355</v>
      </c>
      <c r="D211" t="inlineStr">
        <is>
          <t>VÄSTMANLANDS LÄN</t>
        </is>
      </c>
      <c r="E211" t="inlineStr">
        <is>
          <t>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15575-2021</t>
        </is>
      </c>
      <c r="B212" s="1" t="n">
        <v>44285</v>
      </c>
      <c r="C212" s="1" t="n">
        <v>45355</v>
      </c>
      <c r="D212" t="inlineStr">
        <is>
          <t>VÄSTMANLANDS LÄN</t>
        </is>
      </c>
      <c r="E212" t="inlineStr">
        <is>
          <t>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15847-2021</t>
        </is>
      </c>
      <c r="B213" s="1" t="n">
        <v>44286</v>
      </c>
      <c r="C213" s="1" t="n">
        <v>45355</v>
      </c>
      <c r="D213" t="inlineStr">
        <is>
          <t>VÄSTMANLANDS LÄN</t>
        </is>
      </c>
      <c r="E213" t="inlineStr">
        <is>
          <t>KÖPING</t>
        </is>
      </c>
      <c r="G213" t="n">
        <v>6.6</v>
      </c>
      <c r="H213" t="n">
        <v>0</v>
      </c>
      <c r="I213" t="n">
        <v>0</v>
      </c>
      <c r="J213" t="n">
        <v>0</v>
      </c>
      <c r="K213" t="n">
        <v>0</v>
      </c>
      <c r="L213" t="n">
        <v>0</v>
      </c>
      <c r="M213" t="n">
        <v>0</v>
      </c>
      <c r="N213" t="n">
        <v>0</v>
      </c>
      <c r="O213" t="n">
        <v>0</v>
      </c>
      <c r="P213" t="n">
        <v>0</v>
      </c>
      <c r="Q213" t="n">
        <v>0</v>
      </c>
      <c r="R213" s="2" t="inlineStr"/>
    </row>
    <row r="214" ht="15" customHeight="1">
      <c r="A214" t="inlineStr">
        <is>
          <t>A 20871-2021</t>
        </is>
      </c>
      <c r="B214" s="1" t="n">
        <v>44316</v>
      </c>
      <c r="C214" s="1" t="n">
        <v>45355</v>
      </c>
      <c r="D214" t="inlineStr">
        <is>
          <t>VÄSTMANLANDS LÄN</t>
        </is>
      </c>
      <c r="E214" t="inlineStr">
        <is>
          <t>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21435-2021</t>
        </is>
      </c>
      <c r="B215" s="1" t="n">
        <v>44321</v>
      </c>
      <c r="C215" s="1" t="n">
        <v>45355</v>
      </c>
      <c r="D215" t="inlineStr">
        <is>
          <t>VÄSTMANLANDS LÄN</t>
        </is>
      </c>
      <c r="E215" t="inlineStr">
        <is>
          <t>KÖPING</t>
        </is>
      </c>
      <c r="G215" t="n">
        <v>4.6</v>
      </c>
      <c r="H215" t="n">
        <v>0</v>
      </c>
      <c r="I215" t="n">
        <v>0</v>
      </c>
      <c r="J215" t="n">
        <v>0</v>
      </c>
      <c r="K215" t="n">
        <v>0</v>
      </c>
      <c r="L215" t="n">
        <v>0</v>
      </c>
      <c r="M215" t="n">
        <v>0</v>
      </c>
      <c r="N215" t="n">
        <v>0</v>
      </c>
      <c r="O215" t="n">
        <v>0</v>
      </c>
      <c r="P215" t="n">
        <v>0</v>
      </c>
      <c r="Q215" t="n">
        <v>0</v>
      </c>
      <c r="R215" s="2" t="inlineStr"/>
    </row>
    <row r="216" ht="15" customHeight="1">
      <c r="A216" t="inlineStr">
        <is>
          <t>A 21595-2021</t>
        </is>
      </c>
      <c r="B216" s="1" t="n">
        <v>44321</v>
      </c>
      <c r="C216" s="1" t="n">
        <v>45355</v>
      </c>
      <c r="D216" t="inlineStr">
        <is>
          <t>VÄSTMANLANDS LÄN</t>
        </is>
      </c>
      <c r="E216" t="inlineStr">
        <is>
          <t>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23592-2021</t>
        </is>
      </c>
      <c r="B217" s="1" t="n">
        <v>44333</v>
      </c>
      <c r="C217" s="1" t="n">
        <v>45355</v>
      </c>
      <c r="D217" t="inlineStr">
        <is>
          <t>VÄSTMANLANDS LÄN</t>
        </is>
      </c>
      <c r="E217" t="inlineStr">
        <is>
          <t>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23596-2021</t>
        </is>
      </c>
      <c r="B218" s="1" t="n">
        <v>44333</v>
      </c>
      <c r="C218" s="1" t="n">
        <v>45355</v>
      </c>
      <c r="D218" t="inlineStr">
        <is>
          <t>VÄSTMANLANDS LÄN</t>
        </is>
      </c>
      <c r="E218" t="inlineStr">
        <is>
          <t>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45355</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45355</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45355</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45355</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45355</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45355</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45355</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45355</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45355</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45355</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45355</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45355</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45355</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45355</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45355</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45355</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45355</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45355</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45355</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45355</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45355</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45355</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45355</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45355</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45355</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45355</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45355</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45355</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45355</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45355</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45355</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45355</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45355</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45355</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45355</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45355</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45355</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45355</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45355</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45355</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45355</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45355</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45355</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45355</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45355</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45355</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45355</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45355</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45355</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45355</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45355</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45355</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45355</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45355</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45355</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45355</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45355</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45355</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45355</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45355</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45355</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45355</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45355</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45355</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45355</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45355</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45355</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45355</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45355</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45355</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45355</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45355</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45355</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45355</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45355</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45355</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45355</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45355</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45355</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45355</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45355</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45355</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45355</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45355</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45355</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45355</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45355</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45355</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45355</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45355</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45355</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45355</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45355</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45355</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45355</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45355</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45355</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45355</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45355</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45355</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45355</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45355</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45355</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45355</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45355</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45355</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45355</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45355</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45355</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45355</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45355</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45355</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45355</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45355</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45355</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45355</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45355</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45355</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45355</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45355</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45355</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45355</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45355</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45355</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45355</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45355</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45355</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45355</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45355</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45355</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45355</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45355</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45355</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45355</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45355</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45355</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45355</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45355</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45355</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45355</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45355</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45355</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45355</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45355</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45355</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45355</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45355</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45355</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45355</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45355</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45355</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45355</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45355</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45355</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45355</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45355</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45355</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45355</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45355</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45355</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45355</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45355</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45355</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45355</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45355</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45355</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45355</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45355</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45355</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45355</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45355</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45355</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45355</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45355</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45355</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45355</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45355</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45355</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45355</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45355</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45355</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45355</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45355</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45355</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45355</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45355</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45355</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45355</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45355</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45355</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45355</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45355</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45355</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45355</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45355</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45355</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45355</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45355</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45355</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45355</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45355</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45355</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45355</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45355</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45355</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45355</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45355</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45355</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45355</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45355</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45355</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45355</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45355</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45355</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45355</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45355</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45355</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45355</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45355</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45355</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45355</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45355</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45355</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45355</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45355</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45355</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45355</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45355</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45355</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45355</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45355</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45355</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45355</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45355</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45355</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45355</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45355</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45355</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45355</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45355</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45355</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45355</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45355</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45355</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45355</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45355</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45355</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45355</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45355</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45355</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45355</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45355</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45355</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45355</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45355</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45355</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45355</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45355</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45355</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45355</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45355</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45355</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45355</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45355</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45355</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45355</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45355</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45355</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45355</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45355</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45355</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45355</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45355</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45355</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45355</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45355</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45355</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45355</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45355</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45355</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45355</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45355</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45355</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45355</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45355</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45355</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45355</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45355</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45355</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45355</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45355</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45355</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45355</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45355</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45355</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45355</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45355</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45355</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45355</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45355</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45355</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45355</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45355</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45355</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45355</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45355</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45355</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45355</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45355</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45355</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45355</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45355</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45355</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45355</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45355</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45355</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4713-2024</t>
        </is>
      </c>
      <c r="B535" s="1" t="n">
        <v>45328</v>
      </c>
      <c r="C535" s="1" t="n">
        <v>45355</v>
      </c>
      <c r="D535" t="inlineStr">
        <is>
          <t>VÄSTMANLANDS LÄN</t>
        </is>
      </c>
      <c r="E535" t="inlineStr">
        <is>
          <t>KÖPING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4614-2024</t>
        </is>
      </c>
      <c r="B536" s="1" t="n">
        <v>45328</v>
      </c>
      <c r="C536" s="1" t="n">
        <v>45355</v>
      </c>
      <c r="D536" t="inlineStr">
        <is>
          <t>VÄSTMANLANDS LÄN</t>
        </is>
      </c>
      <c r="E536" t="inlineStr">
        <is>
          <t>KÖPING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4711-2024</t>
        </is>
      </c>
      <c r="B537" s="1" t="n">
        <v>45328</v>
      </c>
      <c r="C537" s="1" t="n">
        <v>45355</v>
      </c>
      <c r="D537" t="inlineStr">
        <is>
          <t>VÄSTMANLANDS LÄN</t>
        </is>
      </c>
      <c r="E537" t="inlineStr">
        <is>
          <t>KÖPING</t>
        </is>
      </c>
      <c r="F537" t="inlineStr">
        <is>
          <t>Sveaskog</t>
        </is>
      </c>
      <c r="G537" t="n">
        <v>1.1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45355</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2024-03-04T12:59:05Z</dcterms:created>
  <dcterms:modified xmlns:dcterms="http://purl.org/dc/terms/" xmlns:xsi="http://www.w3.org/2001/XMLSchema-instance" xsi:type="dcterms:W3CDTF">2024-03-04T12:59:05Z</dcterms:modified>
</cp:coreProperties>
</file>