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45788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45788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45788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45788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45788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45788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45788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45788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45788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45788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45788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45788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45788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45788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45788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45788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45788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45788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45788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45788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45788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45788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45788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45788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45788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45788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45788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45788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45788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45788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45788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45788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45788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45788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45788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45788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45788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45788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45788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45788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45788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45788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45788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45788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45788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45788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45788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45788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45788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45788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20704-2025</t>
        </is>
      </c>
      <c r="B52" s="1" t="n">
        <v>45776</v>
      </c>
      <c r="C52" s="1" t="n">
        <v>45788</v>
      </c>
      <c r="D52" t="inlineStr">
        <is>
          <t>VÄSTMANLANDS LÄN</t>
        </is>
      </c>
      <c r="E52" t="inlineStr">
        <is>
          <t>KÖPING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20704-2025 artfynd.xlsx", "A 20704-2025")</f>
        <v/>
      </c>
      <c r="T52">
        <f>HYPERLINK("https://klasma.github.io/Logging_191983/kartor/A 20704-2025 karta.png", "A 20704-2025")</f>
        <v/>
      </c>
      <c r="V52">
        <f>HYPERLINK("https://klasma.github.io/Logging_191983/klagomål/A 20704-2025 FSC-klagomål.docx", "A 20704-2025")</f>
        <v/>
      </c>
      <c r="W52">
        <f>HYPERLINK("https://klasma.github.io/Logging_191983/klagomålsmail/A 20704-2025 FSC-klagomål mail.docx", "A 20704-2025")</f>
        <v/>
      </c>
      <c r="X52">
        <f>HYPERLINK("https://klasma.github.io/Logging_191983/tillsyn/A 20704-2025 tillsynsbegäran.docx", "A 20704-2025")</f>
        <v/>
      </c>
      <c r="Y52">
        <f>HYPERLINK("https://klasma.github.io/Logging_191983/tillsynsmail/A 20704-2025 tillsynsbegäran mail.docx", "A 20704-2025")</f>
        <v/>
      </c>
    </row>
    <row r="53" ht="15" customHeight="1">
      <c r="A53" t="inlineStr">
        <is>
          <t>A 20706-2025</t>
        </is>
      </c>
      <c r="B53" s="1" t="n">
        <v>45776</v>
      </c>
      <c r="C53" s="1" t="n">
        <v>45788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20706-2025 artfynd.xlsx", "A 20706-2025")</f>
        <v/>
      </c>
      <c r="T53">
        <f>HYPERLINK("https://klasma.github.io/Logging_191983/kartor/A 20706-2025 karta.png", "A 20706-2025")</f>
        <v/>
      </c>
      <c r="V53">
        <f>HYPERLINK("https://klasma.github.io/Logging_191983/klagomål/A 20706-2025 FSC-klagomål.docx", "A 20706-2025")</f>
        <v/>
      </c>
      <c r="W53">
        <f>HYPERLINK("https://klasma.github.io/Logging_191983/klagomålsmail/A 20706-2025 FSC-klagomål mail.docx", "A 20706-2025")</f>
        <v/>
      </c>
      <c r="X53">
        <f>HYPERLINK("https://klasma.github.io/Logging_191983/tillsyn/A 20706-2025 tillsynsbegäran.docx", "A 20706-2025")</f>
        <v/>
      </c>
      <c r="Y53">
        <f>HYPERLINK("https://klasma.github.io/Logging_191983/tillsynsmail/A 20706-2025 tillsynsbegäran mail.docx", "A 20706-2025")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45788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45788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45788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45788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45788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45788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45788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45788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45788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45788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45788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45788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45788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45788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45788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45788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45788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45788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45788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45788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45788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45788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45788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45788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45788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45788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45788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45788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45788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45788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45788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45788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45788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45788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45788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45788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45788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45788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45788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45788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45788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45788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45788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45788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45788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45788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45788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45788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45788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45788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45788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45788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45788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45788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45788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45788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45788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45788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45788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45788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45788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45788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45788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45788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45788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45788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45788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45788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45788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45788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45788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45788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45788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45788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45788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45788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45788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45788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45788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45788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45788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45788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45788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45788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45788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45788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45788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45788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45788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45788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45788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45788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45788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45788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45788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45788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45788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45788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45788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45788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45788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45788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45788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45788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45788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45788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45788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45788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45788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45788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45788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45788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45788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45788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45788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45788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45788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45788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45788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45788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45788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45788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45788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45788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45788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45788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45788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45788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45788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45788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45788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45788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45788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45788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45788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45788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45788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45788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45788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45788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45788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45788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45788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45788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45788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45788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45788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45788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45788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45788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45788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45788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45788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45788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45788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45788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45788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45788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45788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45788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45788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45788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45788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45788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45788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45788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45788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45788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45788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45788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45788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45788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45788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45788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45788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45788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45788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45788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45788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45788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45788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45788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45788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45788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45788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45788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45788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45788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45788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45788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45788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45788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45788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45788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45788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45788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45788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45788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45788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45788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45788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45788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45788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45788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45788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45788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45788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45788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45788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45788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45788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45788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45788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45788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45788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45788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45788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45788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45788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45788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45788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45788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45788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45788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45788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45788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45788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45788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45788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45788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45788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45788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45788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45788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45788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45788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45788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45788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45788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45788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45788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45788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45788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45788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45788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45788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45788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45788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45788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45788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45788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45788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45788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45788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45788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45788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45788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45788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45788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45788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45788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45788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45788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45788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45788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45788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45788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45788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45788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45788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45788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45788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45788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45788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45788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45788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45788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45788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45788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45788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45788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45788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45788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45788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45788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45788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45788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45788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45788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45788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45788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45788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45788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45788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45788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45788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45788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45788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45788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45788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45788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45788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45788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45788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45788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45788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45788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45788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45788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45788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45788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45788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45788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45788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45788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45788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45788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45788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45788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45788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45788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45788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45788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45788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45788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45788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45788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45788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45788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45788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45788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45788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45788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45788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45788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45788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45788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45788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45788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45788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45788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45788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45788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45788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45788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45788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45788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45788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45788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45788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45788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45788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45788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45788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45788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45788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45788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45788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45788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45788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45788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45788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45788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45788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45788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45788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45788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45788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45788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45788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45788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45788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45788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45788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45788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45788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45788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45788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45788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45788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45788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45788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45788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45788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45788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45788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45788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45788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45788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45788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45788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45788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45788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45788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45788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45788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45788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45788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45788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45788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45788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45788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45788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45788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45788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45788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45788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45788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45788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45788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45788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45788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45788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45788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45788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45788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45788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45788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45788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45788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45788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45788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45788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45788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45788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45788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45788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45788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45788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45788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45788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45788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45788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45788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45788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45788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45788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45788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45788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45788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45788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45788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45788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45788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45788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45788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45788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45788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45788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45788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45788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45788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45788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45788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45788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45788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45788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45788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45788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45788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45788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45788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45788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45788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45788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45788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45788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45788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45788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45788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45788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45788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45788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45788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45788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45788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45788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45788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45788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45788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45788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45788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45788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45788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45788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45788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45788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45788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45788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45788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45788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45788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45788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45788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45788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45788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45788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45788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45788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45788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45788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45788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45788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45788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45788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45788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45788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45788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45788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45788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45788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45788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45788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45788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45788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45788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45788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45788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45788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45788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45788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45788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45788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45788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45788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45788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45788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45788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45788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45788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45788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45788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45788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45788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45788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45788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45788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45788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45788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45788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45788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45788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45788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45788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45788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45788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45788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45788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45788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45788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45788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45788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45788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45788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45788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45788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45788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45788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45788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45788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45788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45788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45788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45788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45788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45788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45788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45788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45788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45788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45788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45788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45788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45788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45788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45788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45788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45788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45788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45788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45788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45788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45788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45788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45788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45788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45788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45788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45788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45788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45788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45788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45788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45788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45788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45788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45788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45788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45788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45788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45788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45788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45788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45788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45788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45788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45788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45788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45788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45788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45788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45788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45788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45788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45788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45788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45788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45788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45788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45788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45788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45788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45788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45788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45788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45788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45788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45788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45788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45788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45788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45788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45788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45788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45788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45788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45788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45788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45788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45788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45788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45788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45788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45788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45788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45788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45788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45788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45788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45788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45788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45788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45788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45788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45788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45788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45788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45788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45788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45788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45788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45788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45788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45788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45788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45788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45788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45788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19593-2025</t>
        </is>
      </c>
      <c r="B722" s="1" t="n">
        <v>45770</v>
      </c>
      <c r="C722" s="1" t="n">
        <v>45788</v>
      </c>
      <c r="D722" t="inlineStr">
        <is>
          <t>VÄSTMANLANDS LÄN</t>
        </is>
      </c>
      <c r="E722" t="inlineStr">
        <is>
          <t>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19585-2025</t>
        </is>
      </c>
      <c r="B723" s="1" t="n">
        <v>45770</v>
      </c>
      <c r="C723" s="1" t="n">
        <v>45788</v>
      </c>
      <c r="D723" t="inlineStr">
        <is>
          <t>VÄSTMANLANDS LÄN</t>
        </is>
      </c>
      <c r="E723" t="inlineStr">
        <is>
          <t>KÖPING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45788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45788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45788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45788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45788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45788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45788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45788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21691-2025</t>
        </is>
      </c>
      <c r="B732" s="1" t="n">
        <v>45783</v>
      </c>
      <c r="C732" s="1" t="n">
        <v>45788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2025-05-11T17:29:27Z</dcterms:created>
  <dcterms:modified xmlns:dcterms="http://purl.org/dc/terms/" xmlns:xsi="http://www.w3.org/2001/XMLSchema-instance" xsi:type="dcterms:W3CDTF">2025-05-11T17:29:27Z</dcterms:modified>
</cp:coreProperties>
</file>