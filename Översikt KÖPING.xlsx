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8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33529-2021</t>
        </is>
      </c>
      <c r="B2" s="1" t="n">
        <v>44377</v>
      </c>
      <c r="C2" s="1" t="n">
        <v>45975</v>
      </c>
      <c r="D2" t="inlineStr">
        <is>
          <t>VÄSTMANLANDS LÄN</t>
        </is>
      </c>
      <c r="E2" t="inlineStr">
        <is>
          <t>KÖPING</t>
        </is>
      </c>
      <c r="G2" t="n">
        <v>5.3</v>
      </c>
      <c r="H2" t="n">
        <v>1</v>
      </c>
      <c r="I2" t="n">
        <v>1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6</v>
      </c>
      <c r="R2" s="2" t="inlineStr">
        <is>
          <t>Knärot
Brunpudrad nållav
Dofttaggsvamp
Ullticka
Vedtrappmossa
Vedticka</t>
        </is>
      </c>
      <c r="S2">
        <f>HYPERLINK("https://klasma.github.io/Logging_1983/artfynd/A 33529-2021 artfynd.xlsx", "A 33529-2021")</f>
        <v/>
      </c>
      <c r="T2">
        <f>HYPERLINK("https://klasma.github.io/Logging_1983/kartor/A 33529-2021 karta.png", "A 33529-2021")</f>
        <v/>
      </c>
      <c r="U2">
        <f>HYPERLINK("https://klasma.github.io/Logging_1983/knärot/A 33529-2021 karta knärot.png", "A 33529-2021")</f>
        <v/>
      </c>
      <c r="V2">
        <f>HYPERLINK("https://klasma.github.io/Logging_1983/klagomål/A 33529-2021 FSC-klagomål.docx", "A 33529-2021")</f>
        <v/>
      </c>
      <c r="W2">
        <f>HYPERLINK("https://klasma.github.io/Logging_1983/klagomålsmail/A 33529-2021 FSC-klagomål mail.docx", "A 33529-2021")</f>
        <v/>
      </c>
      <c r="X2">
        <f>HYPERLINK("https://klasma.github.io/Logging_1983/tillsyn/A 33529-2021 tillsynsbegäran.docx", "A 33529-2021")</f>
        <v/>
      </c>
      <c r="Y2">
        <f>HYPERLINK("https://klasma.github.io/Logging_1983/tillsynsmail/A 33529-2021 tillsynsbegäran mail.docx", "A 33529-2021")</f>
        <v/>
      </c>
    </row>
    <row r="3" ht="15" customHeight="1">
      <c r="A3" t="inlineStr">
        <is>
          <t>A 39720-2024</t>
        </is>
      </c>
      <c r="B3" s="1" t="n">
        <v>45552</v>
      </c>
      <c r="C3" s="1" t="n">
        <v>45975</v>
      </c>
      <c r="D3" t="inlineStr">
        <is>
          <t>VÄSTMANLANDS LÄN</t>
        </is>
      </c>
      <c r="E3" t="inlineStr">
        <is>
          <t>KÖPING</t>
        </is>
      </c>
      <c r="G3" t="n">
        <v>12.1</v>
      </c>
      <c r="H3" t="n">
        <v>1</v>
      </c>
      <c r="I3" t="n">
        <v>1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5</v>
      </c>
      <c r="R3" s="2" t="inlineStr">
        <is>
          <t>Knärot
Motaggsvamp
Skogshare
Ullticka
Dropptaggsvamp</t>
        </is>
      </c>
      <c r="S3">
        <f>HYPERLINK("https://klasma.github.io/Logging_1983/artfynd/A 39720-2024 artfynd.xlsx", "A 39720-2024")</f>
        <v/>
      </c>
      <c r="T3">
        <f>HYPERLINK("https://klasma.github.io/Logging_1983/kartor/A 39720-2024 karta.png", "A 39720-2024")</f>
        <v/>
      </c>
      <c r="U3">
        <f>HYPERLINK("https://klasma.github.io/Logging_1983/knärot/A 39720-2024 karta knärot.png", "A 39720-2024")</f>
        <v/>
      </c>
      <c r="V3">
        <f>HYPERLINK("https://klasma.github.io/Logging_1983/klagomål/A 39720-2024 FSC-klagomål.docx", "A 39720-2024")</f>
        <v/>
      </c>
      <c r="W3">
        <f>HYPERLINK("https://klasma.github.io/Logging_1983/klagomålsmail/A 39720-2024 FSC-klagomål mail.docx", "A 39720-2024")</f>
        <v/>
      </c>
      <c r="X3">
        <f>HYPERLINK("https://klasma.github.io/Logging_1983/tillsyn/A 39720-2024 tillsynsbegäran.docx", "A 39720-2024")</f>
        <v/>
      </c>
      <c r="Y3">
        <f>HYPERLINK("https://klasma.github.io/Logging_1983/tillsynsmail/A 39720-2024 tillsynsbegäran mail.docx", "A 39720-2024")</f>
        <v/>
      </c>
    </row>
    <row r="4" ht="15" customHeight="1">
      <c r="A4" t="inlineStr">
        <is>
          <t>A 56048-2024</t>
        </is>
      </c>
      <c r="B4" s="1" t="n">
        <v>45624</v>
      </c>
      <c r="C4" s="1" t="n">
        <v>45975</v>
      </c>
      <c r="D4" t="inlineStr">
        <is>
          <t>VÄSTMANLANDS LÄN</t>
        </is>
      </c>
      <c r="E4" t="inlineStr">
        <is>
          <t>KÖPING</t>
        </is>
      </c>
      <c r="G4" t="n">
        <v>10.1</v>
      </c>
      <c r="H4" t="n">
        <v>3</v>
      </c>
      <c r="I4" t="n">
        <v>2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5</v>
      </c>
      <c r="R4" s="2" t="inlineStr">
        <is>
          <t>Knärot
Spillkråka
Bronshjon
Mindre märgborre
Revlummer</t>
        </is>
      </c>
      <c r="S4">
        <f>HYPERLINK("https://klasma.github.io/Logging_1983/artfynd/A 56048-2024 artfynd.xlsx", "A 56048-2024")</f>
        <v/>
      </c>
      <c r="T4">
        <f>HYPERLINK("https://klasma.github.io/Logging_1983/kartor/A 56048-2024 karta.png", "A 56048-2024")</f>
        <v/>
      </c>
      <c r="U4">
        <f>HYPERLINK("https://klasma.github.io/Logging_1983/knärot/A 56048-2024 karta knärot.png", "A 56048-2024")</f>
        <v/>
      </c>
      <c r="V4">
        <f>HYPERLINK("https://klasma.github.io/Logging_1983/klagomål/A 56048-2024 FSC-klagomål.docx", "A 56048-2024")</f>
        <v/>
      </c>
      <c r="W4">
        <f>HYPERLINK("https://klasma.github.io/Logging_1983/klagomålsmail/A 56048-2024 FSC-klagomål mail.docx", "A 56048-2024")</f>
        <v/>
      </c>
      <c r="X4">
        <f>HYPERLINK("https://klasma.github.io/Logging_1983/tillsyn/A 56048-2024 tillsynsbegäran.docx", "A 56048-2024")</f>
        <v/>
      </c>
      <c r="Y4">
        <f>HYPERLINK("https://klasma.github.io/Logging_1983/tillsynsmail/A 56048-2024 tillsynsbegäran mail.docx", "A 56048-2024")</f>
        <v/>
      </c>
      <c r="Z4">
        <f>HYPERLINK("https://klasma.github.io/Logging_1983/fåglar/A 56048-2024 prioriterade fågelarter.docx", "A 56048-2024")</f>
        <v/>
      </c>
    </row>
    <row r="5" ht="15" customHeight="1">
      <c r="A5" t="inlineStr">
        <is>
          <t>A 16921-2024</t>
        </is>
      </c>
      <c r="B5" s="1" t="n">
        <v>45411.65774305556</v>
      </c>
      <c r="C5" s="1" t="n">
        <v>45975</v>
      </c>
      <c r="D5" t="inlineStr">
        <is>
          <t>VÄSTMANLANDS LÄN</t>
        </is>
      </c>
      <c r="E5" t="inlineStr">
        <is>
          <t>KÖPING</t>
        </is>
      </c>
      <c r="F5" t="inlineStr">
        <is>
          <t>Sveaskog</t>
        </is>
      </c>
      <c r="G5" t="n">
        <v>13.1</v>
      </c>
      <c r="H5" t="n">
        <v>3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4</v>
      </c>
      <c r="R5" s="2" t="inlineStr">
        <is>
          <t>Vedskivlav
Grön mosaikslända
Fläcknycklar
Mattlummer</t>
        </is>
      </c>
      <c r="S5">
        <f>HYPERLINK("https://klasma.github.io/Logging_1983/artfynd/A 16921-2024 artfynd.xlsx", "A 16921-2024")</f>
        <v/>
      </c>
      <c r="T5">
        <f>HYPERLINK("https://klasma.github.io/Logging_1983/kartor/A 16921-2024 karta.png", "A 16921-2024")</f>
        <v/>
      </c>
      <c r="V5">
        <f>HYPERLINK("https://klasma.github.io/Logging_1983/klagomål/A 16921-2024 FSC-klagomål.docx", "A 16921-2024")</f>
        <v/>
      </c>
      <c r="W5">
        <f>HYPERLINK("https://klasma.github.io/Logging_1983/klagomålsmail/A 16921-2024 FSC-klagomål mail.docx", "A 16921-2024")</f>
        <v/>
      </c>
      <c r="X5">
        <f>HYPERLINK("https://klasma.github.io/Logging_1983/tillsyn/A 16921-2024 tillsynsbegäran.docx", "A 16921-2024")</f>
        <v/>
      </c>
      <c r="Y5">
        <f>HYPERLINK("https://klasma.github.io/Logging_1983/tillsynsmail/A 16921-2024 tillsynsbegäran mail.docx", "A 16921-2024")</f>
        <v/>
      </c>
    </row>
    <row r="6" ht="15" customHeight="1">
      <c r="A6" t="inlineStr">
        <is>
          <t>A 16906-2024</t>
        </is>
      </c>
      <c r="B6" s="1" t="n">
        <v>45411</v>
      </c>
      <c r="C6" s="1" t="n">
        <v>45975</v>
      </c>
      <c r="D6" t="inlineStr">
        <is>
          <t>VÄSTMANLANDS LÄN</t>
        </is>
      </c>
      <c r="E6" t="inlineStr">
        <is>
          <t>KÖPING</t>
        </is>
      </c>
      <c r="F6" t="inlineStr">
        <is>
          <t>Sveaskog</t>
        </is>
      </c>
      <c r="G6" t="n">
        <v>13.1</v>
      </c>
      <c r="H6" t="n">
        <v>3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4</v>
      </c>
      <c r="R6" s="2" t="inlineStr">
        <is>
          <t>Vedskivlav
Grön mosaikslända
Fläcknycklar
Mattlummer</t>
        </is>
      </c>
      <c r="S6">
        <f>HYPERLINK("https://klasma.github.io/Logging_1983/artfynd/A 16906-2024 artfynd.xlsx", "A 16906-2024")</f>
        <v/>
      </c>
      <c r="T6">
        <f>HYPERLINK("https://klasma.github.io/Logging_1983/kartor/A 16906-2024 karta.png", "A 16906-2024")</f>
        <v/>
      </c>
      <c r="V6">
        <f>HYPERLINK("https://klasma.github.io/Logging_1983/klagomål/A 16906-2024 FSC-klagomål.docx", "A 16906-2024")</f>
        <v/>
      </c>
      <c r="W6">
        <f>HYPERLINK("https://klasma.github.io/Logging_1983/klagomålsmail/A 16906-2024 FSC-klagomål mail.docx", "A 16906-2024")</f>
        <v/>
      </c>
      <c r="X6">
        <f>HYPERLINK("https://klasma.github.io/Logging_1983/tillsyn/A 16906-2024 tillsynsbegäran.docx", "A 16906-2024")</f>
        <v/>
      </c>
      <c r="Y6">
        <f>HYPERLINK("https://klasma.github.io/Logging_1983/tillsynsmail/A 16906-2024 tillsynsbegäran mail.docx", "A 16906-2024")</f>
        <v/>
      </c>
    </row>
    <row r="7" ht="15" customHeight="1">
      <c r="A7" t="inlineStr">
        <is>
          <t>A 58654-2023</t>
        </is>
      </c>
      <c r="B7" s="1" t="n">
        <v>45251</v>
      </c>
      <c r="C7" s="1" t="n">
        <v>45975</v>
      </c>
      <c r="D7" t="inlineStr">
        <is>
          <t>VÄSTMANLANDS LÄN</t>
        </is>
      </c>
      <c r="E7" t="inlineStr">
        <is>
          <t>KÖPING</t>
        </is>
      </c>
      <c r="G7" t="n">
        <v>10.6</v>
      </c>
      <c r="H7" t="n">
        <v>1</v>
      </c>
      <c r="I7" t="n">
        <v>1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4</v>
      </c>
      <c r="R7" s="2" t="inlineStr">
        <is>
          <t>Gropticka
Tretåig hackspett
Ullticka
Blåmossa</t>
        </is>
      </c>
      <c r="S7">
        <f>HYPERLINK("https://klasma.github.io/Logging_1983/artfynd/A 58654-2023 artfynd.xlsx", "A 58654-2023")</f>
        <v/>
      </c>
      <c r="T7">
        <f>HYPERLINK("https://klasma.github.io/Logging_1983/kartor/A 58654-2023 karta.png", "A 58654-2023")</f>
        <v/>
      </c>
      <c r="V7">
        <f>HYPERLINK("https://klasma.github.io/Logging_1983/klagomål/A 58654-2023 FSC-klagomål.docx", "A 58654-2023")</f>
        <v/>
      </c>
      <c r="W7">
        <f>HYPERLINK("https://klasma.github.io/Logging_1983/klagomålsmail/A 58654-2023 FSC-klagomål mail.docx", "A 58654-2023")</f>
        <v/>
      </c>
      <c r="X7">
        <f>HYPERLINK("https://klasma.github.io/Logging_1983/tillsyn/A 58654-2023 tillsynsbegäran.docx", "A 58654-2023")</f>
        <v/>
      </c>
      <c r="Y7">
        <f>HYPERLINK("https://klasma.github.io/Logging_1983/tillsynsmail/A 58654-2023 tillsynsbegäran mail.docx", "A 58654-2023")</f>
        <v/>
      </c>
      <c r="Z7">
        <f>HYPERLINK("https://klasma.github.io/Logging_1983/fåglar/A 58654-2023 prioriterade fågelarter.docx", "A 58654-2023")</f>
        <v/>
      </c>
    </row>
    <row r="8" ht="15" customHeight="1">
      <c r="A8" t="inlineStr">
        <is>
          <t>A 13058-2025</t>
        </is>
      </c>
      <c r="B8" s="1" t="n">
        <v>45734.59789351852</v>
      </c>
      <c r="C8" s="1" t="n">
        <v>45975</v>
      </c>
      <c r="D8" t="inlineStr">
        <is>
          <t>VÄSTMANLANDS LÄN</t>
        </is>
      </c>
      <c r="E8" t="inlineStr">
        <is>
          <t>KÖPING</t>
        </is>
      </c>
      <c r="F8" t="inlineStr">
        <is>
          <t>Sveaskog</t>
        </is>
      </c>
      <c r="G8" t="n">
        <v>3.9</v>
      </c>
      <c r="H8" t="n">
        <v>0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Scharlakansskål
Scharlakansvårskål agg.</t>
        </is>
      </c>
      <c r="S8">
        <f>HYPERLINK("https://klasma.github.io/Logging_1983/artfynd/A 13058-2025 artfynd.xlsx", "A 13058-2025")</f>
        <v/>
      </c>
      <c r="T8">
        <f>HYPERLINK("https://klasma.github.io/Logging_1983/kartor/A 13058-2025 karta.png", "A 13058-2025")</f>
        <v/>
      </c>
      <c r="V8">
        <f>HYPERLINK("https://klasma.github.io/Logging_1983/klagomål/A 13058-2025 FSC-klagomål.docx", "A 13058-2025")</f>
        <v/>
      </c>
      <c r="W8">
        <f>HYPERLINK("https://klasma.github.io/Logging_1983/klagomålsmail/A 13058-2025 FSC-klagomål mail.docx", "A 13058-2025")</f>
        <v/>
      </c>
      <c r="X8">
        <f>HYPERLINK("https://klasma.github.io/Logging_1983/tillsyn/A 13058-2025 tillsynsbegäran.docx", "A 13058-2025")</f>
        <v/>
      </c>
      <c r="Y8">
        <f>HYPERLINK("https://klasma.github.io/Logging_1983/tillsynsmail/A 13058-2025 tillsynsbegäran mail.docx", "A 13058-2025")</f>
        <v/>
      </c>
    </row>
    <row r="9" ht="15" customHeight="1">
      <c r="A9" t="inlineStr">
        <is>
          <t>A 26898-2021</t>
        </is>
      </c>
      <c r="B9" s="1" t="n">
        <v>44349.64474537037</v>
      </c>
      <c r="C9" s="1" t="n">
        <v>45975</v>
      </c>
      <c r="D9" t="inlineStr">
        <is>
          <t>VÄSTMANLANDS LÄN</t>
        </is>
      </c>
      <c r="E9" t="inlineStr">
        <is>
          <t>KÖPING</t>
        </is>
      </c>
      <c r="G9" t="n">
        <v>11.9</v>
      </c>
      <c r="H9" t="n">
        <v>0</v>
      </c>
      <c r="I9" t="n">
        <v>0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2</v>
      </c>
      <c r="R9" s="2" t="inlineStr">
        <is>
          <t>Rynkskinn
Ullticka</t>
        </is>
      </c>
      <c r="S9">
        <f>HYPERLINK("https://klasma.github.io/Logging_1983/artfynd/A 26898-2021 artfynd.xlsx", "A 26898-2021")</f>
        <v/>
      </c>
      <c r="T9">
        <f>HYPERLINK("https://klasma.github.io/Logging_1983/kartor/A 26898-2021 karta.png", "A 26898-2021")</f>
        <v/>
      </c>
      <c r="V9">
        <f>HYPERLINK("https://klasma.github.io/Logging_1983/klagomål/A 26898-2021 FSC-klagomål.docx", "A 26898-2021")</f>
        <v/>
      </c>
      <c r="W9">
        <f>HYPERLINK("https://klasma.github.io/Logging_1983/klagomålsmail/A 26898-2021 FSC-klagomål mail.docx", "A 26898-2021")</f>
        <v/>
      </c>
      <c r="X9">
        <f>HYPERLINK("https://klasma.github.io/Logging_1983/tillsyn/A 26898-2021 tillsynsbegäran.docx", "A 26898-2021")</f>
        <v/>
      </c>
      <c r="Y9">
        <f>HYPERLINK("https://klasma.github.io/Logging_1983/tillsynsmail/A 26898-2021 tillsynsbegäran mail.docx", "A 26898-2021")</f>
        <v/>
      </c>
    </row>
    <row r="10" ht="15" customHeight="1">
      <c r="A10" t="inlineStr">
        <is>
          <t>A 16012-2023</t>
        </is>
      </c>
      <c r="B10" s="1" t="n">
        <v>45026</v>
      </c>
      <c r="C10" s="1" t="n">
        <v>45975</v>
      </c>
      <c r="D10" t="inlineStr">
        <is>
          <t>VÄSTMANLANDS LÄN</t>
        </is>
      </c>
      <c r="E10" t="inlineStr">
        <is>
          <t>KÖPING</t>
        </is>
      </c>
      <c r="G10" t="n">
        <v>19.4</v>
      </c>
      <c r="H10" t="n">
        <v>0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Krusfrö
Kamjordstjärna</t>
        </is>
      </c>
      <c r="S10">
        <f>HYPERLINK("https://klasma.github.io/Logging_1983/artfynd/A 16012-2023 artfynd.xlsx", "A 16012-2023")</f>
        <v/>
      </c>
      <c r="T10">
        <f>HYPERLINK("https://klasma.github.io/Logging_1983/kartor/A 16012-2023 karta.png", "A 16012-2023")</f>
        <v/>
      </c>
      <c r="V10">
        <f>HYPERLINK("https://klasma.github.io/Logging_1983/klagomål/A 16012-2023 FSC-klagomål.docx", "A 16012-2023")</f>
        <v/>
      </c>
      <c r="W10">
        <f>HYPERLINK("https://klasma.github.io/Logging_1983/klagomålsmail/A 16012-2023 FSC-klagomål mail.docx", "A 16012-2023")</f>
        <v/>
      </c>
      <c r="X10">
        <f>HYPERLINK("https://klasma.github.io/Logging_1983/tillsyn/A 16012-2023 tillsynsbegäran.docx", "A 16012-2023")</f>
        <v/>
      </c>
      <c r="Y10">
        <f>HYPERLINK("https://klasma.github.io/Logging_1983/tillsynsmail/A 16012-2023 tillsynsbegäran mail.docx", "A 16012-2023")</f>
        <v/>
      </c>
    </row>
    <row r="11" ht="15" customHeight="1">
      <c r="A11" t="inlineStr">
        <is>
          <t>A 24535-2021</t>
        </is>
      </c>
      <c r="B11" s="1" t="n">
        <v>44339</v>
      </c>
      <c r="C11" s="1" t="n">
        <v>45975</v>
      </c>
      <c r="D11" t="inlineStr">
        <is>
          <t>VÄSTMANLANDS LÄN</t>
        </is>
      </c>
      <c r="E11" t="inlineStr">
        <is>
          <t>KÖPING</t>
        </is>
      </c>
      <c r="F11" t="inlineStr">
        <is>
          <t>Sveaskog</t>
        </is>
      </c>
      <c r="G11" t="n">
        <v>4.8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Skrovlig taggsvamp</t>
        </is>
      </c>
      <c r="S11">
        <f>HYPERLINK("https://klasma.github.io/Logging_1983/artfynd/A 24535-2021 artfynd.xlsx", "A 24535-2021")</f>
        <v/>
      </c>
      <c r="T11">
        <f>HYPERLINK("https://klasma.github.io/Logging_1983/kartor/A 24535-2021 karta.png", "A 24535-2021")</f>
        <v/>
      </c>
      <c r="V11">
        <f>HYPERLINK("https://klasma.github.io/Logging_1983/klagomål/A 24535-2021 FSC-klagomål.docx", "A 24535-2021")</f>
        <v/>
      </c>
      <c r="W11">
        <f>HYPERLINK("https://klasma.github.io/Logging_1983/klagomålsmail/A 24535-2021 FSC-klagomål mail.docx", "A 24535-2021")</f>
        <v/>
      </c>
      <c r="X11">
        <f>HYPERLINK("https://klasma.github.io/Logging_1983/tillsyn/A 24535-2021 tillsynsbegäran.docx", "A 24535-2021")</f>
        <v/>
      </c>
      <c r="Y11">
        <f>HYPERLINK("https://klasma.github.io/Logging_1983/tillsynsmail/A 24535-2021 tillsynsbegäran mail.docx", "A 24535-2021")</f>
        <v/>
      </c>
    </row>
    <row r="12" ht="15" customHeight="1">
      <c r="A12" t="inlineStr">
        <is>
          <t>A 53151-2021</t>
        </is>
      </c>
      <c r="B12" s="1" t="n">
        <v>44468</v>
      </c>
      <c r="C12" s="1" t="n">
        <v>45975</v>
      </c>
      <c r="D12" t="inlineStr">
        <is>
          <t>VÄSTMANLANDS LÄN</t>
        </is>
      </c>
      <c r="E12" t="inlineStr">
        <is>
          <t>KÖPING</t>
        </is>
      </c>
      <c r="F12" t="inlineStr">
        <is>
          <t>Sveaskog</t>
        </is>
      </c>
      <c r="G12" t="n">
        <v>1.1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Skinnlav</t>
        </is>
      </c>
      <c r="S12">
        <f>HYPERLINK("https://klasma.github.io/Logging_1983/artfynd/A 53151-2021 artfynd.xlsx", "A 53151-2021")</f>
        <v/>
      </c>
      <c r="T12">
        <f>HYPERLINK("https://klasma.github.io/Logging_1983/kartor/A 53151-2021 karta.png", "A 53151-2021")</f>
        <v/>
      </c>
      <c r="V12">
        <f>HYPERLINK("https://klasma.github.io/Logging_1983/klagomål/A 53151-2021 FSC-klagomål.docx", "A 53151-2021")</f>
        <v/>
      </c>
      <c r="W12">
        <f>HYPERLINK("https://klasma.github.io/Logging_1983/klagomålsmail/A 53151-2021 FSC-klagomål mail.docx", "A 53151-2021")</f>
        <v/>
      </c>
      <c r="X12">
        <f>HYPERLINK("https://klasma.github.io/Logging_1983/tillsyn/A 53151-2021 tillsynsbegäran.docx", "A 53151-2021")</f>
        <v/>
      </c>
      <c r="Y12">
        <f>HYPERLINK("https://klasma.github.io/Logging_1983/tillsynsmail/A 53151-2021 tillsynsbegäran mail.docx", "A 53151-2021")</f>
        <v/>
      </c>
    </row>
    <row r="13" ht="15" customHeight="1">
      <c r="A13" t="inlineStr">
        <is>
          <t>A 36209-2021</t>
        </is>
      </c>
      <c r="B13" s="1" t="n">
        <v>44389</v>
      </c>
      <c r="C13" s="1" t="n">
        <v>45975</v>
      </c>
      <c r="D13" t="inlineStr">
        <is>
          <t>VÄSTMANLANDS LÄN</t>
        </is>
      </c>
      <c r="E13" t="inlineStr">
        <is>
          <t>KÖPING</t>
        </is>
      </c>
      <c r="G13" t="n">
        <v>6.9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Svart trolldruva</t>
        </is>
      </c>
      <c r="S13">
        <f>HYPERLINK("https://klasma.github.io/Logging_1983/artfynd/A 36209-2021 artfynd.xlsx", "A 36209-2021")</f>
        <v/>
      </c>
      <c r="T13">
        <f>HYPERLINK("https://klasma.github.io/Logging_1983/kartor/A 36209-2021 karta.png", "A 36209-2021")</f>
        <v/>
      </c>
      <c r="V13">
        <f>HYPERLINK("https://klasma.github.io/Logging_1983/klagomål/A 36209-2021 FSC-klagomål.docx", "A 36209-2021")</f>
        <v/>
      </c>
      <c r="W13">
        <f>HYPERLINK("https://klasma.github.io/Logging_1983/klagomålsmail/A 36209-2021 FSC-klagomål mail.docx", "A 36209-2021")</f>
        <v/>
      </c>
      <c r="X13">
        <f>HYPERLINK("https://klasma.github.io/Logging_1983/tillsyn/A 36209-2021 tillsynsbegäran.docx", "A 36209-2021")</f>
        <v/>
      </c>
      <c r="Y13">
        <f>HYPERLINK("https://klasma.github.io/Logging_1983/tillsynsmail/A 36209-2021 tillsynsbegäran mail.docx", "A 36209-2021")</f>
        <v/>
      </c>
    </row>
    <row r="14" ht="15" customHeight="1">
      <c r="A14" t="inlineStr">
        <is>
          <t>A 69022-2021</t>
        </is>
      </c>
      <c r="B14" s="1" t="n">
        <v>44530</v>
      </c>
      <c r="C14" s="1" t="n">
        <v>45975</v>
      </c>
      <c r="D14" t="inlineStr">
        <is>
          <t>VÄSTMANLANDS LÄN</t>
        </is>
      </c>
      <c r="E14" t="inlineStr">
        <is>
          <t>KÖPING</t>
        </is>
      </c>
      <c r="G14" t="n">
        <v>3.1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Skinnlav</t>
        </is>
      </c>
      <c r="S14">
        <f>HYPERLINK("https://klasma.github.io/Logging_1983/artfynd/A 69022-2021 artfynd.xlsx", "A 69022-2021")</f>
        <v/>
      </c>
      <c r="T14">
        <f>HYPERLINK("https://klasma.github.io/Logging_1983/kartor/A 69022-2021 karta.png", "A 69022-2021")</f>
        <v/>
      </c>
      <c r="V14">
        <f>HYPERLINK("https://klasma.github.io/Logging_1983/klagomål/A 69022-2021 FSC-klagomål.docx", "A 69022-2021")</f>
        <v/>
      </c>
      <c r="W14">
        <f>HYPERLINK("https://klasma.github.io/Logging_1983/klagomålsmail/A 69022-2021 FSC-klagomål mail.docx", "A 69022-2021")</f>
        <v/>
      </c>
      <c r="X14">
        <f>HYPERLINK("https://klasma.github.io/Logging_1983/tillsyn/A 69022-2021 tillsynsbegäran.docx", "A 69022-2021")</f>
        <v/>
      </c>
      <c r="Y14">
        <f>HYPERLINK("https://klasma.github.io/Logging_1983/tillsynsmail/A 69022-2021 tillsynsbegäran mail.docx", "A 69022-2021")</f>
        <v/>
      </c>
    </row>
    <row r="15" ht="15" customHeight="1">
      <c r="A15" t="inlineStr">
        <is>
          <t>A 45826-2021</t>
        </is>
      </c>
      <c r="B15" s="1" t="n">
        <v>44441</v>
      </c>
      <c r="C15" s="1" t="n">
        <v>45975</v>
      </c>
      <c r="D15" t="inlineStr">
        <is>
          <t>VÄSTMANLANDS LÄN</t>
        </is>
      </c>
      <c r="E15" t="inlineStr">
        <is>
          <t>KÖPING</t>
        </is>
      </c>
      <c r="G15" t="n">
        <v>9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Fläcknycklar</t>
        </is>
      </c>
      <c r="S15">
        <f>HYPERLINK("https://klasma.github.io/Logging_1983/artfynd/A 45826-2021 artfynd.xlsx", "A 45826-2021")</f>
        <v/>
      </c>
      <c r="T15">
        <f>HYPERLINK("https://klasma.github.io/Logging_1983/kartor/A 45826-2021 karta.png", "A 45826-2021")</f>
        <v/>
      </c>
      <c r="V15">
        <f>HYPERLINK("https://klasma.github.io/Logging_1983/klagomål/A 45826-2021 FSC-klagomål.docx", "A 45826-2021")</f>
        <v/>
      </c>
      <c r="W15">
        <f>HYPERLINK("https://klasma.github.io/Logging_1983/klagomålsmail/A 45826-2021 FSC-klagomål mail.docx", "A 45826-2021")</f>
        <v/>
      </c>
      <c r="X15">
        <f>HYPERLINK("https://klasma.github.io/Logging_1983/tillsyn/A 45826-2021 tillsynsbegäran.docx", "A 45826-2021")</f>
        <v/>
      </c>
      <c r="Y15">
        <f>HYPERLINK("https://klasma.github.io/Logging_1983/tillsynsmail/A 45826-2021 tillsynsbegäran mail.docx", "A 45826-2021")</f>
        <v/>
      </c>
    </row>
    <row r="16" ht="15" customHeight="1">
      <c r="A16" t="inlineStr">
        <is>
          <t>A 6603-2025</t>
        </is>
      </c>
      <c r="B16" s="1" t="n">
        <v>45700.3262962963</v>
      </c>
      <c r="C16" s="1" t="n">
        <v>45975</v>
      </c>
      <c r="D16" t="inlineStr">
        <is>
          <t>VÄSTMANLANDS LÄN</t>
        </is>
      </c>
      <c r="E16" t="inlineStr">
        <is>
          <t>KÖPING</t>
        </is>
      </c>
      <c r="G16" t="n">
        <v>12.1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Motaggsvamp</t>
        </is>
      </c>
      <c r="S16">
        <f>HYPERLINK("https://klasma.github.io/Logging_1983/artfynd/A 6603-2025 artfynd.xlsx", "A 6603-2025")</f>
        <v/>
      </c>
      <c r="T16">
        <f>HYPERLINK("https://klasma.github.io/Logging_1983/kartor/A 6603-2025 karta.png", "A 6603-2025")</f>
        <v/>
      </c>
      <c r="V16">
        <f>HYPERLINK("https://klasma.github.io/Logging_1983/klagomål/A 6603-2025 FSC-klagomål.docx", "A 6603-2025")</f>
        <v/>
      </c>
      <c r="W16">
        <f>HYPERLINK("https://klasma.github.io/Logging_1983/klagomålsmail/A 6603-2025 FSC-klagomål mail.docx", "A 6603-2025")</f>
        <v/>
      </c>
      <c r="X16">
        <f>HYPERLINK("https://klasma.github.io/Logging_1983/tillsyn/A 6603-2025 tillsynsbegäran.docx", "A 6603-2025")</f>
        <v/>
      </c>
      <c r="Y16">
        <f>HYPERLINK("https://klasma.github.io/Logging_1983/tillsynsmail/A 6603-2025 tillsynsbegäran mail.docx", "A 6603-2025")</f>
        <v/>
      </c>
    </row>
    <row r="17" ht="15" customHeight="1">
      <c r="A17" t="inlineStr">
        <is>
          <t>A 13066-2025</t>
        </is>
      </c>
      <c r="B17" s="1" t="n">
        <v>45734.6059837963</v>
      </c>
      <c r="C17" s="1" t="n">
        <v>45975</v>
      </c>
      <c r="D17" t="inlineStr">
        <is>
          <t>VÄSTMANLANDS LÄN</t>
        </is>
      </c>
      <c r="E17" t="inlineStr">
        <is>
          <t>KÖPING</t>
        </is>
      </c>
      <c r="F17" t="inlineStr">
        <is>
          <t>Sveaskog</t>
        </is>
      </c>
      <c r="G17" t="n">
        <v>0.7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Revlummer</t>
        </is>
      </c>
      <c r="S17">
        <f>HYPERLINK("https://klasma.github.io/Logging_1983/artfynd/A 13066-2025 artfynd.xlsx", "A 13066-2025")</f>
        <v/>
      </c>
      <c r="T17">
        <f>HYPERLINK("https://klasma.github.io/Logging_1983/kartor/A 13066-2025 karta.png", "A 13066-2025")</f>
        <v/>
      </c>
      <c r="V17">
        <f>HYPERLINK("https://klasma.github.io/Logging_1983/klagomål/A 13066-2025 FSC-klagomål.docx", "A 13066-2025")</f>
        <v/>
      </c>
      <c r="W17">
        <f>HYPERLINK("https://klasma.github.io/Logging_1983/klagomålsmail/A 13066-2025 FSC-klagomål mail.docx", "A 13066-2025")</f>
        <v/>
      </c>
      <c r="X17">
        <f>HYPERLINK("https://klasma.github.io/Logging_1983/tillsyn/A 13066-2025 tillsynsbegäran.docx", "A 13066-2025")</f>
        <v/>
      </c>
      <c r="Y17">
        <f>HYPERLINK("https://klasma.github.io/Logging_1983/tillsynsmail/A 13066-2025 tillsynsbegäran mail.docx", "A 13066-2025")</f>
        <v/>
      </c>
    </row>
    <row r="18" ht="15" customHeight="1">
      <c r="A18" t="inlineStr">
        <is>
          <t>A 10900-2022</t>
        </is>
      </c>
      <c r="B18" s="1" t="n">
        <v>44627.9190625</v>
      </c>
      <c r="C18" s="1" t="n">
        <v>45975</v>
      </c>
      <c r="D18" t="inlineStr">
        <is>
          <t>VÄSTMANLANDS LÄN</t>
        </is>
      </c>
      <c r="E18" t="inlineStr">
        <is>
          <t>KÖPING</t>
        </is>
      </c>
      <c r="G18" t="n">
        <v>1.5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Klofibbla</t>
        </is>
      </c>
      <c r="S18">
        <f>HYPERLINK("https://klasma.github.io/Logging_1983/artfynd/A 10900-2022 artfynd.xlsx", "A 10900-2022")</f>
        <v/>
      </c>
      <c r="T18">
        <f>HYPERLINK("https://klasma.github.io/Logging_1983/kartor/A 10900-2022 karta.png", "A 10900-2022")</f>
        <v/>
      </c>
      <c r="V18">
        <f>HYPERLINK("https://klasma.github.io/Logging_1983/klagomål/A 10900-2022 FSC-klagomål.docx", "A 10900-2022")</f>
        <v/>
      </c>
      <c r="W18">
        <f>HYPERLINK("https://klasma.github.io/Logging_1983/klagomålsmail/A 10900-2022 FSC-klagomål mail.docx", "A 10900-2022")</f>
        <v/>
      </c>
      <c r="X18">
        <f>HYPERLINK("https://klasma.github.io/Logging_1983/tillsyn/A 10900-2022 tillsynsbegäran.docx", "A 10900-2022")</f>
        <v/>
      </c>
      <c r="Y18">
        <f>HYPERLINK("https://klasma.github.io/Logging_1983/tillsynsmail/A 10900-2022 tillsynsbegäran mail.docx", "A 10900-2022")</f>
        <v/>
      </c>
    </row>
    <row r="19" ht="15" customHeight="1">
      <c r="A19" t="inlineStr">
        <is>
          <t>A 54868-2024</t>
        </is>
      </c>
      <c r="B19" s="1" t="n">
        <v>45618.59756944444</v>
      </c>
      <c r="C19" s="1" t="n">
        <v>45975</v>
      </c>
      <c r="D19" t="inlineStr">
        <is>
          <t>VÄSTMANLANDS LÄN</t>
        </is>
      </c>
      <c r="E19" t="inlineStr">
        <is>
          <t>KÖPING</t>
        </is>
      </c>
      <c r="F19" t="inlineStr">
        <is>
          <t>Sveaskog</t>
        </is>
      </c>
      <c r="G19" t="n">
        <v>6.4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Skogsklocka</t>
        </is>
      </c>
      <c r="S19">
        <f>HYPERLINK("https://klasma.github.io/Logging_1983/artfynd/A 54868-2024 artfynd.xlsx", "A 54868-2024")</f>
        <v/>
      </c>
      <c r="T19">
        <f>HYPERLINK("https://klasma.github.io/Logging_1983/kartor/A 54868-2024 karta.png", "A 54868-2024")</f>
        <v/>
      </c>
      <c r="V19">
        <f>HYPERLINK("https://klasma.github.io/Logging_1983/klagomål/A 54868-2024 FSC-klagomål.docx", "A 54868-2024")</f>
        <v/>
      </c>
      <c r="W19">
        <f>HYPERLINK("https://klasma.github.io/Logging_1983/klagomålsmail/A 54868-2024 FSC-klagomål mail.docx", "A 54868-2024")</f>
        <v/>
      </c>
      <c r="X19">
        <f>HYPERLINK("https://klasma.github.io/Logging_1983/tillsyn/A 54868-2024 tillsynsbegäran.docx", "A 54868-2024")</f>
        <v/>
      </c>
      <c r="Y19">
        <f>HYPERLINK("https://klasma.github.io/Logging_1983/tillsynsmail/A 54868-2024 tillsynsbegäran mail.docx", "A 54868-2024")</f>
        <v/>
      </c>
    </row>
    <row r="20" ht="15" customHeight="1">
      <c r="A20" t="inlineStr">
        <is>
          <t>A 18371-2025</t>
        </is>
      </c>
      <c r="B20" s="1" t="n">
        <v>45762.56619212963</v>
      </c>
      <c r="C20" s="1" t="n">
        <v>45975</v>
      </c>
      <c r="D20" t="inlineStr">
        <is>
          <t>VÄSTMANLANDS LÄN</t>
        </is>
      </c>
      <c r="E20" t="inlineStr">
        <is>
          <t>KÖPING</t>
        </is>
      </c>
      <c r="G20" t="n">
        <v>0.8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Blåsippa</t>
        </is>
      </c>
      <c r="S20">
        <f>HYPERLINK("https://klasma.github.io/Logging_1983/artfynd/A 18371-2025 artfynd.xlsx", "A 18371-2025")</f>
        <v/>
      </c>
      <c r="T20">
        <f>HYPERLINK("https://klasma.github.io/Logging_1983/kartor/A 18371-2025 karta.png", "A 18371-2025")</f>
        <v/>
      </c>
      <c r="V20">
        <f>HYPERLINK("https://klasma.github.io/Logging_1983/klagomål/A 18371-2025 FSC-klagomål.docx", "A 18371-2025")</f>
        <v/>
      </c>
      <c r="W20">
        <f>HYPERLINK("https://klasma.github.io/Logging_1983/klagomålsmail/A 18371-2025 FSC-klagomål mail.docx", "A 18371-2025")</f>
        <v/>
      </c>
      <c r="X20">
        <f>HYPERLINK("https://klasma.github.io/Logging_1983/tillsyn/A 18371-2025 tillsynsbegäran.docx", "A 18371-2025")</f>
        <v/>
      </c>
      <c r="Y20">
        <f>HYPERLINK("https://klasma.github.io/Logging_1983/tillsynsmail/A 18371-2025 tillsynsbegäran mail.docx", "A 18371-2025")</f>
        <v/>
      </c>
    </row>
    <row r="21" ht="15" customHeight="1">
      <c r="A21" t="inlineStr">
        <is>
          <t>A 20704-2025</t>
        </is>
      </c>
      <c r="B21" s="1" t="n">
        <v>45776</v>
      </c>
      <c r="C21" s="1" t="n">
        <v>45975</v>
      </c>
      <c r="D21" t="inlineStr">
        <is>
          <t>VÄSTMANLANDS LÄN</t>
        </is>
      </c>
      <c r="E21" t="inlineStr">
        <is>
          <t>KÖPING</t>
        </is>
      </c>
      <c r="G21" t="n">
        <v>2.7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Tibast</t>
        </is>
      </c>
      <c r="S21">
        <f>HYPERLINK("https://klasma.github.io/Logging_1983/artfynd/A 20704-2025 artfynd.xlsx", "A 20704-2025")</f>
        <v/>
      </c>
      <c r="T21">
        <f>HYPERLINK("https://klasma.github.io/Logging_1983/kartor/A 20704-2025 karta.png", "A 20704-2025")</f>
        <v/>
      </c>
      <c r="V21">
        <f>HYPERLINK("https://klasma.github.io/Logging_1983/klagomål/A 20704-2025 FSC-klagomål.docx", "A 20704-2025")</f>
        <v/>
      </c>
      <c r="W21">
        <f>HYPERLINK("https://klasma.github.io/Logging_1983/klagomålsmail/A 20704-2025 FSC-klagomål mail.docx", "A 20704-2025")</f>
        <v/>
      </c>
      <c r="X21">
        <f>HYPERLINK("https://klasma.github.io/Logging_1983/tillsyn/A 20704-2025 tillsynsbegäran.docx", "A 20704-2025")</f>
        <v/>
      </c>
      <c r="Y21">
        <f>HYPERLINK("https://klasma.github.io/Logging_1983/tillsynsmail/A 20704-2025 tillsynsbegäran mail.docx", "A 20704-2025")</f>
        <v/>
      </c>
    </row>
    <row r="22" ht="15" customHeight="1">
      <c r="A22" t="inlineStr">
        <is>
          <t>A 48826-2025</t>
        </is>
      </c>
      <c r="B22" s="1" t="n">
        <v>45937.38243055555</v>
      </c>
      <c r="C22" s="1" t="n">
        <v>45975</v>
      </c>
      <c r="D22" t="inlineStr">
        <is>
          <t>VÄSTMANLANDS LÄN</t>
        </is>
      </c>
      <c r="E22" t="inlineStr">
        <is>
          <t>KÖPING</t>
        </is>
      </c>
      <c r="F22" t="inlineStr">
        <is>
          <t>Sveaskog</t>
        </is>
      </c>
      <c r="G22" t="n">
        <v>3.2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Motaggsvamp</t>
        </is>
      </c>
      <c r="S22">
        <f>HYPERLINK("https://klasma.github.io/Logging_1983/artfynd/A 48826-2025 artfynd.xlsx", "A 48826-2025")</f>
        <v/>
      </c>
      <c r="T22">
        <f>HYPERLINK("https://klasma.github.io/Logging_1983/kartor/A 48826-2025 karta.png", "A 48826-2025")</f>
        <v/>
      </c>
      <c r="V22">
        <f>HYPERLINK("https://klasma.github.io/Logging_1983/klagomål/A 48826-2025 FSC-klagomål.docx", "A 48826-2025")</f>
        <v/>
      </c>
      <c r="W22">
        <f>HYPERLINK("https://klasma.github.io/Logging_1983/klagomålsmail/A 48826-2025 FSC-klagomål mail.docx", "A 48826-2025")</f>
        <v/>
      </c>
      <c r="X22">
        <f>HYPERLINK("https://klasma.github.io/Logging_1983/tillsyn/A 48826-2025 tillsynsbegäran.docx", "A 48826-2025")</f>
        <v/>
      </c>
      <c r="Y22">
        <f>HYPERLINK("https://klasma.github.io/Logging_1983/tillsynsmail/A 48826-2025 tillsynsbegäran mail.docx", "A 48826-2025")</f>
        <v/>
      </c>
    </row>
    <row r="23" ht="15" customHeight="1">
      <c r="A23" t="inlineStr">
        <is>
          <t>A 31263-2024</t>
        </is>
      </c>
      <c r="B23" s="1" t="n">
        <v>45503</v>
      </c>
      <c r="C23" s="1" t="n">
        <v>45975</v>
      </c>
      <c r="D23" t="inlineStr">
        <is>
          <t>VÄSTMANLANDS LÄN</t>
        </is>
      </c>
      <c r="E23" t="inlineStr">
        <is>
          <t>KÖPING</t>
        </is>
      </c>
      <c r="G23" t="n">
        <v>12.4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Mindre bastardsvärmare</t>
        </is>
      </c>
      <c r="S23">
        <f>HYPERLINK("https://klasma.github.io/Logging_1983/artfynd/A 31263-2024 artfynd.xlsx", "A 31263-2024")</f>
        <v/>
      </c>
      <c r="T23">
        <f>HYPERLINK("https://klasma.github.io/Logging_1983/kartor/A 31263-2024 karta.png", "A 31263-2024")</f>
        <v/>
      </c>
      <c r="V23">
        <f>HYPERLINK("https://klasma.github.io/Logging_1983/klagomål/A 31263-2024 FSC-klagomål.docx", "A 31263-2024")</f>
        <v/>
      </c>
      <c r="W23">
        <f>HYPERLINK("https://klasma.github.io/Logging_1983/klagomålsmail/A 31263-2024 FSC-klagomål mail.docx", "A 31263-2024")</f>
        <v/>
      </c>
      <c r="X23">
        <f>HYPERLINK("https://klasma.github.io/Logging_1983/tillsyn/A 31263-2024 tillsynsbegäran.docx", "A 31263-2024")</f>
        <v/>
      </c>
      <c r="Y23">
        <f>HYPERLINK("https://klasma.github.io/Logging_1983/tillsynsmail/A 31263-2024 tillsynsbegäran mail.docx", "A 31263-2024")</f>
        <v/>
      </c>
    </row>
    <row r="24" ht="15" customHeight="1">
      <c r="A24" t="inlineStr">
        <is>
          <t>A 40696-2025</t>
        </is>
      </c>
      <c r="B24" s="1" t="n">
        <v>45897.28859953704</v>
      </c>
      <c r="C24" s="1" t="n">
        <v>45975</v>
      </c>
      <c r="D24" t="inlineStr">
        <is>
          <t>VÄSTMANLANDS LÄN</t>
        </is>
      </c>
      <c r="E24" t="inlineStr">
        <is>
          <t>KÖPING</t>
        </is>
      </c>
      <c r="G24" t="n">
        <v>4.5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Tibast</t>
        </is>
      </c>
      <c r="S24">
        <f>HYPERLINK("https://klasma.github.io/Logging_1983/artfynd/A 40696-2025 artfynd.xlsx", "A 40696-2025")</f>
        <v/>
      </c>
      <c r="T24">
        <f>HYPERLINK("https://klasma.github.io/Logging_1983/kartor/A 40696-2025 karta.png", "A 40696-2025")</f>
        <v/>
      </c>
      <c r="V24">
        <f>HYPERLINK("https://klasma.github.io/Logging_1983/klagomål/A 40696-2025 FSC-klagomål.docx", "A 40696-2025")</f>
        <v/>
      </c>
      <c r="W24">
        <f>HYPERLINK("https://klasma.github.io/Logging_1983/klagomålsmail/A 40696-2025 FSC-klagomål mail.docx", "A 40696-2025")</f>
        <v/>
      </c>
      <c r="X24">
        <f>HYPERLINK("https://klasma.github.io/Logging_1983/tillsyn/A 40696-2025 tillsynsbegäran.docx", "A 40696-2025")</f>
        <v/>
      </c>
      <c r="Y24">
        <f>HYPERLINK("https://klasma.github.io/Logging_1983/tillsynsmail/A 40696-2025 tillsynsbegäran mail.docx", "A 40696-2025")</f>
        <v/>
      </c>
    </row>
    <row r="25" ht="15" customHeight="1">
      <c r="A25" t="inlineStr">
        <is>
          <t>A 50756-2025</t>
        </is>
      </c>
      <c r="B25" s="1" t="n">
        <v>45946.41099537037</v>
      </c>
      <c r="C25" s="1" t="n">
        <v>45975</v>
      </c>
      <c r="D25" t="inlineStr">
        <is>
          <t>VÄSTMANLANDS LÄN</t>
        </is>
      </c>
      <c r="E25" t="inlineStr">
        <is>
          <t>KÖPING</t>
        </is>
      </c>
      <c r="F25" t="inlineStr">
        <is>
          <t>Sveaskog</t>
        </is>
      </c>
      <c r="G25" t="n">
        <v>12.7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Motaggsvamp</t>
        </is>
      </c>
      <c r="S25">
        <f>HYPERLINK("https://klasma.github.io/Logging_1983/artfynd/A 50756-2025 artfynd.xlsx", "A 50756-2025")</f>
        <v/>
      </c>
      <c r="T25">
        <f>HYPERLINK("https://klasma.github.io/Logging_1983/kartor/A 50756-2025 karta.png", "A 50756-2025")</f>
        <v/>
      </c>
      <c r="V25">
        <f>HYPERLINK("https://klasma.github.io/Logging_1983/klagomål/A 50756-2025 FSC-klagomål.docx", "A 50756-2025")</f>
        <v/>
      </c>
      <c r="W25">
        <f>HYPERLINK("https://klasma.github.io/Logging_1983/klagomålsmail/A 50756-2025 FSC-klagomål mail.docx", "A 50756-2025")</f>
        <v/>
      </c>
      <c r="X25">
        <f>HYPERLINK("https://klasma.github.io/Logging_1983/tillsyn/A 50756-2025 tillsynsbegäran.docx", "A 50756-2025")</f>
        <v/>
      </c>
      <c r="Y25">
        <f>HYPERLINK("https://klasma.github.io/Logging_1983/tillsynsmail/A 50756-2025 tillsynsbegäran mail.docx", "A 50756-2025")</f>
        <v/>
      </c>
    </row>
    <row r="26" ht="15" customHeight="1">
      <c r="A26" t="inlineStr">
        <is>
          <t>A 55157-2023</t>
        </is>
      </c>
      <c r="B26" s="1" t="n">
        <v>45237</v>
      </c>
      <c r="C26" s="1" t="n">
        <v>45975</v>
      </c>
      <c r="D26" t="inlineStr">
        <is>
          <t>VÄSTMANLANDS LÄN</t>
        </is>
      </c>
      <c r="E26" t="inlineStr">
        <is>
          <t>KÖPING</t>
        </is>
      </c>
      <c r="G26" t="n">
        <v>6.7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Nattviol</t>
        </is>
      </c>
      <c r="S26">
        <f>HYPERLINK("https://klasma.github.io/Logging_1983/artfynd/A 55157-2023 artfynd.xlsx", "A 55157-2023")</f>
        <v/>
      </c>
      <c r="T26">
        <f>HYPERLINK("https://klasma.github.io/Logging_1983/kartor/A 55157-2023 karta.png", "A 55157-2023")</f>
        <v/>
      </c>
      <c r="V26">
        <f>HYPERLINK("https://klasma.github.io/Logging_1983/klagomål/A 55157-2023 FSC-klagomål.docx", "A 55157-2023")</f>
        <v/>
      </c>
      <c r="W26">
        <f>HYPERLINK("https://klasma.github.io/Logging_1983/klagomålsmail/A 55157-2023 FSC-klagomål mail.docx", "A 55157-2023")</f>
        <v/>
      </c>
      <c r="X26">
        <f>HYPERLINK("https://klasma.github.io/Logging_1983/tillsyn/A 55157-2023 tillsynsbegäran.docx", "A 55157-2023")</f>
        <v/>
      </c>
      <c r="Y26">
        <f>HYPERLINK("https://klasma.github.io/Logging_1983/tillsynsmail/A 55157-2023 tillsynsbegäran mail.docx", "A 55157-2023")</f>
        <v/>
      </c>
    </row>
    <row r="27" ht="15" customHeight="1">
      <c r="A27" t="inlineStr">
        <is>
          <t>A 28500-2025</t>
        </is>
      </c>
      <c r="B27" s="1" t="n">
        <v>45819.47195601852</v>
      </c>
      <c r="C27" s="1" t="n">
        <v>45975</v>
      </c>
      <c r="D27" t="inlineStr">
        <is>
          <t>VÄSTMANLANDS LÄN</t>
        </is>
      </c>
      <c r="E27" t="inlineStr">
        <is>
          <t>KÖPING</t>
        </is>
      </c>
      <c r="F27" t="inlineStr">
        <is>
          <t>Sveaskog</t>
        </is>
      </c>
      <c r="G27" t="n">
        <v>0.6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Svinrot</t>
        </is>
      </c>
      <c r="S27">
        <f>HYPERLINK("https://klasma.github.io/Logging_1983/artfynd/A 28500-2025 artfynd.xlsx", "A 28500-2025")</f>
        <v/>
      </c>
      <c r="T27">
        <f>HYPERLINK("https://klasma.github.io/Logging_1983/kartor/A 28500-2025 karta.png", "A 28500-2025")</f>
        <v/>
      </c>
      <c r="V27">
        <f>HYPERLINK("https://klasma.github.io/Logging_1983/klagomål/A 28500-2025 FSC-klagomål.docx", "A 28500-2025")</f>
        <v/>
      </c>
      <c r="W27">
        <f>HYPERLINK("https://klasma.github.io/Logging_1983/klagomålsmail/A 28500-2025 FSC-klagomål mail.docx", "A 28500-2025")</f>
        <v/>
      </c>
      <c r="X27">
        <f>HYPERLINK("https://klasma.github.io/Logging_1983/tillsyn/A 28500-2025 tillsynsbegäran.docx", "A 28500-2025")</f>
        <v/>
      </c>
      <c r="Y27">
        <f>HYPERLINK("https://klasma.github.io/Logging_1983/tillsynsmail/A 28500-2025 tillsynsbegäran mail.docx", "A 28500-2025")</f>
        <v/>
      </c>
    </row>
    <row r="28" ht="15" customHeight="1">
      <c r="A28" t="inlineStr">
        <is>
          <t>A 43942-2025</t>
        </is>
      </c>
      <c r="B28" s="1" t="n">
        <v>45915.36554398148</v>
      </c>
      <c r="C28" s="1" t="n">
        <v>45975</v>
      </c>
      <c r="D28" t="inlineStr">
        <is>
          <t>VÄSTMANLANDS LÄN</t>
        </is>
      </c>
      <c r="E28" t="inlineStr">
        <is>
          <t>KÖPING</t>
        </is>
      </c>
      <c r="G28" t="n">
        <v>4.2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Storgröe</t>
        </is>
      </c>
      <c r="S28">
        <f>HYPERLINK("https://klasma.github.io/Logging_1983/artfynd/A 43942-2025 artfynd.xlsx", "A 43942-2025")</f>
        <v/>
      </c>
      <c r="T28">
        <f>HYPERLINK("https://klasma.github.io/Logging_1983/kartor/A 43942-2025 karta.png", "A 43942-2025")</f>
        <v/>
      </c>
      <c r="V28">
        <f>HYPERLINK("https://klasma.github.io/Logging_1983/klagomål/A 43942-2025 FSC-klagomål.docx", "A 43942-2025")</f>
        <v/>
      </c>
      <c r="W28">
        <f>HYPERLINK("https://klasma.github.io/Logging_1983/klagomålsmail/A 43942-2025 FSC-klagomål mail.docx", "A 43942-2025")</f>
        <v/>
      </c>
      <c r="X28">
        <f>HYPERLINK("https://klasma.github.io/Logging_1983/tillsyn/A 43942-2025 tillsynsbegäran.docx", "A 43942-2025")</f>
        <v/>
      </c>
      <c r="Y28">
        <f>HYPERLINK("https://klasma.github.io/Logging_1983/tillsynsmail/A 43942-2025 tillsynsbegäran mail.docx", "A 43942-2025")</f>
        <v/>
      </c>
    </row>
    <row r="29" ht="15" customHeight="1">
      <c r="A29" t="inlineStr">
        <is>
          <t>A 35206-2025</t>
        </is>
      </c>
      <c r="B29" s="1" t="n">
        <v>45853</v>
      </c>
      <c r="C29" s="1" t="n">
        <v>45975</v>
      </c>
      <c r="D29" t="inlineStr">
        <is>
          <t>VÄSTMANLANDS LÄN</t>
        </is>
      </c>
      <c r="E29" t="inlineStr">
        <is>
          <t>KÖPING</t>
        </is>
      </c>
      <c r="F29" t="inlineStr">
        <is>
          <t>Allmännings- och besparingsskogar</t>
        </is>
      </c>
      <c r="G29" t="n">
        <v>9.800000000000001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Tjäder</t>
        </is>
      </c>
      <c r="S29">
        <f>HYPERLINK("https://klasma.github.io/Logging_1983/artfynd/A 35206-2025 artfynd.xlsx", "A 35206-2025")</f>
        <v/>
      </c>
      <c r="T29">
        <f>HYPERLINK("https://klasma.github.io/Logging_1983/kartor/A 35206-2025 karta.png", "A 35206-2025")</f>
        <v/>
      </c>
      <c r="U29">
        <f>HYPERLINK("https://klasma.github.io/Logging_1983/knärot/A 35206-2025 karta knärot.png", "A 35206-2025")</f>
        <v/>
      </c>
      <c r="V29">
        <f>HYPERLINK("https://klasma.github.io/Logging_1983/klagomål/A 35206-2025 FSC-klagomål.docx", "A 35206-2025")</f>
        <v/>
      </c>
      <c r="W29">
        <f>HYPERLINK("https://klasma.github.io/Logging_1983/klagomålsmail/A 35206-2025 FSC-klagomål mail.docx", "A 35206-2025")</f>
        <v/>
      </c>
      <c r="X29">
        <f>HYPERLINK("https://klasma.github.io/Logging_1983/tillsyn/A 35206-2025 tillsynsbegäran.docx", "A 35206-2025")</f>
        <v/>
      </c>
      <c r="Y29">
        <f>HYPERLINK("https://klasma.github.io/Logging_1983/tillsynsmail/A 35206-2025 tillsynsbegäran mail.docx", "A 35206-2025")</f>
        <v/>
      </c>
      <c r="Z29">
        <f>HYPERLINK("https://klasma.github.io/Logging_1983/fåglar/A 35206-2025 prioriterade fågelarter.docx", "A 35206-2025")</f>
        <v/>
      </c>
    </row>
    <row r="30" ht="15" customHeight="1">
      <c r="A30" t="inlineStr">
        <is>
          <t>A 33498-2025</t>
        </is>
      </c>
      <c r="B30" s="1" t="n">
        <v>45841</v>
      </c>
      <c r="C30" s="1" t="n">
        <v>45975</v>
      </c>
      <c r="D30" t="inlineStr">
        <is>
          <t>VÄSTMANLANDS LÄN</t>
        </is>
      </c>
      <c r="E30" t="inlineStr">
        <is>
          <t>KÖPING</t>
        </is>
      </c>
      <c r="F30" t="inlineStr">
        <is>
          <t>Sveaskog</t>
        </is>
      </c>
      <c r="G30" t="n">
        <v>1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Skogsklocka</t>
        </is>
      </c>
      <c r="S30">
        <f>HYPERLINK("https://klasma.github.io/Logging_1983/artfynd/A 33498-2025 artfynd.xlsx", "A 33498-2025")</f>
        <v/>
      </c>
      <c r="T30">
        <f>HYPERLINK("https://klasma.github.io/Logging_1983/kartor/A 33498-2025 karta.png", "A 33498-2025")</f>
        <v/>
      </c>
      <c r="V30">
        <f>HYPERLINK("https://klasma.github.io/Logging_1983/klagomål/A 33498-2025 FSC-klagomål.docx", "A 33498-2025")</f>
        <v/>
      </c>
      <c r="W30">
        <f>HYPERLINK("https://klasma.github.io/Logging_1983/klagomålsmail/A 33498-2025 FSC-klagomål mail.docx", "A 33498-2025")</f>
        <v/>
      </c>
      <c r="X30">
        <f>HYPERLINK("https://klasma.github.io/Logging_1983/tillsyn/A 33498-2025 tillsynsbegäran.docx", "A 33498-2025")</f>
        <v/>
      </c>
      <c r="Y30">
        <f>HYPERLINK("https://klasma.github.io/Logging_1983/tillsynsmail/A 33498-2025 tillsynsbegäran mail.docx", "A 33498-2025")</f>
        <v/>
      </c>
    </row>
    <row r="31" ht="15" customHeight="1">
      <c r="A31" t="inlineStr">
        <is>
          <t>A 20706-2025</t>
        </is>
      </c>
      <c r="B31" s="1" t="n">
        <v>45776.48415509259</v>
      </c>
      <c r="C31" s="1" t="n">
        <v>45975</v>
      </c>
      <c r="D31" t="inlineStr">
        <is>
          <t>VÄSTMANLANDS LÄN</t>
        </is>
      </c>
      <c r="E31" t="inlineStr">
        <is>
          <t>KÖPING</t>
        </is>
      </c>
      <c r="G31" t="n">
        <v>1.7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Tibast</t>
        </is>
      </c>
      <c r="S31">
        <f>HYPERLINK("https://klasma.github.io/Logging_1983/artfynd/A 20706-2025 artfynd.xlsx", "A 20706-2025")</f>
        <v/>
      </c>
      <c r="T31">
        <f>HYPERLINK("https://klasma.github.io/Logging_1983/kartor/A 20706-2025 karta.png", "A 20706-2025")</f>
        <v/>
      </c>
      <c r="V31">
        <f>HYPERLINK("https://klasma.github.io/Logging_1983/klagomål/A 20706-2025 FSC-klagomål.docx", "A 20706-2025")</f>
        <v/>
      </c>
      <c r="W31">
        <f>HYPERLINK("https://klasma.github.io/Logging_1983/klagomålsmail/A 20706-2025 FSC-klagomål mail.docx", "A 20706-2025")</f>
        <v/>
      </c>
      <c r="X31">
        <f>HYPERLINK("https://klasma.github.io/Logging_1983/tillsyn/A 20706-2025 tillsynsbegäran.docx", "A 20706-2025")</f>
        <v/>
      </c>
      <c r="Y31">
        <f>HYPERLINK("https://klasma.github.io/Logging_1983/tillsynsmail/A 20706-2025 tillsynsbegäran mail.docx", "A 20706-2025")</f>
        <v/>
      </c>
    </row>
    <row r="32" ht="15" customHeight="1">
      <c r="A32" t="inlineStr">
        <is>
          <t>A 47573-2025</t>
        </is>
      </c>
      <c r="B32" s="1" t="n">
        <v>45931.39806712963</v>
      </c>
      <c r="C32" s="1" t="n">
        <v>45975</v>
      </c>
      <c r="D32" t="inlineStr">
        <is>
          <t>VÄSTMANLANDS LÄN</t>
        </is>
      </c>
      <c r="E32" t="inlineStr">
        <is>
          <t>KÖPING</t>
        </is>
      </c>
      <c r="F32" t="inlineStr">
        <is>
          <t>Sveaskog</t>
        </is>
      </c>
      <c r="G32" t="n">
        <v>4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Motaggsvamp</t>
        </is>
      </c>
      <c r="S32">
        <f>HYPERLINK("https://klasma.github.io/Logging_1983/artfynd/A 47573-2025 artfynd.xlsx", "A 47573-2025")</f>
        <v/>
      </c>
      <c r="T32">
        <f>HYPERLINK("https://klasma.github.io/Logging_1983/kartor/A 47573-2025 karta.png", "A 47573-2025")</f>
        <v/>
      </c>
      <c r="V32">
        <f>HYPERLINK("https://klasma.github.io/Logging_1983/klagomål/A 47573-2025 FSC-klagomål.docx", "A 47573-2025")</f>
        <v/>
      </c>
      <c r="W32">
        <f>HYPERLINK("https://klasma.github.io/Logging_1983/klagomålsmail/A 47573-2025 FSC-klagomål mail.docx", "A 47573-2025")</f>
        <v/>
      </c>
      <c r="X32">
        <f>HYPERLINK("https://klasma.github.io/Logging_1983/tillsyn/A 47573-2025 tillsynsbegäran.docx", "A 47573-2025")</f>
        <v/>
      </c>
      <c r="Y32">
        <f>HYPERLINK("https://klasma.github.io/Logging_1983/tillsynsmail/A 47573-2025 tillsynsbegäran mail.docx", "A 47573-2025")</f>
        <v/>
      </c>
    </row>
    <row r="33" ht="15" customHeight="1">
      <c r="A33" t="inlineStr">
        <is>
          <t>A 31242-2025</t>
        </is>
      </c>
      <c r="B33" s="1" t="n">
        <v>45832</v>
      </c>
      <c r="C33" s="1" t="n">
        <v>45975</v>
      </c>
      <c r="D33" t="inlineStr">
        <is>
          <t>VÄSTMANLANDS LÄN</t>
        </is>
      </c>
      <c r="E33" t="inlineStr">
        <is>
          <t>KÖPING</t>
        </is>
      </c>
      <c r="F33" t="inlineStr">
        <is>
          <t>Allmännings- och besparingsskogar</t>
        </is>
      </c>
      <c r="G33" t="n">
        <v>4.7</v>
      </c>
      <c r="H33" t="n">
        <v>1</v>
      </c>
      <c r="I33" t="n">
        <v>0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1</v>
      </c>
      <c r="R33" s="2" t="inlineStr">
        <is>
          <t>Knärot</t>
        </is>
      </c>
      <c r="S33">
        <f>HYPERLINK("https://klasma.github.io/Logging_1983/artfynd/A 31242-2025 artfynd.xlsx", "A 31242-2025")</f>
        <v/>
      </c>
      <c r="T33">
        <f>HYPERLINK("https://klasma.github.io/Logging_1983/kartor/A 31242-2025 karta.png", "A 31242-2025")</f>
        <v/>
      </c>
      <c r="U33">
        <f>HYPERLINK("https://klasma.github.io/Logging_1983/knärot/A 31242-2025 karta knärot.png", "A 31242-2025")</f>
        <v/>
      </c>
      <c r="V33">
        <f>HYPERLINK("https://klasma.github.io/Logging_1983/klagomål/A 31242-2025 FSC-klagomål.docx", "A 31242-2025")</f>
        <v/>
      </c>
      <c r="W33">
        <f>HYPERLINK("https://klasma.github.io/Logging_1983/klagomålsmail/A 31242-2025 FSC-klagomål mail.docx", "A 31242-2025")</f>
        <v/>
      </c>
      <c r="X33">
        <f>HYPERLINK("https://klasma.github.io/Logging_1983/tillsyn/A 31242-2025 tillsynsbegäran.docx", "A 31242-2025")</f>
        <v/>
      </c>
      <c r="Y33">
        <f>HYPERLINK("https://klasma.github.io/Logging_1983/tillsynsmail/A 31242-2025 tillsynsbegäran mail.docx", "A 31242-2025")</f>
        <v/>
      </c>
    </row>
    <row r="34" ht="15" customHeight="1">
      <c r="A34" t="inlineStr">
        <is>
          <t>A 56279-2025</t>
        </is>
      </c>
      <c r="B34" s="1" t="n">
        <v>45974.58945601852</v>
      </c>
      <c r="C34" s="1" t="n">
        <v>45975</v>
      </c>
      <c r="D34" t="inlineStr">
        <is>
          <t>VÄSTMANLANDS LÄN</t>
        </is>
      </c>
      <c r="E34" t="inlineStr">
        <is>
          <t>KÖPING</t>
        </is>
      </c>
      <c r="F34" t="inlineStr">
        <is>
          <t>Sveaskog</t>
        </is>
      </c>
      <c r="G34" t="n">
        <v>2.1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Tjäder</t>
        </is>
      </c>
      <c r="S34">
        <f>HYPERLINK("https://klasma.github.io/Logging_1983/artfynd/A 56279-2025 artfynd.xlsx", "A 56279-2025")</f>
        <v/>
      </c>
      <c r="T34">
        <f>HYPERLINK("https://klasma.github.io/Logging_1983/kartor/A 56279-2025 karta.png", "A 56279-2025")</f>
        <v/>
      </c>
      <c r="V34">
        <f>HYPERLINK("https://klasma.github.io/Logging_1983/klagomål/A 56279-2025 FSC-klagomål.docx", "A 56279-2025")</f>
        <v/>
      </c>
      <c r="W34">
        <f>HYPERLINK("https://klasma.github.io/Logging_1983/klagomålsmail/A 56279-2025 FSC-klagomål mail.docx", "A 56279-2025")</f>
        <v/>
      </c>
      <c r="X34">
        <f>HYPERLINK("https://klasma.github.io/Logging_1983/tillsyn/A 56279-2025 tillsynsbegäran.docx", "A 56279-2025")</f>
        <v/>
      </c>
      <c r="Y34">
        <f>HYPERLINK("https://klasma.github.io/Logging_1983/tillsynsmail/A 56279-2025 tillsynsbegäran mail.docx", "A 56279-2025")</f>
        <v/>
      </c>
      <c r="Z34">
        <f>HYPERLINK("https://klasma.github.io/Logging_1983/fåglar/A 56279-2025 prioriterade fågelarter.docx", "A 56279-2025")</f>
        <v/>
      </c>
    </row>
    <row r="35" ht="15" customHeight="1">
      <c r="A35" t="inlineStr">
        <is>
          <t>A 15575-2021</t>
        </is>
      </c>
      <c r="B35" s="1" t="n">
        <v>44285.6284837963</v>
      </c>
      <c r="C35" s="1" t="n">
        <v>45975</v>
      </c>
      <c r="D35" t="inlineStr">
        <is>
          <t>VÄSTMANLANDS LÄN</t>
        </is>
      </c>
      <c r="E35" t="inlineStr">
        <is>
          <t>KÖPING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14314-2021</t>
        </is>
      </c>
      <c r="B36" s="1" t="n">
        <v>44278</v>
      </c>
      <c r="C36" s="1" t="n">
        <v>45975</v>
      </c>
      <c r="D36" t="inlineStr">
        <is>
          <t>VÄSTMANLANDS LÄN</t>
        </is>
      </c>
      <c r="E36" t="inlineStr">
        <is>
          <t>KÖPING</t>
        </is>
      </c>
      <c r="G36" t="n">
        <v>3.1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12357-2021</t>
        </is>
      </c>
      <c r="B37" s="1" t="n">
        <v>44267</v>
      </c>
      <c r="C37" s="1" t="n">
        <v>45975</v>
      </c>
      <c r="D37" t="inlineStr">
        <is>
          <t>VÄSTMANLANDS LÄN</t>
        </is>
      </c>
      <c r="E37" t="inlineStr">
        <is>
          <t>KÖPING</t>
        </is>
      </c>
      <c r="G37" t="n">
        <v>4.2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27604-2021</t>
        </is>
      </c>
      <c r="B38" s="1" t="n">
        <v>44351</v>
      </c>
      <c r="C38" s="1" t="n">
        <v>45975</v>
      </c>
      <c r="D38" t="inlineStr">
        <is>
          <t>VÄSTMANLANDS LÄN</t>
        </is>
      </c>
      <c r="E38" t="inlineStr">
        <is>
          <t>KÖPING</t>
        </is>
      </c>
      <c r="G38" t="n">
        <v>1.9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34215-2021</t>
        </is>
      </c>
      <c r="B39" s="1" t="n">
        <v>44379</v>
      </c>
      <c r="C39" s="1" t="n">
        <v>45975</v>
      </c>
      <c r="D39" t="inlineStr">
        <is>
          <t>VÄSTMANLANDS LÄN</t>
        </is>
      </c>
      <c r="E39" t="inlineStr">
        <is>
          <t>KÖPING</t>
        </is>
      </c>
      <c r="F39" t="inlineStr">
        <is>
          <t>Sveaskog</t>
        </is>
      </c>
      <c r="G39" t="n">
        <v>1.2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67946-2021</t>
        </is>
      </c>
      <c r="B40" s="1" t="n">
        <v>44525</v>
      </c>
      <c r="C40" s="1" t="n">
        <v>45975</v>
      </c>
      <c r="D40" t="inlineStr">
        <is>
          <t>VÄSTMANLANDS LÄN</t>
        </is>
      </c>
      <c r="E40" t="inlineStr">
        <is>
          <t>KÖPING</t>
        </is>
      </c>
      <c r="G40" t="n">
        <v>1.8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11890-2021</t>
        </is>
      </c>
      <c r="B41" s="1" t="n">
        <v>44265</v>
      </c>
      <c r="C41" s="1" t="n">
        <v>45975</v>
      </c>
      <c r="D41" t="inlineStr">
        <is>
          <t>VÄSTMANLANDS LÄN</t>
        </is>
      </c>
      <c r="E41" t="inlineStr">
        <is>
          <t>KÖPING</t>
        </is>
      </c>
      <c r="G41" t="n">
        <v>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35108-2022</t>
        </is>
      </c>
      <c r="B42" s="1" t="n">
        <v>44797</v>
      </c>
      <c r="C42" s="1" t="n">
        <v>45975</v>
      </c>
      <c r="D42" t="inlineStr">
        <is>
          <t>VÄSTMANLANDS LÄN</t>
        </is>
      </c>
      <c r="E42" t="inlineStr">
        <is>
          <t>KÖPING</t>
        </is>
      </c>
      <c r="F42" t="inlineStr">
        <is>
          <t>Sveaskog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46661-2021</t>
        </is>
      </c>
      <c r="B43" s="1" t="n">
        <v>44445.60908564815</v>
      </c>
      <c r="C43" s="1" t="n">
        <v>45975</v>
      </c>
      <c r="D43" t="inlineStr">
        <is>
          <t>VÄSTMANLANDS LÄN</t>
        </is>
      </c>
      <c r="E43" t="inlineStr">
        <is>
          <t>KÖPING</t>
        </is>
      </c>
      <c r="F43" t="inlineStr">
        <is>
          <t>Sveaskog</t>
        </is>
      </c>
      <c r="G43" t="n">
        <v>1.9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46616-2021</t>
        </is>
      </c>
      <c r="B44" s="1" t="n">
        <v>44445</v>
      </c>
      <c r="C44" s="1" t="n">
        <v>45975</v>
      </c>
      <c r="D44" t="inlineStr">
        <is>
          <t>VÄSTMANLANDS LÄN</t>
        </is>
      </c>
      <c r="E44" t="inlineStr">
        <is>
          <t>KÖPING</t>
        </is>
      </c>
      <c r="G44" t="n">
        <v>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10435-2021</t>
        </is>
      </c>
      <c r="B45" s="1" t="n">
        <v>44257</v>
      </c>
      <c r="C45" s="1" t="n">
        <v>45975</v>
      </c>
      <c r="D45" t="inlineStr">
        <is>
          <t>VÄSTMANLANDS LÄN</t>
        </is>
      </c>
      <c r="E45" t="inlineStr">
        <is>
          <t>KÖPING</t>
        </is>
      </c>
      <c r="F45" t="inlineStr">
        <is>
          <t>Kyrkan</t>
        </is>
      </c>
      <c r="G45" t="n">
        <v>1.4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69656-2021</t>
        </is>
      </c>
      <c r="B46" s="1" t="n">
        <v>44532.44113425926</v>
      </c>
      <c r="C46" s="1" t="n">
        <v>45975</v>
      </c>
      <c r="D46" t="inlineStr">
        <is>
          <t>VÄSTMANLANDS LÄN</t>
        </is>
      </c>
      <c r="E46" t="inlineStr">
        <is>
          <t>KÖPING</t>
        </is>
      </c>
      <c r="G46" t="n">
        <v>2.4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56249-2021</t>
        </is>
      </c>
      <c r="B47" s="1" t="n">
        <v>44479</v>
      </c>
      <c r="C47" s="1" t="n">
        <v>45975</v>
      </c>
      <c r="D47" t="inlineStr">
        <is>
          <t>VÄSTMANLANDS LÄN</t>
        </is>
      </c>
      <c r="E47" t="inlineStr">
        <is>
          <t>KÖPING</t>
        </is>
      </c>
      <c r="G47" t="n">
        <v>0.2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58551-2021</t>
        </is>
      </c>
      <c r="B48" s="1" t="n">
        <v>44488.72770833333</v>
      </c>
      <c r="C48" s="1" t="n">
        <v>45975</v>
      </c>
      <c r="D48" t="inlineStr">
        <is>
          <t>VÄSTMANLANDS LÄN</t>
        </is>
      </c>
      <c r="E48" t="inlineStr">
        <is>
          <t>KÖPING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46343-2021</t>
        </is>
      </c>
      <c r="B49" s="1" t="n">
        <v>44442.70611111111</v>
      </c>
      <c r="C49" s="1" t="n">
        <v>45975</v>
      </c>
      <c r="D49" t="inlineStr">
        <is>
          <t>VÄSTMANLANDS LÄN</t>
        </is>
      </c>
      <c r="E49" t="inlineStr">
        <is>
          <t>KÖPING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39162-2021</t>
        </is>
      </c>
      <c r="B50" s="1" t="n">
        <v>44412.78136574074</v>
      </c>
      <c r="C50" s="1" t="n">
        <v>45975</v>
      </c>
      <c r="D50" t="inlineStr">
        <is>
          <t>VÄSTMANLANDS LÄN</t>
        </is>
      </c>
      <c r="E50" t="inlineStr">
        <is>
          <t>KÖPING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12641-2021</t>
        </is>
      </c>
      <c r="B51" s="1" t="n">
        <v>44267</v>
      </c>
      <c r="C51" s="1" t="n">
        <v>45975</v>
      </c>
      <c r="D51" t="inlineStr">
        <is>
          <t>VÄSTMANLANDS LÄN</t>
        </is>
      </c>
      <c r="E51" t="inlineStr">
        <is>
          <t>KÖPING</t>
        </is>
      </c>
      <c r="G51" t="n">
        <v>10.7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57769-2021</t>
        </is>
      </c>
      <c r="B52" s="1" t="n">
        <v>44484.56916666667</v>
      </c>
      <c r="C52" s="1" t="n">
        <v>45975</v>
      </c>
      <c r="D52" t="inlineStr">
        <is>
          <t>VÄSTMANLANDS LÄN</t>
        </is>
      </c>
      <c r="E52" t="inlineStr">
        <is>
          <t>KÖPING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8845-2022</t>
        </is>
      </c>
      <c r="B53" s="1" t="n">
        <v>44614</v>
      </c>
      <c r="C53" s="1" t="n">
        <v>45975</v>
      </c>
      <c r="D53" t="inlineStr">
        <is>
          <t>VÄSTMANLANDS LÄN</t>
        </is>
      </c>
      <c r="E53" t="inlineStr">
        <is>
          <t>KÖPING</t>
        </is>
      </c>
      <c r="G53" t="n">
        <v>5.4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41052-2022</t>
        </is>
      </c>
      <c r="B54" s="1" t="n">
        <v>44825.57694444444</v>
      </c>
      <c r="C54" s="1" t="n">
        <v>45975</v>
      </c>
      <c r="D54" t="inlineStr">
        <is>
          <t>VÄSTMANLANDS LÄN</t>
        </is>
      </c>
      <c r="E54" t="inlineStr">
        <is>
          <t>KÖPING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42491-2022</t>
        </is>
      </c>
      <c r="B55" s="1" t="n">
        <v>44831.55696759259</v>
      </c>
      <c r="C55" s="1" t="n">
        <v>45975</v>
      </c>
      <c r="D55" t="inlineStr">
        <is>
          <t>VÄSTMANLANDS LÄN</t>
        </is>
      </c>
      <c r="E55" t="inlineStr">
        <is>
          <t>KÖPING</t>
        </is>
      </c>
      <c r="G55" t="n">
        <v>1.7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27402-2021</t>
        </is>
      </c>
      <c r="B56" s="1" t="n">
        <v>44351.48048611111</v>
      </c>
      <c r="C56" s="1" t="n">
        <v>45975</v>
      </c>
      <c r="D56" t="inlineStr">
        <is>
          <t>VÄSTMANLANDS LÄN</t>
        </is>
      </c>
      <c r="E56" t="inlineStr">
        <is>
          <t>KÖPING</t>
        </is>
      </c>
      <c r="G56" t="n">
        <v>0.8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6217-2021</t>
        </is>
      </c>
      <c r="B57" s="1" t="n">
        <v>44235</v>
      </c>
      <c r="C57" s="1" t="n">
        <v>45975</v>
      </c>
      <c r="D57" t="inlineStr">
        <is>
          <t>VÄSTMANLANDS LÄN</t>
        </is>
      </c>
      <c r="E57" t="inlineStr">
        <is>
          <t>KÖPING</t>
        </is>
      </c>
      <c r="G57" t="n">
        <v>2.2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69645-2021</t>
        </is>
      </c>
      <c r="B58" s="1" t="n">
        <v>44532.43004629629</v>
      </c>
      <c r="C58" s="1" t="n">
        <v>45975</v>
      </c>
      <c r="D58" t="inlineStr">
        <is>
          <t>VÄSTMANLANDS LÄN</t>
        </is>
      </c>
      <c r="E58" t="inlineStr">
        <is>
          <t>KÖPING</t>
        </is>
      </c>
      <c r="G58" t="n">
        <v>4.6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68513-2020</t>
        </is>
      </c>
      <c r="B59" s="1" t="n">
        <v>44186</v>
      </c>
      <c r="C59" s="1" t="n">
        <v>45975</v>
      </c>
      <c r="D59" t="inlineStr">
        <is>
          <t>VÄSTMANLANDS LÄN</t>
        </is>
      </c>
      <c r="E59" t="inlineStr">
        <is>
          <t>KÖPING</t>
        </is>
      </c>
      <c r="F59" t="inlineStr">
        <is>
          <t>Sveaskog</t>
        </is>
      </c>
      <c r="G59" t="n">
        <v>0.1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45910-2021</t>
        </is>
      </c>
      <c r="B60" s="1" t="n">
        <v>44441.60780092593</v>
      </c>
      <c r="C60" s="1" t="n">
        <v>45975</v>
      </c>
      <c r="D60" t="inlineStr">
        <is>
          <t>VÄSTMANLANDS LÄN</t>
        </is>
      </c>
      <c r="E60" t="inlineStr">
        <is>
          <t>KÖPING</t>
        </is>
      </c>
      <c r="G60" t="n">
        <v>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36866-2021</t>
        </is>
      </c>
      <c r="B61" s="1" t="n">
        <v>44393</v>
      </c>
      <c r="C61" s="1" t="n">
        <v>45975</v>
      </c>
      <c r="D61" t="inlineStr">
        <is>
          <t>VÄSTMANLANDS LÄN</t>
        </is>
      </c>
      <c r="E61" t="inlineStr">
        <is>
          <t>KÖPING</t>
        </is>
      </c>
      <c r="G61" t="n">
        <v>3.4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54301-2021</t>
        </is>
      </c>
      <c r="B62" s="1" t="n">
        <v>44472</v>
      </c>
      <c r="C62" s="1" t="n">
        <v>45975</v>
      </c>
      <c r="D62" t="inlineStr">
        <is>
          <t>VÄSTMANLANDS LÄN</t>
        </is>
      </c>
      <c r="E62" t="inlineStr">
        <is>
          <t>KÖPING</t>
        </is>
      </c>
      <c r="G62" t="n">
        <v>2.6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70909-2021</t>
        </is>
      </c>
      <c r="B63" s="1" t="n">
        <v>44538</v>
      </c>
      <c r="C63" s="1" t="n">
        <v>45975</v>
      </c>
      <c r="D63" t="inlineStr">
        <is>
          <t>VÄSTMANLANDS LÄN</t>
        </is>
      </c>
      <c r="E63" t="inlineStr">
        <is>
          <t>KÖPING</t>
        </is>
      </c>
      <c r="G63" t="n">
        <v>3.6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10431-2021</t>
        </is>
      </c>
      <c r="B64" s="1" t="n">
        <v>44257</v>
      </c>
      <c r="C64" s="1" t="n">
        <v>45975</v>
      </c>
      <c r="D64" t="inlineStr">
        <is>
          <t>VÄSTMANLANDS LÄN</t>
        </is>
      </c>
      <c r="E64" t="inlineStr">
        <is>
          <t>KÖPING</t>
        </is>
      </c>
      <c r="F64" t="inlineStr">
        <is>
          <t>Kyrkan</t>
        </is>
      </c>
      <c r="G64" t="n">
        <v>4.8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51203-2022</t>
        </is>
      </c>
      <c r="B65" s="1" t="n">
        <v>44868.61140046296</v>
      </c>
      <c r="C65" s="1" t="n">
        <v>45975</v>
      </c>
      <c r="D65" t="inlineStr">
        <is>
          <t>VÄSTMANLANDS LÄN</t>
        </is>
      </c>
      <c r="E65" t="inlineStr">
        <is>
          <t>KÖPING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73890-2021</t>
        </is>
      </c>
      <c r="B66" s="1" t="n">
        <v>44553.44221064815</v>
      </c>
      <c r="C66" s="1" t="n">
        <v>45975</v>
      </c>
      <c r="D66" t="inlineStr">
        <is>
          <t>VÄSTMANLANDS LÄN</t>
        </is>
      </c>
      <c r="E66" t="inlineStr">
        <is>
          <t>KÖPING</t>
        </is>
      </c>
      <c r="G66" t="n">
        <v>2.9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71717-2021</t>
        </is>
      </c>
      <c r="B67" s="1" t="n">
        <v>44539</v>
      </c>
      <c r="C67" s="1" t="n">
        <v>45975</v>
      </c>
      <c r="D67" t="inlineStr">
        <is>
          <t>VÄSTMANLANDS LÄN</t>
        </is>
      </c>
      <c r="E67" t="inlineStr">
        <is>
          <t>KÖPING</t>
        </is>
      </c>
      <c r="G67" t="n">
        <v>9.300000000000001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17810-2022</t>
        </is>
      </c>
      <c r="B68" s="1" t="n">
        <v>44683</v>
      </c>
      <c r="C68" s="1" t="n">
        <v>45975</v>
      </c>
      <c r="D68" t="inlineStr">
        <is>
          <t>VÄSTMANLANDS LÄN</t>
        </is>
      </c>
      <c r="E68" t="inlineStr">
        <is>
          <t>KÖPING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15160-2022</t>
        </is>
      </c>
      <c r="B69" s="1" t="n">
        <v>44658.49731481481</v>
      </c>
      <c r="C69" s="1" t="n">
        <v>45975</v>
      </c>
      <c r="D69" t="inlineStr">
        <is>
          <t>VÄSTMANLANDS LÄN</t>
        </is>
      </c>
      <c r="E69" t="inlineStr">
        <is>
          <t>KÖPING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15165-2022</t>
        </is>
      </c>
      <c r="B70" s="1" t="n">
        <v>44658.51559027778</v>
      </c>
      <c r="C70" s="1" t="n">
        <v>45975</v>
      </c>
      <c r="D70" t="inlineStr">
        <is>
          <t>VÄSTMANLANDS LÄN</t>
        </is>
      </c>
      <c r="E70" t="inlineStr">
        <is>
          <t>KÖPING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33156-2022</t>
        </is>
      </c>
      <c r="B71" s="1" t="n">
        <v>44785</v>
      </c>
      <c r="C71" s="1" t="n">
        <v>45975</v>
      </c>
      <c r="D71" t="inlineStr">
        <is>
          <t>VÄSTMANLANDS LÄN</t>
        </is>
      </c>
      <c r="E71" t="inlineStr">
        <is>
          <t>KÖPING</t>
        </is>
      </c>
      <c r="F71" t="inlineStr">
        <is>
          <t>Sveaskog</t>
        </is>
      </c>
      <c r="G71" t="n">
        <v>2.7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8687-2022</t>
        </is>
      </c>
      <c r="B72" s="1" t="n">
        <v>44613</v>
      </c>
      <c r="C72" s="1" t="n">
        <v>45975</v>
      </c>
      <c r="D72" t="inlineStr">
        <is>
          <t>VÄSTMANLANDS LÄN</t>
        </is>
      </c>
      <c r="E72" t="inlineStr">
        <is>
          <t>KÖPING</t>
        </is>
      </c>
      <c r="G72" t="n">
        <v>0.4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35144-2022</t>
        </is>
      </c>
      <c r="B73" s="1" t="n">
        <v>44797</v>
      </c>
      <c r="C73" s="1" t="n">
        <v>45975</v>
      </c>
      <c r="D73" t="inlineStr">
        <is>
          <t>VÄSTMANLANDS LÄN</t>
        </is>
      </c>
      <c r="E73" t="inlineStr">
        <is>
          <t>KÖPING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72460-2021</t>
        </is>
      </c>
      <c r="B74" s="1" t="n">
        <v>44545</v>
      </c>
      <c r="C74" s="1" t="n">
        <v>45975</v>
      </c>
      <c r="D74" t="inlineStr">
        <is>
          <t>VÄSTMANLANDS LÄN</t>
        </is>
      </c>
      <c r="E74" t="inlineStr">
        <is>
          <t>KÖPING</t>
        </is>
      </c>
      <c r="G74" t="n">
        <v>2.6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6913-2021</t>
        </is>
      </c>
      <c r="B75" s="1" t="n">
        <v>44237</v>
      </c>
      <c r="C75" s="1" t="n">
        <v>45975</v>
      </c>
      <c r="D75" t="inlineStr">
        <is>
          <t>VÄSTMANLANDS LÄN</t>
        </is>
      </c>
      <c r="E75" t="inlineStr">
        <is>
          <t>KÖPING</t>
        </is>
      </c>
      <c r="G75" t="n">
        <v>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23592-2021</t>
        </is>
      </c>
      <c r="B76" s="1" t="n">
        <v>44333</v>
      </c>
      <c r="C76" s="1" t="n">
        <v>45975</v>
      </c>
      <c r="D76" t="inlineStr">
        <is>
          <t>VÄSTMANLANDS LÄN</t>
        </is>
      </c>
      <c r="E76" t="inlineStr">
        <is>
          <t>KÖPING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23596-2021</t>
        </is>
      </c>
      <c r="B77" s="1" t="n">
        <v>44333</v>
      </c>
      <c r="C77" s="1" t="n">
        <v>45975</v>
      </c>
      <c r="D77" t="inlineStr">
        <is>
          <t>VÄSTMANLANDS LÄN</t>
        </is>
      </c>
      <c r="E77" t="inlineStr">
        <is>
          <t>KÖPING</t>
        </is>
      </c>
      <c r="G77" t="n">
        <v>2.2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25662-2024</t>
        </is>
      </c>
      <c r="B78" s="1" t="n">
        <v>45463.7021875</v>
      </c>
      <c r="C78" s="1" t="n">
        <v>45975</v>
      </c>
      <c r="D78" t="inlineStr">
        <is>
          <t>VÄSTMANLANDS LÄN</t>
        </is>
      </c>
      <c r="E78" t="inlineStr">
        <is>
          <t>KÖPING</t>
        </is>
      </c>
      <c r="G78" t="n">
        <v>1.8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34290-2023</t>
        </is>
      </c>
      <c r="B79" s="1" t="n">
        <v>45138</v>
      </c>
      <c r="C79" s="1" t="n">
        <v>45975</v>
      </c>
      <c r="D79" t="inlineStr">
        <is>
          <t>VÄSTMANLANDS LÄN</t>
        </is>
      </c>
      <c r="E79" t="inlineStr">
        <is>
          <t>KÖPING</t>
        </is>
      </c>
      <c r="F79" t="inlineStr">
        <is>
          <t>Sveaskog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31193-2022</t>
        </is>
      </c>
      <c r="B80" s="1" t="n">
        <v>44770.66182870371</v>
      </c>
      <c r="C80" s="1" t="n">
        <v>45975</v>
      </c>
      <c r="D80" t="inlineStr">
        <is>
          <t>VÄSTMANLANDS LÄN</t>
        </is>
      </c>
      <c r="E80" t="inlineStr">
        <is>
          <t>KÖPING</t>
        </is>
      </c>
      <c r="F80" t="inlineStr">
        <is>
          <t>Sveaskog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4687-2023</t>
        </is>
      </c>
      <c r="B81" s="1" t="n">
        <v>44957.46186342592</v>
      </c>
      <c r="C81" s="1" t="n">
        <v>45975</v>
      </c>
      <c r="D81" t="inlineStr">
        <is>
          <t>VÄSTMANLANDS LÄN</t>
        </is>
      </c>
      <c r="E81" t="inlineStr">
        <is>
          <t>KÖPING</t>
        </is>
      </c>
      <c r="G81" t="n">
        <v>4.6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44906-2022</t>
        </is>
      </c>
      <c r="B82" s="1" t="n">
        <v>44840</v>
      </c>
      <c r="C82" s="1" t="n">
        <v>45975</v>
      </c>
      <c r="D82" t="inlineStr">
        <is>
          <t>VÄSTMANLANDS LÄN</t>
        </is>
      </c>
      <c r="E82" t="inlineStr">
        <is>
          <t>KÖPING</t>
        </is>
      </c>
      <c r="G82" t="n">
        <v>3.6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53148-2021</t>
        </is>
      </c>
      <c r="B83" s="1" t="n">
        <v>44468</v>
      </c>
      <c r="C83" s="1" t="n">
        <v>45975</v>
      </c>
      <c r="D83" t="inlineStr">
        <is>
          <t>VÄSTMANLANDS LÄN</t>
        </is>
      </c>
      <c r="E83" t="inlineStr">
        <is>
          <t>KÖPING</t>
        </is>
      </c>
      <c r="F83" t="inlineStr">
        <is>
          <t>Sveaskog</t>
        </is>
      </c>
      <c r="G83" t="n">
        <v>3.8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60627-2021</t>
        </is>
      </c>
      <c r="B84" s="1" t="n">
        <v>44496</v>
      </c>
      <c r="C84" s="1" t="n">
        <v>45975</v>
      </c>
      <c r="D84" t="inlineStr">
        <is>
          <t>VÄSTMANLANDS LÄN</t>
        </is>
      </c>
      <c r="E84" t="inlineStr">
        <is>
          <t>KÖPING</t>
        </is>
      </c>
      <c r="G84" t="n">
        <v>1.4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16693-2022</t>
        </is>
      </c>
      <c r="B85" s="1" t="n">
        <v>44673</v>
      </c>
      <c r="C85" s="1" t="n">
        <v>45975</v>
      </c>
      <c r="D85" t="inlineStr">
        <is>
          <t>VÄSTMANLANDS LÄN</t>
        </is>
      </c>
      <c r="E85" t="inlineStr">
        <is>
          <t>KÖPING</t>
        </is>
      </c>
      <c r="G85" t="n">
        <v>4.8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23624-2022</t>
        </is>
      </c>
      <c r="B86" s="1" t="n">
        <v>44721</v>
      </c>
      <c r="C86" s="1" t="n">
        <v>45975</v>
      </c>
      <c r="D86" t="inlineStr">
        <is>
          <t>VÄSTMANLANDS LÄN</t>
        </is>
      </c>
      <c r="E86" t="inlineStr">
        <is>
          <t>KÖPING</t>
        </is>
      </c>
      <c r="G86" t="n">
        <v>14.1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63236-2023</t>
        </is>
      </c>
      <c r="B87" s="1" t="n">
        <v>45273.65958333333</v>
      </c>
      <c r="C87" s="1" t="n">
        <v>45975</v>
      </c>
      <c r="D87" t="inlineStr">
        <is>
          <t>VÄSTMANLANDS LÄN</t>
        </is>
      </c>
      <c r="E87" t="inlineStr">
        <is>
          <t>KÖPING</t>
        </is>
      </c>
      <c r="G87" t="n">
        <v>2.5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8681-2021</t>
        </is>
      </c>
      <c r="B88" s="1" t="n">
        <v>44246</v>
      </c>
      <c r="C88" s="1" t="n">
        <v>45975</v>
      </c>
      <c r="D88" t="inlineStr">
        <is>
          <t>VÄSTMANLANDS LÄN</t>
        </is>
      </c>
      <c r="E88" t="inlineStr">
        <is>
          <t>KÖPING</t>
        </is>
      </c>
      <c r="G88" t="n">
        <v>2.2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63561-2021</t>
        </is>
      </c>
      <c r="B89" s="1" t="n">
        <v>44508.71445601852</v>
      </c>
      <c r="C89" s="1" t="n">
        <v>45975</v>
      </c>
      <c r="D89" t="inlineStr">
        <is>
          <t>VÄSTMANLANDS LÄN</t>
        </is>
      </c>
      <c r="E89" t="inlineStr">
        <is>
          <t>KÖPING</t>
        </is>
      </c>
      <c r="G89" t="n">
        <v>3.3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17380-2023</t>
        </is>
      </c>
      <c r="B90" s="1" t="n">
        <v>45035.65481481481</v>
      </c>
      <c r="C90" s="1" t="n">
        <v>45975</v>
      </c>
      <c r="D90" t="inlineStr">
        <is>
          <t>VÄSTMANLANDS LÄN</t>
        </is>
      </c>
      <c r="E90" t="inlineStr">
        <is>
          <t>KÖPING</t>
        </is>
      </c>
      <c r="G90" t="n">
        <v>1.5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23656-2023</t>
        </is>
      </c>
      <c r="B91" s="1" t="n">
        <v>45077.56179398148</v>
      </c>
      <c r="C91" s="1" t="n">
        <v>45975</v>
      </c>
      <c r="D91" t="inlineStr">
        <is>
          <t>VÄSTMANLANDS LÄN</t>
        </is>
      </c>
      <c r="E91" t="inlineStr">
        <is>
          <t>KÖPING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23658-2023</t>
        </is>
      </c>
      <c r="B92" s="1" t="n">
        <v>45077.56442129629</v>
      </c>
      <c r="C92" s="1" t="n">
        <v>45975</v>
      </c>
      <c r="D92" t="inlineStr">
        <is>
          <t>VÄSTMANLANDS LÄN</t>
        </is>
      </c>
      <c r="E92" t="inlineStr">
        <is>
          <t>KÖPING</t>
        </is>
      </c>
      <c r="G92" t="n">
        <v>1.4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72463-2021</t>
        </is>
      </c>
      <c r="B93" s="1" t="n">
        <v>44545</v>
      </c>
      <c r="C93" s="1" t="n">
        <v>45975</v>
      </c>
      <c r="D93" t="inlineStr">
        <is>
          <t>VÄSTMANLANDS LÄN</t>
        </is>
      </c>
      <c r="E93" t="inlineStr">
        <is>
          <t>KÖPING</t>
        </is>
      </c>
      <c r="G93" t="n">
        <v>1.9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50045-2021</t>
        </is>
      </c>
      <c r="B94" s="1" t="n">
        <v>44456</v>
      </c>
      <c r="C94" s="1" t="n">
        <v>45975</v>
      </c>
      <c r="D94" t="inlineStr">
        <is>
          <t>VÄSTMANLANDS LÄN</t>
        </is>
      </c>
      <c r="E94" t="inlineStr">
        <is>
          <t>KÖPING</t>
        </is>
      </c>
      <c r="F94" t="inlineStr">
        <is>
          <t>Allmännings- och besparingsskogar</t>
        </is>
      </c>
      <c r="G94" t="n">
        <v>4.1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41815-2023</t>
        </is>
      </c>
      <c r="B95" s="1" t="n">
        <v>45176.55569444445</v>
      </c>
      <c r="C95" s="1" t="n">
        <v>45975</v>
      </c>
      <c r="D95" t="inlineStr">
        <is>
          <t>VÄSTMANLANDS LÄN</t>
        </is>
      </c>
      <c r="E95" t="inlineStr">
        <is>
          <t>KÖPING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13050-2025</t>
        </is>
      </c>
      <c r="B96" s="1" t="n">
        <v>45734.59349537037</v>
      </c>
      <c r="C96" s="1" t="n">
        <v>45975</v>
      </c>
      <c r="D96" t="inlineStr">
        <is>
          <t>VÄSTMANLANDS LÄN</t>
        </is>
      </c>
      <c r="E96" t="inlineStr">
        <is>
          <t>KÖPING</t>
        </is>
      </c>
      <c r="F96" t="inlineStr">
        <is>
          <t>Sveaskog</t>
        </is>
      </c>
      <c r="G96" t="n">
        <v>7.4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44408-2022</t>
        </is>
      </c>
      <c r="B97" s="1" t="n">
        <v>44839</v>
      </c>
      <c r="C97" s="1" t="n">
        <v>45975</v>
      </c>
      <c r="D97" t="inlineStr">
        <is>
          <t>VÄSTMANLANDS LÄN</t>
        </is>
      </c>
      <c r="E97" t="inlineStr">
        <is>
          <t>KÖPING</t>
        </is>
      </c>
      <c r="G97" t="n">
        <v>2.7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2868-2023</t>
        </is>
      </c>
      <c r="B98" s="1" t="n">
        <v>44945.43571759259</v>
      </c>
      <c r="C98" s="1" t="n">
        <v>45975</v>
      </c>
      <c r="D98" t="inlineStr">
        <is>
          <t>VÄSTMANLANDS LÄN</t>
        </is>
      </c>
      <c r="E98" t="inlineStr">
        <is>
          <t>KÖPING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37669-2023</t>
        </is>
      </c>
      <c r="B99" s="1" t="n">
        <v>45159.55391203704</v>
      </c>
      <c r="C99" s="1" t="n">
        <v>45975</v>
      </c>
      <c r="D99" t="inlineStr">
        <is>
          <t>VÄSTMANLANDS LÄN</t>
        </is>
      </c>
      <c r="E99" t="inlineStr">
        <is>
          <t>KÖPING</t>
        </is>
      </c>
      <c r="G99" t="n">
        <v>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9303-2024</t>
        </is>
      </c>
      <c r="B100" s="1" t="n">
        <v>45358.75983796296</v>
      </c>
      <c r="C100" s="1" t="n">
        <v>45975</v>
      </c>
      <c r="D100" t="inlineStr">
        <is>
          <t>VÄSTMANLANDS LÄN</t>
        </is>
      </c>
      <c r="E100" t="inlineStr">
        <is>
          <t>KÖPING</t>
        </is>
      </c>
      <c r="G100" t="n">
        <v>2.3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12503-2023</t>
        </is>
      </c>
      <c r="B101" s="1" t="n">
        <v>44999.88789351852</v>
      </c>
      <c r="C101" s="1" t="n">
        <v>45975</v>
      </c>
      <c r="D101" t="inlineStr">
        <is>
          <t>VÄSTMANLANDS LÄN</t>
        </is>
      </c>
      <c r="E101" t="inlineStr">
        <is>
          <t>KÖPING</t>
        </is>
      </c>
      <c r="G101" t="n">
        <v>6.2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53061-2023</t>
        </is>
      </c>
      <c r="B102" s="1" t="n">
        <v>45227.3034837963</v>
      </c>
      <c r="C102" s="1" t="n">
        <v>45975</v>
      </c>
      <c r="D102" t="inlineStr">
        <is>
          <t>VÄSTMANLANDS LÄN</t>
        </is>
      </c>
      <c r="E102" t="inlineStr">
        <is>
          <t>KÖPING</t>
        </is>
      </c>
      <c r="G102" t="n">
        <v>1.2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17816-2024</t>
        </is>
      </c>
      <c r="B103" s="1" t="n">
        <v>45418</v>
      </c>
      <c r="C103" s="1" t="n">
        <v>45975</v>
      </c>
      <c r="D103" t="inlineStr">
        <is>
          <t>VÄSTMANLANDS LÄN</t>
        </is>
      </c>
      <c r="E103" t="inlineStr">
        <is>
          <t>KÖPING</t>
        </is>
      </c>
      <c r="G103" t="n">
        <v>2.5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29960-2024</t>
        </is>
      </c>
      <c r="B104" s="1" t="n">
        <v>45488</v>
      </c>
      <c r="C104" s="1" t="n">
        <v>45975</v>
      </c>
      <c r="D104" t="inlineStr">
        <is>
          <t>VÄSTMANLANDS LÄN</t>
        </is>
      </c>
      <c r="E104" t="inlineStr">
        <is>
          <t>KÖPING</t>
        </is>
      </c>
      <c r="G104" t="n">
        <v>11.5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19358-2024</t>
        </is>
      </c>
      <c r="B105" s="1" t="n">
        <v>45429</v>
      </c>
      <c r="C105" s="1" t="n">
        <v>45975</v>
      </c>
      <c r="D105" t="inlineStr">
        <is>
          <t>VÄSTMANLANDS LÄN</t>
        </is>
      </c>
      <c r="E105" t="inlineStr">
        <is>
          <t>KÖPING</t>
        </is>
      </c>
      <c r="G105" t="n">
        <v>8.5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68954-2021</t>
        </is>
      </c>
      <c r="B106" s="1" t="n">
        <v>44530</v>
      </c>
      <c r="C106" s="1" t="n">
        <v>45975</v>
      </c>
      <c r="D106" t="inlineStr">
        <is>
          <t>VÄSTMANLANDS LÄN</t>
        </is>
      </c>
      <c r="E106" t="inlineStr">
        <is>
          <t>KÖPING</t>
        </is>
      </c>
      <c r="G106" t="n">
        <v>6.8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64044-2023</t>
        </is>
      </c>
      <c r="B107" s="1" t="n">
        <v>45278</v>
      </c>
      <c r="C107" s="1" t="n">
        <v>45975</v>
      </c>
      <c r="D107" t="inlineStr">
        <is>
          <t>VÄSTMANLANDS LÄN</t>
        </is>
      </c>
      <c r="E107" t="inlineStr">
        <is>
          <t>KÖPING</t>
        </is>
      </c>
      <c r="G107" t="n">
        <v>1.4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3945-2024</t>
        </is>
      </c>
      <c r="B108" s="1" t="n">
        <v>45322.65049768519</v>
      </c>
      <c r="C108" s="1" t="n">
        <v>45975</v>
      </c>
      <c r="D108" t="inlineStr">
        <is>
          <t>VÄSTMANLANDS LÄN</t>
        </is>
      </c>
      <c r="E108" t="inlineStr">
        <is>
          <t>KÖPING</t>
        </is>
      </c>
      <c r="G108" t="n">
        <v>1.6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23825-2023</t>
        </is>
      </c>
      <c r="B109" s="1" t="n">
        <v>45078.40652777778</v>
      </c>
      <c r="C109" s="1" t="n">
        <v>45975</v>
      </c>
      <c r="D109" t="inlineStr">
        <is>
          <t>VÄSTMANLANDS LÄN</t>
        </is>
      </c>
      <c r="E109" t="inlineStr">
        <is>
          <t>KÖPING</t>
        </is>
      </c>
      <c r="G109" t="n">
        <v>1.6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13041-2025</t>
        </is>
      </c>
      <c r="B110" s="1" t="n">
        <v>45734</v>
      </c>
      <c r="C110" s="1" t="n">
        <v>45975</v>
      </c>
      <c r="D110" t="inlineStr">
        <is>
          <t>VÄSTMANLANDS LÄN</t>
        </is>
      </c>
      <c r="E110" t="inlineStr">
        <is>
          <t>KÖPING</t>
        </is>
      </c>
      <c r="F110" t="inlineStr">
        <is>
          <t>Sveaskog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6949-2023</t>
        </is>
      </c>
      <c r="B111" s="1" t="n">
        <v>44967.58563657408</v>
      </c>
      <c r="C111" s="1" t="n">
        <v>45975</v>
      </c>
      <c r="D111" t="inlineStr">
        <is>
          <t>VÄSTMANLANDS LÄN</t>
        </is>
      </c>
      <c r="E111" t="inlineStr">
        <is>
          <t>KÖPING</t>
        </is>
      </c>
      <c r="F111" t="inlineStr">
        <is>
          <t>Sveaskog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35684-2024</t>
        </is>
      </c>
      <c r="B112" s="1" t="n">
        <v>45532</v>
      </c>
      <c r="C112" s="1" t="n">
        <v>45975</v>
      </c>
      <c r="D112" t="inlineStr">
        <is>
          <t>VÄSTMANLANDS LÄN</t>
        </is>
      </c>
      <c r="E112" t="inlineStr">
        <is>
          <t>KÖPING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28937-2024</t>
        </is>
      </c>
      <c r="B113" s="1" t="n">
        <v>45480</v>
      </c>
      <c r="C113" s="1" t="n">
        <v>45975</v>
      </c>
      <c r="D113" t="inlineStr">
        <is>
          <t>VÄSTMANLANDS LÄN</t>
        </is>
      </c>
      <c r="E113" t="inlineStr">
        <is>
          <t>KÖPING</t>
        </is>
      </c>
      <c r="G113" t="n">
        <v>3.1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39646-2023</t>
        </is>
      </c>
      <c r="B114" s="1" t="n">
        <v>45166</v>
      </c>
      <c r="C114" s="1" t="n">
        <v>45975</v>
      </c>
      <c r="D114" t="inlineStr">
        <is>
          <t>VÄSTMANLANDS LÄN</t>
        </is>
      </c>
      <c r="E114" t="inlineStr">
        <is>
          <t>KÖPING</t>
        </is>
      </c>
      <c r="G114" t="n">
        <v>9.300000000000001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15551-2024</t>
        </is>
      </c>
      <c r="B115" s="1" t="n">
        <v>45401.63582175926</v>
      </c>
      <c r="C115" s="1" t="n">
        <v>45975</v>
      </c>
      <c r="D115" t="inlineStr">
        <is>
          <t>VÄSTMANLANDS LÄN</t>
        </is>
      </c>
      <c r="E115" t="inlineStr">
        <is>
          <t>KÖPING</t>
        </is>
      </c>
      <c r="F115" t="inlineStr">
        <is>
          <t>Sveaskog</t>
        </is>
      </c>
      <c r="G115" t="n">
        <v>3.1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33932-2024</t>
        </is>
      </c>
      <c r="B116" s="1" t="n">
        <v>45523.43164351852</v>
      </c>
      <c r="C116" s="1" t="n">
        <v>45975</v>
      </c>
      <c r="D116" t="inlineStr">
        <is>
          <t>VÄSTMANLANDS LÄN</t>
        </is>
      </c>
      <c r="E116" t="inlineStr">
        <is>
          <t>KÖPING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13160-2024</t>
        </is>
      </c>
      <c r="B117" s="1" t="n">
        <v>45386</v>
      </c>
      <c r="C117" s="1" t="n">
        <v>45975</v>
      </c>
      <c r="D117" t="inlineStr">
        <is>
          <t>VÄSTMANLANDS LÄN</t>
        </is>
      </c>
      <c r="E117" t="inlineStr">
        <is>
          <t>KÖPING</t>
        </is>
      </c>
      <c r="G117" t="n">
        <v>1.5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29456-2023</t>
        </is>
      </c>
      <c r="B118" s="1" t="n">
        <v>45106</v>
      </c>
      <c r="C118" s="1" t="n">
        <v>45975</v>
      </c>
      <c r="D118" t="inlineStr">
        <is>
          <t>VÄSTMANLANDS LÄN</t>
        </is>
      </c>
      <c r="E118" t="inlineStr">
        <is>
          <t>KÖPING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37776-2022</t>
        </is>
      </c>
      <c r="B119" s="1" t="n">
        <v>44810.64696759259</v>
      </c>
      <c r="C119" s="1" t="n">
        <v>45975</v>
      </c>
      <c r="D119" t="inlineStr">
        <is>
          <t>VÄSTMANLANDS LÄN</t>
        </is>
      </c>
      <c r="E119" t="inlineStr">
        <is>
          <t>KÖPING</t>
        </is>
      </c>
      <c r="F119" t="inlineStr">
        <is>
          <t>Sveaskog</t>
        </is>
      </c>
      <c r="G119" t="n">
        <v>2.3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54871-2024</t>
        </is>
      </c>
      <c r="B120" s="1" t="n">
        <v>45618.59935185185</v>
      </c>
      <c r="C120" s="1" t="n">
        <v>45975</v>
      </c>
      <c r="D120" t="inlineStr">
        <is>
          <t>VÄSTMANLANDS LÄN</t>
        </is>
      </c>
      <c r="E120" t="inlineStr">
        <is>
          <t>KÖPING</t>
        </is>
      </c>
      <c r="F120" t="inlineStr">
        <is>
          <t>Sveaskog</t>
        </is>
      </c>
      <c r="G120" t="n">
        <v>3.1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44370-2022</t>
        </is>
      </c>
      <c r="B121" s="1" t="n">
        <v>44839</v>
      </c>
      <c r="C121" s="1" t="n">
        <v>45975</v>
      </c>
      <c r="D121" t="inlineStr">
        <is>
          <t>VÄSTMANLANDS LÄN</t>
        </is>
      </c>
      <c r="E121" t="inlineStr">
        <is>
          <t>KÖPING</t>
        </is>
      </c>
      <c r="G121" t="n">
        <v>9.199999999999999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29317-2022</t>
        </is>
      </c>
      <c r="B122" s="1" t="n">
        <v>44751.34050925926</v>
      </c>
      <c r="C122" s="1" t="n">
        <v>45975</v>
      </c>
      <c r="D122" t="inlineStr">
        <is>
          <t>VÄSTMANLANDS LÄN</t>
        </is>
      </c>
      <c r="E122" t="inlineStr">
        <is>
          <t>KÖPING</t>
        </is>
      </c>
      <c r="G122" t="n">
        <v>2.1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4981-2024</t>
        </is>
      </c>
      <c r="B123" s="1" t="n">
        <v>45329</v>
      </c>
      <c r="C123" s="1" t="n">
        <v>45975</v>
      </c>
      <c r="D123" t="inlineStr">
        <is>
          <t>VÄSTMANLANDS LÄN</t>
        </is>
      </c>
      <c r="E123" t="inlineStr">
        <is>
          <t>KÖPING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28374-2024</t>
        </is>
      </c>
      <c r="B124" s="1" t="n">
        <v>45477.58703703704</v>
      </c>
      <c r="C124" s="1" t="n">
        <v>45975</v>
      </c>
      <c r="D124" t="inlineStr">
        <is>
          <t>VÄSTMANLANDS LÄN</t>
        </is>
      </c>
      <c r="E124" t="inlineStr">
        <is>
          <t>KÖPING</t>
        </is>
      </c>
      <c r="F124" t="inlineStr">
        <is>
          <t>Sveaskog</t>
        </is>
      </c>
      <c r="G124" t="n">
        <v>2.6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19585-2025</t>
        </is>
      </c>
      <c r="B125" s="1" t="n">
        <v>45770.56731481481</v>
      </c>
      <c r="C125" s="1" t="n">
        <v>45975</v>
      </c>
      <c r="D125" t="inlineStr">
        <is>
          <t>VÄSTMANLANDS LÄN</t>
        </is>
      </c>
      <c r="E125" t="inlineStr">
        <is>
          <t>KÖPING</t>
        </is>
      </c>
      <c r="G125" t="n">
        <v>4.6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28230-2023</t>
        </is>
      </c>
      <c r="B126" s="1" t="n">
        <v>45099</v>
      </c>
      <c r="C126" s="1" t="n">
        <v>45975</v>
      </c>
      <c r="D126" t="inlineStr">
        <is>
          <t>VÄSTMANLANDS LÄN</t>
        </is>
      </c>
      <c r="E126" t="inlineStr">
        <is>
          <t>KÖPING</t>
        </is>
      </c>
      <c r="G126" t="n">
        <v>6.7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51190-2024</t>
        </is>
      </c>
      <c r="B127" s="1" t="n">
        <v>45603.61458333334</v>
      </c>
      <c r="C127" s="1" t="n">
        <v>45975</v>
      </c>
      <c r="D127" t="inlineStr">
        <is>
          <t>VÄSTMANLANDS LÄN</t>
        </is>
      </c>
      <c r="E127" t="inlineStr">
        <is>
          <t>KÖPING</t>
        </is>
      </c>
      <c r="G127" t="n">
        <v>0.4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39358-2024</t>
        </is>
      </c>
      <c r="B128" s="1" t="n">
        <v>45551</v>
      </c>
      <c r="C128" s="1" t="n">
        <v>45975</v>
      </c>
      <c r="D128" t="inlineStr">
        <is>
          <t>VÄSTMANLANDS LÄN</t>
        </is>
      </c>
      <c r="E128" t="inlineStr">
        <is>
          <t>KÖPING</t>
        </is>
      </c>
      <c r="G128" t="n">
        <v>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51119-2023</t>
        </is>
      </c>
      <c r="B129" s="1" t="n">
        <v>45219.30594907407</v>
      </c>
      <c r="C129" s="1" t="n">
        <v>45975</v>
      </c>
      <c r="D129" t="inlineStr">
        <is>
          <t>VÄSTMANLANDS LÄN</t>
        </is>
      </c>
      <c r="E129" t="inlineStr">
        <is>
          <t>KÖPING</t>
        </is>
      </c>
      <c r="G129" t="n">
        <v>2.1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16430-2022</t>
        </is>
      </c>
      <c r="B130" s="1" t="n">
        <v>44671</v>
      </c>
      <c r="C130" s="1" t="n">
        <v>45975</v>
      </c>
      <c r="D130" t="inlineStr">
        <is>
          <t>VÄSTMANLANDS LÄN</t>
        </is>
      </c>
      <c r="E130" t="inlineStr">
        <is>
          <t>KÖPING</t>
        </is>
      </c>
      <c r="G130" t="n">
        <v>3.3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20798-2022</t>
        </is>
      </c>
      <c r="B131" s="1" t="n">
        <v>44701.40878472223</v>
      </c>
      <c r="C131" s="1" t="n">
        <v>45975</v>
      </c>
      <c r="D131" t="inlineStr">
        <is>
          <t>VÄSTMANLANDS LÄN</t>
        </is>
      </c>
      <c r="E131" t="inlineStr">
        <is>
          <t>KÖPING</t>
        </is>
      </c>
      <c r="F131" t="inlineStr">
        <is>
          <t>Sveaskog</t>
        </is>
      </c>
      <c r="G131" t="n">
        <v>1.8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44749-2021</t>
        </is>
      </c>
      <c r="B132" s="1" t="n">
        <v>44438.43557870371</v>
      </c>
      <c r="C132" s="1" t="n">
        <v>45975</v>
      </c>
      <c r="D132" t="inlineStr">
        <is>
          <t>VÄSTMANLANDS LÄN</t>
        </is>
      </c>
      <c r="E132" t="inlineStr">
        <is>
          <t>KÖPING</t>
        </is>
      </c>
      <c r="G132" t="n">
        <v>2.1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2064-2025</t>
        </is>
      </c>
      <c r="B133" s="1" t="n">
        <v>45672.56321759259</v>
      </c>
      <c r="C133" s="1" t="n">
        <v>45975</v>
      </c>
      <c r="D133" t="inlineStr">
        <is>
          <t>VÄSTMANLANDS LÄN</t>
        </is>
      </c>
      <c r="E133" t="inlineStr">
        <is>
          <t>KÖPING</t>
        </is>
      </c>
      <c r="G133" t="n">
        <v>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11220-2023</t>
        </is>
      </c>
      <c r="B134" s="1" t="n">
        <v>44988</v>
      </c>
      <c r="C134" s="1" t="n">
        <v>45975</v>
      </c>
      <c r="D134" t="inlineStr">
        <is>
          <t>VÄSTMANLANDS LÄN</t>
        </is>
      </c>
      <c r="E134" t="inlineStr">
        <is>
          <t>KÖPING</t>
        </is>
      </c>
      <c r="G134" t="n">
        <v>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29749-2022</t>
        </is>
      </c>
      <c r="B135" s="1" t="n">
        <v>44755</v>
      </c>
      <c r="C135" s="1" t="n">
        <v>45975</v>
      </c>
      <c r="D135" t="inlineStr">
        <is>
          <t>VÄSTMANLANDS LÄN</t>
        </is>
      </c>
      <c r="E135" t="inlineStr">
        <is>
          <t>KÖPING</t>
        </is>
      </c>
      <c r="G135" t="n">
        <v>1.4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43303-2022</t>
        </is>
      </c>
      <c r="B136" s="1" t="n">
        <v>44834.54392361111</v>
      </c>
      <c r="C136" s="1" t="n">
        <v>45975</v>
      </c>
      <c r="D136" t="inlineStr">
        <is>
          <t>VÄSTMANLANDS LÄN</t>
        </is>
      </c>
      <c r="E136" t="inlineStr">
        <is>
          <t>KÖPING</t>
        </is>
      </c>
      <c r="G136" t="n">
        <v>2.6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30147-2022</t>
        </is>
      </c>
      <c r="B137" s="1" t="n">
        <v>44757.49366898148</v>
      </c>
      <c r="C137" s="1" t="n">
        <v>45975</v>
      </c>
      <c r="D137" t="inlineStr">
        <is>
          <t>VÄSTMANLANDS LÄN</t>
        </is>
      </c>
      <c r="E137" t="inlineStr">
        <is>
          <t>KÖPING</t>
        </is>
      </c>
      <c r="G137" t="n">
        <v>1.3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65582-2021</t>
        </is>
      </c>
      <c r="B138" s="1" t="n">
        <v>44516</v>
      </c>
      <c r="C138" s="1" t="n">
        <v>45975</v>
      </c>
      <c r="D138" t="inlineStr">
        <is>
          <t>VÄSTMANLANDS LÄN</t>
        </is>
      </c>
      <c r="E138" t="inlineStr">
        <is>
          <t>KÖPING</t>
        </is>
      </c>
      <c r="G138" t="n">
        <v>7.7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38055-2023</t>
        </is>
      </c>
      <c r="B139" s="1" t="n">
        <v>45160.69415509259</v>
      </c>
      <c r="C139" s="1" t="n">
        <v>45975</v>
      </c>
      <c r="D139" t="inlineStr">
        <is>
          <t>VÄSTMANLANDS LÄN</t>
        </is>
      </c>
      <c r="E139" t="inlineStr">
        <is>
          <t>KÖPING</t>
        </is>
      </c>
      <c r="G139" t="n">
        <v>2.8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65023-2021</t>
        </is>
      </c>
      <c r="B140" s="1" t="n">
        <v>44512</v>
      </c>
      <c r="C140" s="1" t="n">
        <v>45975</v>
      </c>
      <c r="D140" t="inlineStr">
        <is>
          <t>VÄSTMANLANDS LÄN</t>
        </is>
      </c>
      <c r="E140" t="inlineStr">
        <is>
          <t>KÖPING</t>
        </is>
      </c>
      <c r="G140" t="n">
        <v>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37751-2022</t>
        </is>
      </c>
      <c r="B141" s="1" t="n">
        <v>44810.59604166666</v>
      </c>
      <c r="C141" s="1" t="n">
        <v>45975</v>
      </c>
      <c r="D141" t="inlineStr">
        <is>
          <t>VÄSTMANLANDS LÄN</t>
        </is>
      </c>
      <c r="E141" t="inlineStr">
        <is>
          <t>KÖPING</t>
        </is>
      </c>
      <c r="G141" t="n">
        <v>2.2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20395-2025</t>
        </is>
      </c>
      <c r="B142" s="1" t="n">
        <v>45775</v>
      </c>
      <c r="C142" s="1" t="n">
        <v>45975</v>
      </c>
      <c r="D142" t="inlineStr">
        <is>
          <t>VÄSTMANLANDS LÄN</t>
        </is>
      </c>
      <c r="E142" t="inlineStr">
        <is>
          <t>KÖPING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16907-2024</t>
        </is>
      </c>
      <c r="B143" s="1" t="n">
        <v>45411.63599537037</v>
      </c>
      <c r="C143" s="1" t="n">
        <v>45975</v>
      </c>
      <c r="D143" t="inlineStr">
        <is>
          <t>VÄSTMANLANDS LÄN</t>
        </is>
      </c>
      <c r="E143" t="inlineStr">
        <is>
          <t>KÖPING</t>
        </is>
      </c>
      <c r="F143" t="inlineStr">
        <is>
          <t>Sveaskog</t>
        </is>
      </c>
      <c r="G143" t="n">
        <v>2.2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10948-2024</t>
        </is>
      </c>
      <c r="B144" s="1" t="n">
        <v>45370.47395833334</v>
      </c>
      <c r="C144" s="1" t="n">
        <v>45975</v>
      </c>
      <c r="D144" t="inlineStr">
        <is>
          <t>VÄSTMANLANDS LÄN</t>
        </is>
      </c>
      <c r="E144" t="inlineStr">
        <is>
          <t>KÖPING</t>
        </is>
      </c>
      <c r="G144" t="n">
        <v>3.4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10979-2024</t>
        </is>
      </c>
      <c r="B145" s="1" t="n">
        <v>45370.53177083333</v>
      </c>
      <c r="C145" s="1" t="n">
        <v>45975</v>
      </c>
      <c r="D145" t="inlineStr">
        <is>
          <t>VÄSTMANLANDS LÄN</t>
        </is>
      </c>
      <c r="E145" t="inlineStr">
        <is>
          <t>KÖPING</t>
        </is>
      </c>
      <c r="G145" t="n">
        <v>5.8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40990-2024</t>
        </is>
      </c>
      <c r="B146" s="1" t="n">
        <v>45558</v>
      </c>
      <c r="C146" s="1" t="n">
        <v>45975</v>
      </c>
      <c r="D146" t="inlineStr">
        <is>
          <t>VÄSTMANLANDS LÄN</t>
        </is>
      </c>
      <c r="E146" t="inlineStr">
        <is>
          <t>KÖPING</t>
        </is>
      </c>
      <c r="G146" t="n">
        <v>3.7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18799-2025</t>
        </is>
      </c>
      <c r="B147" s="1" t="n">
        <v>45764</v>
      </c>
      <c r="C147" s="1" t="n">
        <v>45975</v>
      </c>
      <c r="D147" t="inlineStr">
        <is>
          <t>VÄSTMANLANDS LÄN</t>
        </is>
      </c>
      <c r="E147" t="inlineStr">
        <is>
          <t>KÖPING</t>
        </is>
      </c>
      <c r="F147" t="inlineStr">
        <is>
          <t>Sveaskog</t>
        </is>
      </c>
      <c r="G147" t="n">
        <v>7.2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45308-2023</t>
        </is>
      </c>
      <c r="B148" s="1" t="n">
        <v>45191.69444444445</v>
      </c>
      <c r="C148" s="1" t="n">
        <v>45975</v>
      </c>
      <c r="D148" t="inlineStr">
        <is>
          <t>VÄSTMANLANDS LÄN</t>
        </is>
      </c>
      <c r="E148" t="inlineStr">
        <is>
          <t>KÖPING</t>
        </is>
      </c>
      <c r="G148" t="n">
        <v>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40823-2024</t>
        </is>
      </c>
      <c r="B149" s="1" t="n">
        <v>45558.55979166667</v>
      </c>
      <c r="C149" s="1" t="n">
        <v>45975</v>
      </c>
      <c r="D149" t="inlineStr">
        <is>
          <t>VÄSTMANLANDS LÄN</t>
        </is>
      </c>
      <c r="E149" t="inlineStr">
        <is>
          <t>KÖPING</t>
        </is>
      </c>
      <c r="G149" t="n">
        <v>3.5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11034-2022</t>
        </is>
      </c>
      <c r="B150" s="1" t="n">
        <v>44628.58557870371</v>
      </c>
      <c r="C150" s="1" t="n">
        <v>45975</v>
      </c>
      <c r="D150" t="inlineStr">
        <is>
          <t>VÄSTMANLANDS LÄN</t>
        </is>
      </c>
      <c r="E150" t="inlineStr">
        <is>
          <t>KÖPING</t>
        </is>
      </c>
      <c r="G150" t="n">
        <v>1.7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40690-2023</t>
        </is>
      </c>
      <c r="B151" s="1" t="n">
        <v>45170.60081018518</v>
      </c>
      <c r="C151" s="1" t="n">
        <v>45975</v>
      </c>
      <c r="D151" t="inlineStr">
        <is>
          <t>VÄSTMANLANDS LÄN</t>
        </is>
      </c>
      <c r="E151" t="inlineStr">
        <is>
          <t>KÖPING</t>
        </is>
      </c>
      <c r="F151" t="inlineStr">
        <is>
          <t>Sveaskog</t>
        </is>
      </c>
      <c r="G151" t="n">
        <v>1.6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60894-2022</t>
        </is>
      </c>
      <c r="B152" s="1" t="n">
        <v>44914</v>
      </c>
      <c r="C152" s="1" t="n">
        <v>45975</v>
      </c>
      <c r="D152" t="inlineStr">
        <is>
          <t>VÄSTMANLANDS LÄN</t>
        </is>
      </c>
      <c r="E152" t="inlineStr">
        <is>
          <t>KÖPING</t>
        </is>
      </c>
      <c r="G152" t="n">
        <v>8.199999999999999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54870-2024</t>
        </is>
      </c>
      <c r="B153" s="1" t="n">
        <v>45618.59853009259</v>
      </c>
      <c r="C153" s="1" t="n">
        <v>45975</v>
      </c>
      <c r="D153" t="inlineStr">
        <is>
          <t>VÄSTMANLANDS LÄN</t>
        </is>
      </c>
      <c r="E153" t="inlineStr">
        <is>
          <t>KÖPING</t>
        </is>
      </c>
      <c r="F153" t="inlineStr">
        <is>
          <t>Sveaskog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13847-2025</t>
        </is>
      </c>
      <c r="B154" s="1" t="n">
        <v>45737.56431712963</v>
      </c>
      <c r="C154" s="1" t="n">
        <v>45975</v>
      </c>
      <c r="D154" t="inlineStr">
        <is>
          <t>VÄSTMANLANDS LÄN</t>
        </is>
      </c>
      <c r="E154" t="inlineStr">
        <is>
          <t>KÖPING</t>
        </is>
      </c>
      <c r="F154" t="inlineStr">
        <is>
          <t>Sveaskog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51132-2023</t>
        </is>
      </c>
      <c r="B155" s="1" t="n">
        <v>45219.32967592592</v>
      </c>
      <c r="C155" s="1" t="n">
        <v>45975</v>
      </c>
      <c r="D155" t="inlineStr">
        <is>
          <t>VÄSTMANLANDS LÄN</t>
        </is>
      </c>
      <c r="E155" t="inlineStr">
        <is>
          <t>KÖPING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51409-2023</t>
        </is>
      </c>
      <c r="B156" s="1" t="n">
        <v>45219.69724537037</v>
      </c>
      <c r="C156" s="1" t="n">
        <v>45975</v>
      </c>
      <c r="D156" t="inlineStr">
        <is>
          <t>VÄSTMANLANDS LÄN</t>
        </is>
      </c>
      <c r="E156" t="inlineStr">
        <is>
          <t>KÖPING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10096-2025</t>
        </is>
      </c>
      <c r="B157" s="1" t="n">
        <v>45719.57665509259</v>
      </c>
      <c r="C157" s="1" t="n">
        <v>45975</v>
      </c>
      <c r="D157" t="inlineStr">
        <is>
          <t>VÄSTMANLANDS LÄN</t>
        </is>
      </c>
      <c r="E157" t="inlineStr">
        <is>
          <t>KÖPING</t>
        </is>
      </c>
      <c r="F157" t="inlineStr">
        <is>
          <t>Sveaskog</t>
        </is>
      </c>
      <c r="G157" t="n">
        <v>6.5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14062-2024</t>
        </is>
      </c>
      <c r="B158" s="1" t="n">
        <v>45392.56596064815</v>
      </c>
      <c r="C158" s="1" t="n">
        <v>45975</v>
      </c>
      <c r="D158" t="inlineStr">
        <is>
          <t>VÄSTMANLANDS LÄN</t>
        </is>
      </c>
      <c r="E158" t="inlineStr">
        <is>
          <t>KÖPING</t>
        </is>
      </c>
      <c r="G158" t="n">
        <v>2.5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49289-2024</t>
        </is>
      </c>
      <c r="B159" s="1" t="n">
        <v>45595.51947916667</v>
      </c>
      <c r="C159" s="1" t="n">
        <v>45975</v>
      </c>
      <c r="D159" t="inlineStr">
        <is>
          <t>VÄSTMANLANDS LÄN</t>
        </is>
      </c>
      <c r="E159" t="inlineStr">
        <is>
          <t>KÖPING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1181-2025</t>
        </is>
      </c>
      <c r="B160" s="1" t="n">
        <v>45667</v>
      </c>
      <c r="C160" s="1" t="n">
        <v>45975</v>
      </c>
      <c r="D160" t="inlineStr">
        <is>
          <t>VÄSTMANLANDS LÄN</t>
        </is>
      </c>
      <c r="E160" t="inlineStr">
        <is>
          <t>KÖPING</t>
        </is>
      </c>
      <c r="G160" t="n">
        <v>1.6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42621-2021</t>
        </is>
      </c>
      <c r="B161" s="1" t="n">
        <v>44428.42920138889</v>
      </c>
      <c r="C161" s="1" t="n">
        <v>45975</v>
      </c>
      <c r="D161" t="inlineStr">
        <is>
          <t>VÄSTMANLANDS LÄN</t>
        </is>
      </c>
      <c r="E161" t="inlineStr">
        <is>
          <t>KÖPING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10512-2022</t>
        </is>
      </c>
      <c r="B162" s="1" t="n">
        <v>44623.68829861111</v>
      </c>
      <c r="C162" s="1" t="n">
        <v>45975</v>
      </c>
      <c r="D162" t="inlineStr">
        <is>
          <t>VÄSTMANLANDS LÄN</t>
        </is>
      </c>
      <c r="E162" t="inlineStr">
        <is>
          <t>KÖPING</t>
        </is>
      </c>
      <c r="G162" t="n">
        <v>2.1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46124-2022</t>
        </is>
      </c>
      <c r="B163" s="1" t="n">
        <v>44847</v>
      </c>
      <c r="C163" s="1" t="n">
        <v>45975</v>
      </c>
      <c r="D163" t="inlineStr">
        <is>
          <t>VÄSTMANLANDS LÄN</t>
        </is>
      </c>
      <c r="E163" t="inlineStr">
        <is>
          <t>KÖPING</t>
        </is>
      </c>
      <c r="G163" t="n">
        <v>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41472-2024</t>
        </is>
      </c>
      <c r="B164" s="1" t="n">
        <v>45560.43570601852</v>
      </c>
      <c r="C164" s="1" t="n">
        <v>45975</v>
      </c>
      <c r="D164" t="inlineStr">
        <is>
          <t>VÄSTMANLANDS LÄN</t>
        </is>
      </c>
      <c r="E164" t="inlineStr">
        <is>
          <t>KÖPING</t>
        </is>
      </c>
      <c r="G164" t="n">
        <v>3.2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57514-2022</t>
        </is>
      </c>
      <c r="B165" s="1" t="n">
        <v>44896</v>
      </c>
      <c r="C165" s="1" t="n">
        <v>45975</v>
      </c>
      <c r="D165" t="inlineStr">
        <is>
          <t>VÄSTMANLANDS LÄN</t>
        </is>
      </c>
      <c r="E165" t="inlineStr">
        <is>
          <t>KÖPING</t>
        </is>
      </c>
      <c r="G165" t="n">
        <v>4.3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45664-2024</t>
        </is>
      </c>
      <c r="B166" s="1" t="n">
        <v>45579</v>
      </c>
      <c r="C166" s="1" t="n">
        <v>45975</v>
      </c>
      <c r="D166" t="inlineStr">
        <is>
          <t>VÄSTMANLANDS LÄN</t>
        </is>
      </c>
      <c r="E166" t="inlineStr">
        <is>
          <t>KÖPING</t>
        </is>
      </c>
      <c r="G166" t="n">
        <v>0.3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45684-2024</t>
        </is>
      </c>
      <c r="B167" s="1" t="n">
        <v>45579</v>
      </c>
      <c r="C167" s="1" t="n">
        <v>45975</v>
      </c>
      <c r="D167" t="inlineStr">
        <is>
          <t>VÄSTMANLANDS LÄN</t>
        </is>
      </c>
      <c r="E167" t="inlineStr">
        <is>
          <t>KÖPING</t>
        </is>
      </c>
      <c r="G167" t="n">
        <v>1.8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4508-2021</t>
        </is>
      </c>
      <c r="B168" s="1" t="n">
        <v>44224</v>
      </c>
      <c r="C168" s="1" t="n">
        <v>45975</v>
      </c>
      <c r="D168" t="inlineStr">
        <is>
          <t>VÄSTMANLANDS LÄN</t>
        </is>
      </c>
      <c r="E168" t="inlineStr">
        <is>
          <t>KÖPING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37730-2022</t>
        </is>
      </c>
      <c r="B169" s="1" t="n">
        <v>44810.56791666667</v>
      </c>
      <c r="C169" s="1" t="n">
        <v>45975</v>
      </c>
      <c r="D169" t="inlineStr">
        <is>
          <t>VÄSTMANLANDS LÄN</t>
        </is>
      </c>
      <c r="E169" t="inlineStr">
        <is>
          <t>KÖPING</t>
        </is>
      </c>
      <c r="G169" t="n">
        <v>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32029-2024</t>
        </is>
      </c>
      <c r="B170" s="1" t="n">
        <v>45510.66086805556</v>
      </c>
      <c r="C170" s="1" t="n">
        <v>45975</v>
      </c>
      <c r="D170" t="inlineStr">
        <is>
          <t>VÄSTMANLANDS LÄN</t>
        </is>
      </c>
      <c r="E170" t="inlineStr">
        <is>
          <t>KÖPING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36409-2023</t>
        </is>
      </c>
      <c r="B171" s="1" t="n">
        <v>45152.56538194444</v>
      </c>
      <c r="C171" s="1" t="n">
        <v>45975</v>
      </c>
      <c r="D171" t="inlineStr">
        <is>
          <t>VÄSTMANLANDS LÄN</t>
        </is>
      </c>
      <c r="E171" t="inlineStr">
        <is>
          <t>KÖPING</t>
        </is>
      </c>
      <c r="G171" t="n">
        <v>3.4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1290-2023</t>
        </is>
      </c>
      <c r="B172" s="1" t="n">
        <v>44936.47363425926</v>
      </c>
      <c r="C172" s="1" t="n">
        <v>45975</v>
      </c>
      <c r="D172" t="inlineStr">
        <is>
          <t>VÄSTMANLANDS LÄN</t>
        </is>
      </c>
      <c r="E172" t="inlineStr">
        <is>
          <t>KÖPING</t>
        </is>
      </c>
      <c r="G172" t="n">
        <v>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36726-2025</t>
        </is>
      </c>
      <c r="B173" s="1" t="n">
        <v>45873</v>
      </c>
      <c r="C173" s="1" t="n">
        <v>45975</v>
      </c>
      <c r="D173" t="inlineStr">
        <is>
          <t>VÄSTMANLANDS LÄN</t>
        </is>
      </c>
      <c r="E173" t="inlineStr">
        <is>
          <t>KÖPING</t>
        </is>
      </c>
      <c r="G173" t="n">
        <v>8.5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2608-2025</t>
        </is>
      </c>
      <c r="B174" s="1" t="n">
        <v>45674</v>
      </c>
      <c r="C174" s="1" t="n">
        <v>45975</v>
      </c>
      <c r="D174" t="inlineStr">
        <is>
          <t>VÄSTMANLANDS LÄN</t>
        </is>
      </c>
      <c r="E174" t="inlineStr">
        <is>
          <t>KÖPING</t>
        </is>
      </c>
      <c r="G174" t="n">
        <v>4.8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51407-2023</t>
        </is>
      </c>
      <c r="B175" s="1" t="n">
        <v>45219.69122685185</v>
      </c>
      <c r="C175" s="1" t="n">
        <v>45975</v>
      </c>
      <c r="D175" t="inlineStr">
        <is>
          <t>VÄSTMANLANDS LÄN</t>
        </is>
      </c>
      <c r="E175" t="inlineStr">
        <is>
          <t>KÖPING</t>
        </is>
      </c>
      <c r="G175" t="n">
        <v>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15735-2024</t>
        </is>
      </c>
      <c r="B176" s="1" t="n">
        <v>45404</v>
      </c>
      <c r="C176" s="1" t="n">
        <v>45975</v>
      </c>
      <c r="D176" t="inlineStr">
        <is>
          <t>VÄSTMANLANDS LÄN</t>
        </is>
      </c>
      <c r="E176" t="inlineStr">
        <is>
          <t>KÖPING</t>
        </is>
      </c>
      <c r="F176" t="inlineStr">
        <is>
          <t>Sveaskog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55720-2022</t>
        </is>
      </c>
      <c r="B177" s="1" t="n">
        <v>44888.57140046296</v>
      </c>
      <c r="C177" s="1" t="n">
        <v>45975</v>
      </c>
      <c r="D177" t="inlineStr">
        <is>
          <t>VÄSTMANLANDS LÄN</t>
        </is>
      </c>
      <c r="E177" t="inlineStr">
        <is>
          <t>KÖPING</t>
        </is>
      </c>
      <c r="G177" t="n">
        <v>3.2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22881-2024</t>
        </is>
      </c>
      <c r="B178" s="1" t="n">
        <v>45448.66190972222</v>
      </c>
      <c r="C178" s="1" t="n">
        <v>45975</v>
      </c>
      <c r="D178" t="inlineStr">
        <is>
          <t>VÄSTMANLANDS LÄN</t>
        </is>
      </c>
      <c r="E178" t="inlineStr">
        <is>
          <t>KÖPING</t>
        </is>
      </c>
      <c r="G178" t="n">
        <v>3.6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19953-2025</t>
        </is>
      </c>
      <c r="B179" s="1" t="n">
        <v>45771</v>
      </c>
      <c r="C179" s="1" t="n">
        <v>45975</v>
      </c>
      <c r="D179" t="inlineStr">
        <is>
          <t>VÄSTMANLANDS LÄN</t>
        </is>
      </c>
      <c r="E179" t="inlineStr">
        <is>
          <t>KÖPING</t>
        </is>
      </c>
      <c r="G179" t="n">
        <v>2.1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55835-2021</t>
        </is>
      </c>
      <c r="B180" s="1" t="n">
        <v>44476.62849537037</v>
      </c>
      <c r="C180" s="1" t="n">
        <v>45975</v>
      </c>
      <c r="D180" t="inlineStr">
        <is>
          <t>VÄSTMANLANDS LÄN</t>
        </is>
      </c>
      <c r="E180" t="inlineStr">
        <is>
          <t>KÖPING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23791-2022</t>
        </is>
      </c>
      <c r="B181" s="1" t="n">
        <v>44722</v>
      </c>
      <c r="C181" s="1" t="n">
        <v>45975</v>
      </c>
      <c r="D181" t="inlineStr">
        <is>
          <t>VÄSTMANLANDS LÄN</t>
        </is>
      </c>
      <c r="E181" t="inlineStr">
        <is>
          <t>KÖPING</t>
        </is>
      </c>
      <c r="G181" t="n">
        <v>1.3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13043-2025</t>
        </is>
      </c>
      <c r="B182" s="1" t="n">
        <v>45734</v>
      </c>
      <c r="C182" s="1" t="n">
        <v>45975</v>
      </c>
      <c r="D182" t="inlineStr">
        <is>
          <t>VÄSTMANLANDS LÄN</t>
        </is>
      </c>
      <c r="E182" t="inlineStr">
        <is>
          <t>KÖPING</t>
        </is>
      </c>
      <c r="F182" t="inlineStr">
        <is>
          <t>Sveaskog</t>
        </is>
      </c>
      <c r="G182" t="n">
        <v>3.1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13047-2025</t>
        </is>
      </c>
      <c r="B183" s="1" t="n">
        <v>45734.59141203704</v>
      </c>
      <c r="C183" s="1" t="n">
        <v>45975</v>
      </c>
      <c r="D183" t="inlineStr">
        <is>
          <t>VÄSTMANLANDS LÄN</t>
        </is>
      </c>
      <c r="E183" t="inlineStr">
        <is>
          <t>KÖPING</t>
        </is>
      </c>
      <c r="F183" t="inlineStr">
        <is>
          <t>Sveaskog</t>
        </is>
      </c>
      <c r="G183" t="n">
        <v>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7370-2022</t>
        </is>
      </c>
      <c r="B184" s="1" t="n">
        <v>44606</v>
      </c>
      <c r="C184" s="1" t="n">
        <v>45975</v>
      </c>
      <c r="D184" t="inlineStr">
        <is>
          <t>VÄSTMANLANDS LÄN</t>
        </is>
      </c>
      <c r="E184" t="inlineStr">
        <is>
          <t>KÖPING</t>
        </is>
      </c>
      <c r="G184" t="n">
        <v>14.4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64317-2020</t>
        </is>
      </c>
      <c r="B185" s="1" t="n">
        <v>44167</v>
      </c>
      <c r="C185" s="1" t="n">
        <v>45975</v>
      </c>
      <c r="D185" t="inlineStr">
        <is>
          <t>VÄSTMANLANDS LÄN</t>
        </is>
      </c>
      <c r="E185" t="inlineStr">
        <is>
          <t>KÖPING</t>
        </is>
      </c>
      <c r="G185" t="n">
        <v>6.8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15554-2024</t>
        </is>
      </c>
      <c r="B186" s="1" t="n">
        <v>45401</v>
      </c>
      <c r="C186" s="1" t="n">
        <v>45975</v>
      </c>
      <c r="D186" t="inlineStr">
        <is>
          <t>VÄSTMANLANDS LÄN</t>
        </is>
      </c>
      <c r="E186" t="inlineStr">
        <is>
          <t>KÖPING</t>
        </is>
      </c>
      <c r="F186" t="inlineStr">
        <is>
          <t>Sveaskog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23389-2023</t>
        </is>
      </c>
      <c r="B187" s="1" t="n">
        <v>45076</v>
      </c>
      <c r="C187" s="1" t="n">
        <v>45975</v>
      </c>
      <c r="D187" t="inlineStr">
        <is>
          <t>VÄSTMANLANDS LÄN</t>
        </is>
      </c>
      <c r="E187" t="inlineStr">
        <is>
          <t>KÖPING</t>
        </is>
      </c>
      <c r="G187" t="n">
        <v>5.6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37660-2022</t>
        </is>
      </c>
      <c r="B188" s="1" t="n">
        <v>44810.44481481481</v>
      </c>
      <c r="C188" s="1" t="n">
        <v>45975</v>
      </c>
      <c r="D188" t="inlineStr">
        <is>
          <t>VÄSTMANLANDS LÄN</t>
        </is>
      </c>
      <c r="E188" t="inlineStr">
        <is>
          <t>KÖPING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57297-2024</t>
        </is>
      </c>
      <c r="B189" s="1" t="n">
        <v>45629</v>
      </c>
      <c r="C189" s="1" t="n">
        <v>45975</v>
      </c>
      <c r="D189" t="inlineStr">
        <is>
          <t>VÄSTMANLANDS LÄN</t>
        </is>
      </c>
      <c r="E189" t="inlineStr">
        <is>
          <t>KÖPING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19593-2025</t>
        </is>
      </c>
      <c r="B190" s="1" t="n">
        <v>45770.57755787037</v>
      </c>
      <c r="C190" s="1" t="n">
        <v>45975</v>
      </c>
      <c r="D190" t="inlineStr">
        <is>
          <t>VÄSTMANLANDS LÄN</t>
        </is>
      </c>
      <c r="E190" t="inlineStr">
        <is>
          <t>KÖPING</t>
        </is>
      </c>
      <c r="G190" t="n">
        <v>2.2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14664-2022</t>
        </is>
      </c>
      <c r="B191" s="1" t="n">
        <v>44655.78577546297</v>
      </c>
      <c r="C191" s="1" t="n">
        <v>45975</v>
      </c>
      <c r="D191" t="inlineStr">
        <is>
          <t>VÄSTMANLANDS LÄN</t>
        </is>
      </c>
      <c r="E191" t="inlineStr">
        <is>
          <t>KÖPING</t>
        </is>
      </c>
      <c r="G191" t="n">
        <v>1.2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6834-2021</t>
        </is>
      </c>
      <c r="B192" s="1" t="n">
        <v>44236</v>
      </c>
      <c r="C192" s="1" t="n">
        <v>45975</v>
      </c>
      <c r="D192" t="inlineStr">
        <is>
          <t>VÄSTMANLANDS LÄN</t>
        </is>
      </c>
      <c r="E192" t="inlineStr">
        <is>
          <t>KÖPING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18361-2025</t>
        </is>
      </c>
      <c r="B193" s="1" t="n">
        <v>45762</v>
      </c>
      <c r="C193" s="1" t="n">
        <v>45975</v>
      </c>
      <c r="D193" t="inlineStr">
        <is>
          <t>VÄSTMANLANDS LÄN</t>
        </is>
      </c>
      <c r="E193" t="inlineStr">
        <is>
          <t>KÖPING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15158-2022</t>
        </is>
      </c>
      <c r="B194" s="1" t="n">
        <v>44658</v>
      </c>
      <c r="C194" s="1" t="n">
        <v>45975</v>
      </c>
      <c r="D194" t="inlineStr">
        <is>
          <t>VÄSTMANLANDS LÄN</t>
        </is>
      </c>
      <c r="E194" t="inlineStr">
        <is>
          <t>KÖPING</t>
        </is>
      </c>
      <c r="G194" t="n">
        <v>0.4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15162-2022</t>
        </is>
      </c>
      <c r="B195" s="1" t="n">
        <v>44658.50546296296</v>
      </c>
      <c r="C195" s="1" t="n">
        <v>45975</v>
      </c>
      <c r="D195" t="inlineStr">
        <is>
          <t>VÄSTMANLANDS LÄN</t>
        </is>
      </c>
      <c r="E195" t="inlineStr">
        <is>
          <t>KÖPING</t>
        </is>
      </c>
      <c r="G195" t="n">
        <v>4.6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15549-2024</t>
        </is>
      </c>
      <c r="B196" s="1" t="n">
        <v>45401.63344907408</v>
      </c>
      <c r="C196" s="1" t="n">
        <v>45975</v>
      </c>
      <c r="D196" t="inlineStr">
        <is>
          <t>VÄSTMANLANDS LÄN</t>
        </is>
      </c>
      <c r="E196" t="inlineStr">
        <is>
          <t>KÖPING</t>
        </is>
      </c>
      <c r="F196" t="inlineStr">
        <is>
          <t>Sveaskog</t>
        </is>
      </c>
      <c r="G196" t="n">
        <v>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21163-2025</t>
        </is>
      </c>
      <c r="B197" s="1" t="n">
        <v>45779.38344907408</v>
      </c>
      <c r="C197" s="1" t="n">
        <v>45975</v>
      </c>
      <c r="D197" t="inlineStr">
        <is>
          <t>VÄSTMANLANDS LÄN</t>
        </is>
      </c>
      <c r="E197" t="inlineStr">
        <is>
          <t>KÖPING</t>
        </is>
      </c>
      <c r="F197" t="inlineStr">
        <is>
          <t>Sveaskog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38854-2025</t>
        </is>
      </c>
      <c r="B198" s="1" t="n">
        <v>45887.55680555556</v>
      </c>
      <c r="C198" s="1" t="n">
        <v>45975</v>
      </c>
      <c r="D198" t="inlineStr">
        <is>
          <t>VÄSTMANLANDS LÄN</t>
        </is>
      </c>
      <c r="E198" t="inlineStr">
        <is>
          <t>KÖPING</t>
        </is>
      </c>
      <c r="F198" t="inlineStr">
        <is>
          <t>Sveaskog</t>
        </is>
      </c>
      <c r="G198" t="n">
        <v>1.2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38852-2025</t>
        </is>
      </c>
      <c r="B199" s="1" t="n">
        <v>45887.55572916667</v>
      </c>
      <c r="C199" s="1" t="n">
        <v>45975</v>
      </c>
      <c r="D199" t="inlineStr">
        <is>
          <t>VÄSTMANLANDS LÄN</t>
        </is>
      </c>
      <c r="E199" t="inlineStr">
        <is>
          <t>KÖPING</t>
        </is>
      </c>
      <c r="F199" t="inlineStr">
        <is>
          <t>Sveaskog</t>
        </is>
      </c>
      <c r="G199" t="n">
        <v>1.1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18366-2025</t>
        </is>
      </c>
      <c r="B200" s="1" t="n">
        <v>45762</v>
      </c>
      <c r="C200" s="1" t="n">
        <v>45975</v>
      </c>
      <c r="D200" t="inlineStr">
        <is>
          <t>VÄSTMANLANDS LÄN</t>
        </is>
      </c>
      <c r="E200" t="inlineStr">
        <is>
          <t>KÖPING</t>
        </is>
      </c>
      <c r="G200" t="n">
        <v>1.4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15858-2025</t>
        </is>
      </c>
      <c r="B201" s="1" t="n">
        <v>45749.34443287037</v>
      </c>
      <c r="C201" s="1" t="n">
        <v>45975</v>
      </c>
      <c r="D201" t="inlineStr">
        <is>
          <t>VÄSTMANLANDS LÄN</t>
        </is>
      </c>
      <c r="E201" t="inlineStr">
        <is>
          <t>KÖPING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27891-2023</t>
        </is>
      </c>
      <c r="B202" s="1" t="n">
        <v>45098.62</v>
      </c>
      <c r="C202" s="1" t="n">
        <v>45975</v>
      </c>
      <c r="D202" t="inlineStr">
        <is>
          <t>VÄSTMANLANDS LÄN</t>
        </is>
      </c>
      <c r="E202" t="inlineStr">
        <is>
          <t>KÖPING</t>
        </is>
      </c>
      <c r="G202" t="n">
        <v>4.5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38986-2025</t>
        </is>
      </c>
      <c r="B203" s="1" t="n">
        <v>45888.30837962963</v>
      </c>
      <c r="C203" s="1" t="n">
        <v>45975</v>
      </c>
      <c r="D203" t="inlineStr">
        <is>
          <t>VÄSTMANLANDS LÄN</t>
        </is>
      </c>
      <c r="E203" t="inlineStr">
        <is>
          <t>KÖPING</t>
        </is>
      </c>
      <c r="G203" t="n">
        <v>3.6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38858-2025</t>
        </is>
      </c>
      <c r="B204" s="1" t="n">
        <v>45887.55859953703</v>
      </c>
      <c r="C204" s="1" t="n">
        <v>45975</v>
      </c>
      <c r="D204" t="inlineStr">
        <is>
          <t>VÄSTMANLANDS LÄN</t>
        </is>
      </c>
      <c r="E204" t="inlineStr">
        <is>
          <t>KÖPING</t>
        </is>
      </c>
      <c r="F204" t="inlineStr">
        <is>
          <t>Sveaskog</t>
        </is>
      </c>
      <c r="G204" t="n">
        <v>10.4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57496-2024</t>
        </is>
      </c>
      <c r="B205" s="1" t="n">
        <v>45630.37325231481</v>
      </c>
      <c r="C205" s="1" t="n">
        <v>45975</v>
      </c>
      <c r="D205" t="inlineStr">
        <is>
          <t>VÄSTMANLANDS LÄN</t>
        </is>
      </c>
      <c r="E205" t="inlineStr">
        <is>
          <t>KÖPING</t>
        </is>
      </c>
      <c r="G205" t="n">
        <v>2.5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54867-2024</t>
        </is>
      </c>
      <c r="B206" s="1" t="n">
        <v>45618.59675925926</v>
      </c>
      <c r="C206" s="1" t="n">
        <v>45975</v>
      </c>
      <c r="D206" t="inlineStr">
        <is>
          <t>VÄSTMANLANDS LÄN</t>
        </is>
      </c>
      <c r="E206" t="inlineStr">
        <is>
          <t>KÖPING</t>
        </is>
      </c>
      <c r="F206" t="inlineStr">
        <is>
          <t>Sveaskog</t>
        </is>
      </c>
      <c r="G206" t="n">
        <v>11.1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54869-2024</t>
        </is>
      </c>
      <c r="B207" s="1" t="n">
        <v>45618.59804398148</v>
      </c>
      <c r="C207" s="1" t="n">
        <v>45975</v>
      </c>
      <c r="D207" t="inlineStr">
        <is>
          <t>VÄSTMANLANDS LÄN</t>
        </is>
      </c>
      <c r="E207" t="inlineStr">
        <is>
          <t>KÖPING</t>
        </is>
      </c>
      <c r="F207" t="inlineStr">
        <is>
          <t>Sveaskog</t>
        </is>
      </c>
      <c r="G207" t="n">
        <v>1.7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51156-2024</t>
        </is>
      </c>
      <c r="B208" s="1" t="n">
        <v>45603.57417824074</v>
      </c>
      <c r="C208" s="1" t="n">
        <v>45975</v>
      </c>
      <c r="D208" t="inlineStr">
        <is>
          <t>VÄSTMANLANDS LÄN</t>
        </is>
      </c>
      <c r="E208" t="inlineStr">
        <is>
          <t>KÖPING</t>
        </is>
      </c>
      <c r="G208" t="n">
        <v>2.5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21691-2025</t>
        </is>
      </c>
      <c r="B209" s="1" t="n">
        <v>45783.49538194444</v>
      </c>
      <c r="C209" s="1" t="n">
        <v>45975</v>
      </c>
      <c r="D209" t="inlineStr">
        <is>
          <t>VÄSTMANLANDS LÄN</t>
        </is>
      </c>
      <c r="E209" t="inlineStr">
        <is>
          <t>KÖPING</t>
        </is>
      </c>
      <c r="G209" t="n">
        <v>10.1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61201-2020</t>
        </is>
      </c>
      <c r="B210" s="1" t="n">
        <v>44155</v>
      </c>
      <c r="C210" s="1" t="n">
        <v>45975</v>
      </c>
      <c r="D210" t="inlineStr">
        <is>
          <t>VÄSTMANLANDS LÄN</t>
        </is>
      </c>
      <c r="E210" t="inlineStr">
        <is>
          <t>KÖPING</t>
        </is>
      </c>
      <c r="G210" t="n">
        <v>4.6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46659-2024</t>
        </is>
      </c>
      <c r="B211" s="1" t="n">
        <v>45583.36162037037</v>
      </c>
      <c r="C211" s="1" t="n">
        <v>45975</v>
      </c>
      <c r="D211" t="inlineStr">
        <is>
          <t>VÄSTMANLANDS LÄN</t>
        </is>
      </c>
      <c r="E211" t="inlineStr">
        <is>
          <t>KÖPING</t>
        </is>
      </c>
      <c r="G211" t="n">
        <v>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1387-2025</t>
        </is>
      </c>
      <c r="B212" s="1" t="n">
        <v>45667</v>
      </c>
      <c r="C212" s="1" t="n">
        <v>45975</v>
      </c>
      <c r="D212" t="inlineStr">
        <is>
          <t>VÄSTMANLANDS LÄN</t>
        </is>
      </c>
      <c r="E212" t="inlineStr">
        <is>
          <t>KÖPING</t>
        </is>
      </c>
      <c r="G212" t="n">
        <v>1.5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50409-2024</t>
        </is>
      </c>
      <c r="B213" s="1" t="n">
        <v>45601.36454861111</v>
      </c>
      <c r="C213" s="1" t="n">
        <v>45975</v>
      </c>
      <c r="D213" t="inlineStr">
        <is>
          <t>VÄSTMANLANDS LÄN</t>
        </is>
      </c>
      <c r="E213" t="inlineStr">
        <is>
          <t>KÖPING</t>
        </is>
      </c>
      <c r="G213" t="n">
        <v>5.5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1926-2025</t>
        </is>
      </c>
      <c r="B214" s="1" t="n">
        <v>45671</v>
      </c>
      <c r="C214" s="1" t="n">
        <v>45975</v>
      </c>
      <c r="D214" t="inlineStr">
        <is>
          <t>VÄSTMANLANDS LÄN</t>
        </is>
      </c>
      <c r="E214" t="inlineStr">
        <is>
          <t>KÖPING</t>
        </is>
      </c>
      <c r="G214" t="n">
        <v>2.6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8703-2024</t>
        </is>
      </c>
      <c r="B215" s="1" t="n">
        <v>45356.38356481482</v>
      </c>
      <c r="C215" s="1" t="n">
        <v>45975</v>
      </c>
      <c r="D215" t="inlineStr">
        <is>
          <t>VÄSTMANLANDS LÄN</t>
        </is>
      </c>
      <c r="E215" t="inlineStr">
        <is>
          <t>KÖPING</t>
        </is>
      </c>
      <c r="G215" t="n">
        <v>6.5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48276-2025</t>
        </is>
      </c>
      <c r="B216" s="1" t="n">
        <v>45933.57945601852</v>
      </c>
      <c r="C216" s="1" t="n">
        <v>45975</v>
      </c>
      <c r="D216" t="inlineStr">
        <is>
          <t>VÄSTMANLANDS LÄN</t>
        </is>
      </c>
      <c r="E216" t="inlineStr">
        <is>
          <t>KÖPING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48828-2025</t>
        </is>
      </c>
      <c r="B217" s="1" t="n">
        <v>45937.38329861111</v>
      </c>
      <c r="C217" s="1" t="n">
        <v>45975</v>
      </c>
      <c r="D217" t="inlineStr">
        <is>
          <t>VÄSTMANLANDS LÄN</t>
        </is>
      </c>
      <c r="E217" t="inlineStr">
        <is>
          <t>KÖPING</t>
        </is>
      </c>
      <c r="F217" t="inlineStr">
        <is>
          <t>Sveaskog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24130-2024</t>
        </is>
      </c>
      <c r="B218" s="1" t="n">
        <v>45456</v>
      </c>
      <c r="C218" s="1" t="n">
        <v>45975</v>
      </c>
      <c r="D218" t="inlineStr">
        <is>
          <t>VÄSTMANLANDS LÄN</t>
        </is>
      </c>
      <c r="E218" t="inlineStr">
        <is>
          <t>KÖPING</t>
        </is>
      </c>
      <c r="F218" t="inlineStr">
        <is>
          <t>Sveaskog</t>
        </is>
      </c>
      <c r="G218" t="n">
        <v>1.4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48978-2025</t>
        </is>
      </c>
      <c r="B219" s="1" t="n">
        <v>45937.57011574074</v>
      </c>
      <c r="C219" s="1" t="n">
        <v>45975</v>
      </c>
      <c r="D219" t="inlineStr">
        <is>
          <t>VÄSTMANLANDS LÄN</t>
        </is>
      </c>
      <c r="E219" t="inlineStr">
        <is>
          <t>KÖPING</t>
        </is>
      </c>
      <c r="F219" t="inlineStr">
        <is>
          <t>Sveaskog</t>
        </is>
      </c>
      <c r="G219" t="n">
        <v>7.2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37752-2023</t>
        </is>
      </c>
      <c r="B220" s="1" t="n">
        <v>45159</v>
      </c>
      <c r="C220" s="1" t="n">
        <v>45975</v>
      </c>
      <c r="D220" t="inlineStr">
        <is>
          <t>VÄSTMANLANDS LÄN</t>
        </is>
      </c>
      <c r="E220" t="inlineStr">
        <is>
          <t>KÖPING</t>
        </is>
      </c>
      <c r="G220" t="n">
        <v>1.6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40480-2025</t>
        </is>
      </c>
      <c r="B221" s="1" t="n">
        <v>45895.76636574074</v>
      </c>
      <c r="C221" s="1" t="n">
        <v>45975</v>
      </c>
      <c r="D221" t="inlineStr">
        <is>
          <t>VÄSTMANLANDS LÄN</t>
        </is>
      </c>
      <c r="E221" t="inlineStr">
        <is>
          <t>KÖPING</t>
        </is>
      </c>
      <c r="G221" t="n">
        <v>6.4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40502-2025</t>
        </is>
      </c>
      <c r="B222" s="1" t="n">
        <v>45896.33552083333</v>
      </c>
      <c r="C222" s="1" t="n">
        <v>45975</v>
      </c>
      <c r="D222" t="inlineStr">
        <is>
          <t>VÄSTMANLANDS LÄN</t>
        </is>
      </c>
      <c r="E222" t="inlineStr">
        <is>
          <t>KÖPING</t>
        </is>
      </c>
      <c r="G222" t="n">
        <v>2.1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48979-2025</t>
        </is>
      </c>
      <c r="B223" s="1" t="n">
        <v>45937.57126157408</v>
      </c>
      <c r="C223" s="1" t="n">
        <v>45975</v>
      </c>
      <c r="D223" t="inlineStr">
        <is>
          <t>VÄSTMANLANDS LÄN</t>
        </is>
      </c>
      <c r="E223" t="inlineStr">
        <is>
          <t>KÖPING</t>
        </is>
      </c>
      <c r="F223" t="inlineStr">
        <is>
          <t>Sveaskog</t>
        </is>
      </c>
      <c r="G223" t="n">
        <v>5.6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1360-2024</t>
        </is>
      </c>
      <c r="B224" s="1" t="n">
        <v>45303.50130787037</v>
      </c>
      <c r="C224" s="1" t="n">
        <v>45975</v>
      </c>
      <c r="D224" t="inlineStr">
        <is>
          <t>VÄSTMANLANDS LÄN</t>
        </is>
      </c>
      <c r="E224" t="inlineStr">
        <is>
          <t>KÖPING</t>
        </is>
      </c>
      <c r="G224" t="n">
        <v>1.5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895-2025</t>
        </is>
      </c>
      <c r="B225" s="1" t="n">
        <v>45665</v>
      </c>
      <c r="C225" s="1" t="n">
        <v>45975</v>
      </c>
      <c r="D225" t="inlineStr">
        <is>
          <t>VÄSTMANLANDS LÄN</t>
        </is>
      </c>
      <c r="E225" t="inlineStr">
        <is>
          <t>KÖPING</t>
        </is>
      </c>
      <c r="G225" t="n">
        <v>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40693-2023</t>
        </is>
      </c>
      <c r="B226" s="1" t="n">
        <v>45170.60415509259</v>
      </c>
      <c r="C226" s="1" t="n">
        <v>45975</v>
      </c>
      <c r="D226" t="inlineStr">
        <is>
          <t>VÄSTMANLANDS LÄN</t>
        </is>
      </c>
      <c r="E226" t="inlineStr">
        <is>
          <t>KÖPING</t>
        </is>
      </c>
      <c r="F226" t="inlineStr">
        <is>
          <t>Sveaskog</t>
        </is>
      </c>
      <c r="G226" t="n">
        <v>1.7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34436-2024</t>
        </is>
      </c>
      <c r="B227" s="1" t="n">
        <v>45525.53819444445</v>
      </c>
      <c r="C227" s="1" t="n">
        <v>45975</v>
      </c>
      <c r="D227" t="inlineStr">
        <is>
          <t>VÄSTMANLANDS LÄN</t>
        </is>
      </c>
      <c r="E227" t="inlineStr">
        <is>
          <t>KÖPING</t>
        </is>
      </c>
      <c r="G227" t="n">
        <v>2.1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40712-2025</t>
        </is>
      </c>
      <c r="B228" s="1" t="n">
        <v>45897.34274305555</v>
      </c>
      <c r="C228" s="1" t="n">
        <v>45975</v>
      </c>
      <c r="D228" t="inlineStr">
        <is>
          <t>VÄSTMANLANDS LÄN</t>
        </is>
      </c>
      <c r="E228" t="inlineStr">
        <is>
          <t>KÖPING</t>
        </is>
      </c>
      <c r="F228" t="inlineStr">
        <is>
          <t>Sveaskog</t>
        </is>
      </c>
      <c r="G228" t="n">
        <v>1.2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29934-2022</t>
        </is>
      </c>
      <c r="B229" s="1" t="n">
        <v>44757</v>
      </c>
      <c r="C229" s="1" t="n">
        <v>45975</v>
      </c>
      <c r="D229" t="inlineStr">
        <is>
          <t>VÄSTMANLANDS LÄN</t>
        </is>
      </c>
      <c r="E229" t="inlineStr">
        <is>
          <t>KÖPING</t>
        </is>
      </c>
      <c r="G229" t="n">
        <v>5.1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40703-2025</t>
        </is>
      </c>
      <c r="B230" s="1" t="n">
        <v>45897.32975694445</v>
      </c>
      <c r="C230" s="1" t="n">
        <v>45975</v>
      </c>
      <c r="D230" t="inlineStr">
        <is>
          <t>VÄSTMANLANDS LÄN</t>
        </is>
      </c>
      <c r="E230" t="inlineStr">
        <is>
          <t>KÖPING</t>
        </is>
      </c>
      <c r="F230" t="inlineStr">
        <is>
          <t>Sveaskog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40700-2025</t>
        </is>
      </c>
      <c r="B231" s="1" t="n">
        <v>45897.32721064815</v>
      </c>
      <c r="C231" s="1" t="n">
        <v>45975</v>
      </c>
      <c r="D231" t="inlineStr">
        <is>
          <t>VÄSTMANLANDS LÄN</t>
        </is>
      </c>
      <c r="E231" t="inlineStr">
        <is>
          <t>KÖPING</t>
        </is>
      </c>
      <c r="F231" t="inlineStr">
        <is>
          <t>Sveaskog</t>
        </is>
      </c>
      <c r="G231" t="n">
        <v>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40705-2025</t>
        </is>
      </c>
      <c r="B232" s="1" t="n">
        <v>45897.33090277778</v>
      </c>
      <c r="C232" s="1" t="n">
        <v>45975</v>
      </c>
      <c r="D232" t="inlineStr">
        <is>
          <t>VÄSTMANLANDS LÄN</t>
        </is>
      </c>
      <c r="E232" t="inlineStr">
        <is>
          <t>KÖPING</t>
        </is>
      </c>
      <c r="F232" t="inlineStr">
        <is>
          <t>Sveaskog</t>
        </is>
      </c>
      <c r="G232" t="n">
        <v>1.4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28902-2024</t>
        </is>
      </c>
      <c r="B233" s="1" t="n">
        <v>45480.5384375</v>
      </c>
      <c r="C233" s="1" t="n">
        <v>45975</v>
      </c>
      <c r="D233" t="inlineStr">
        <is>
          <t>VÄSTMANLANDS LÄN</t>
        </is>
      </c>
      <c r="E233" t="inlineStr">
        <is>
          <t>KÖPING</t>
        </is>
      </c>
      <c r="G233" t="n">
        <v>4.6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857-2025</t>
        </is>
      </c>
      <c r="B234" s="1" t="n">
        <v>45665</v>
      </c>
      <c r="C234" s="1" t="n">
        <v>45975</v>
      </c>
      <c r="D234" t="inlineStr">
        <is>
          <t>VÄSTMANLANDS LÄN</t>
        </is>
      </c>
      <c r="E234" t="inlineStr">
        <is>
          <t>KÖPING</t>
        </is>
      </c>
      <c r="G234" t="n">
        <v>4.2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24469-2025</t>
        </is>
      </c>
      <c r="B235" s="1" t="n">
        <v>45798</v>
      </c>
      <c r="C235" s="1" t="n">
        <v>45975</v>
      </c>
      <c r="D235" t="inlineStr">
        <is>
          <t>VÄSTMANLANDS LÄN</t>
        </is>
      </c>
      <c r="E235" t="inlineStr">
        <is>
          <t>KÖPING</t>
        </is>
      </c>
      <c r="F235" t="inlineStr">
        <is>
          <t>Sveaskog</t>
        </is>
      </c>
      <c r="G235" t="n">
        <v>2.2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40706-2025</t>
        </is>
      </c>
      <c r="B236" s="1" t="n">
        <v>45897.33193287037</v>
      </c>
      <c r="C236" s="1" t="n">
        <v>45975</v>
      </c>
      <c r="D236" t="inlineStr">
        <is>
          <t>VÄSTMANLANDS LÄN</t>
        </is>
      </c>
      <c r="E236" t="inlineStr">
        <is>
          <t>KÖPING</t>
        </is>
      </c>
      <c r="F236" t="inlineStr">
        <is>
          <t>Sveaskog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40702-2025</t>
        </is>
      </c>
      <c r="B237" s="1" t="n">
        <v>45897.32894675926</v>
      </c>
      <c r="C237" s="1" t="n">
        <v>45975</v>
      </c>
      <c r="D237" t="inlineStr">
        <is>
          <t>VÄSTMANLANDS LÄN</t>
        </is>
      </c>
      <c r="E237" t="inlineStr">
        <is>
          <t>KÖPING</t>
        </is>
      </c>
      <c r="F237" t="inlineStr">
        <is>
          <t>Sveaskog</t>
        </is>
      </c>
      <c r="G237" t="n">
        <v>5.5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28904-2024</t>
        </is>
      </c>
      <c r="B238" s="1" t="n">
        <v>45480.54915509259</v>
      </c>
      <c r="C238" s="1" t="n">
        <v>45975</v>
      </c>
      <c r="D238" t="inlineStr">
        <is>
          <t>VÄSTMANLANDS LÄN</t>
        </is>
      </c>
      <c r="E238" t="inlineStr">
        <is>
          <t>KÖPING</t>
        </is>
      </c>
      <c r="G238" t="n">
        <v>1.3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199-2025</t>
        </is>
      </c>
      <c r="B239" s="1" t="n">
        <v>45659</v>
      </c>
      <c r="C239" s="1" t="n">
        <v>45975</v>
      </c>
      <c r="D239" t="inlineStr">
        <is>
          <t>VÄSTMANLANDS LÄN</t>
        </is>
      </c>
      <c r="E239" t="inlineStr">
        <is>
          <t>KÖPING</t>
        </is>
      </c>
      <c r="G239" t="n">
        <v>2.7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24481-2025</t>
        </is>
      </c>
      <c r="B240" s="1" t="n">
        <v>45798.38157407408</v>
      </c>
      <c r="C240" s="1" t="n">
        <v>45975</v>
      </c>
      <c r="D240" t="inlineStr">
        <is>
          <t>VÄSTMANLANDS LÄN</t>
        </is>
      </c>
      <c r="E240" t="inlineStr">
        <is>
          <t>KÖPING</t>
        </is>
      </c>
      <c r="F240" t="inlineStr">
        <is>
          <t>Sveaskog</t>
        </is>
      </c>
      <c r="G240" t="n">
        <v>4.3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40762-2025</t>
        </is>
      </c>
      <c r="B241" s="1" t="n">
        <v>45897.39564814815</v>
      </c>
      <c r="C241" s="1" t="n">
        <v>45975</v>
      </c>
      <c r="D241" t="inlineStr">
        <is>
          <t>VÄSTMANLANDS LÄN</t>
        </is>
      </c>
      <c r="E241" t="inlineStr">
        <is>
          <t>KÖPING</t>
        </is>
      </c>
      <c r="F241" t="inlineStr">
        <is>
          <t>Sveaskog</t>
        </is>
      </c>
      <c r="G241" t="n">
        <v>0.7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24473-2025</t>
        </is>
      </c>
      <c r="B242" s="1" t="n">
        <v>45798.37075231481</v>
      </c>
      <c r="C242" s="1" t="n">
        <v>45975</v>
      </c>
      <c r="D242" t="inlineStr">
        <is>
          <t>VÄSTMANLANDS LÄN</t>
        </is>
      </c>
      <c r="E242" t="inlineStr">
        <is>
          <t>KÖPING</t>
        </is>
      </c>
      <c r="F242" t="inlineStr">
        <is>
          <t>Sveaskog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24475-2025</t>
        </is>
      </c>
      <c r="B243" s="1" t="n">
        <v>45798.37363425926</v>
      </c>
      <c r="C243" s="1" t="n">
        <v>45975</v>
      </c>
      <c r="D243" t="inlineStr">
        <is>
          <t>VÄSTMANLANDS LÄN</t>
        </is>
      </c>
      <c r="E243" t="inlineStr">
        <is>
          <t>KÖPING</t>
        </is>
      </c>
      <c r="F243" t="inlineStr">
        <is>
          <t>Sveaskog</t>
        </is>
      </c>
      <c r="G243" t="n">
        <v>5.8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24477-2025</t>
        </is>
      </c>
      <c r="B244" s="1" t="n">
        <v>45798</v>
      </c>
      <c r="C244" s="1" t="n">
        <v>45975</v>
      </c>
      <c r="D244" t="inlineStr">
        <is>
          <t>VÄSTMANLANDS LÄN</t>
        </is>
      </c>
      <c r="E244" t="inlineStr">
        <is>
          <t>KÖPING</t>
        </is>
      </c>
      <c r="F244" t="inlineStr">
        <is>
          <t>Sveaskog</t>
        </is>
      </c>
      <c r="G244" t="n">
        <v>2.1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24479-2025</t>
        </is>
      </c>
      <c r="B245" s="1" t="n">
        <v>45798.37938657407</v>
      </c>
      <c r="C245" s="1" t="n">
        <v>45975</v>
      </c>
      <c r="D245" t="inlineStr">
        <is>
          <t>VÄSTMANLANDS LÄN</t>
        </is>
      </c>
      <c r="E245" t="inlineStr">
        <is>
          <t>KÖPING</t>
        </is>
      </c>
      <c r="F245" t="inlineStr">
        <is>
          <t>Sveaskog</t>
        </is>
      </c>
      <c r="G245" t="n">
        <v>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24478-2025</t>
        </is>
      </c>
      <c r="B246" s="1" t="n">
        <v>45798.37822916666</v>
      </c>
      <c r="C246" s="1" t="n">
        <v>45975</v>
      </c>
      <c r="D246" t="inlineStr">
        <is>
          <t>VÄSTMANLANDS LÄN</t>
        </is>
      </c>
      <c r="E246" t="inlineStr">
        <is>
          <t>KÖPING</t>
        </is>
      </c>
      <c r="F246" t="inlineStr">
        <is>
          <t>Sveaskog</t>
        </is>
      </c>
      <c r="G246" t="n">
        <v>3.2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24471-2025</t>
        </is>
      </c>
      <c r="B247" s="1" t="n">
        <v>45798</v>
      </c>
      <c r="C247" s="1" t="n">
        <v>45975</v>
      </c>
      <c r="D247" t="inlineStr">
        <is>
          <t>VÄSTMANLANDS LÄN</t>
        </is>
      </c>
      <c r="E247" t="inlineStr">
        <is>
          <t>KÖPING</t>
        </is>
      </c>
      <c r="F247" t="inlineStr">
        <is>
          <t>Sveaskog</t>
        </is>
      </c>
      <c r="G247" t="n">
        <v>2.6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24472-2025</t>
        </is>
      </c>
      <c r="B248" s="1" t="n">
        <v>45798.36815972222</v>
      </c>
      <c r="C248" s="1" t="n">
        <v>45975</v>
      </c>
      <c r="D248" t="inlineStr">
        <is>
          <t>VÄSTMANLANDS LÄN</t>
        </is>
      </c>
      <c r="E248" t="inlineStr">
        <is>
          <t>KÖPING</t>
        </is>
      </c>
      <c r="F248" t="inlineStr">
        <is>
          <t>Sveaskog</t>
        </is>
      </c>
      <c r="G248" t="n">
        <v>5.5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44814-2023</t>
        </is>
      </c>
      <c r="B249" s="1" t="n">
        <v>45190</v>
      </c>
      <c r="C249" s="1" t="n">
        <v>45975</v>
      </c>
      <c r="D249" t="inlineStr">
        <is>
          <t>VÄSTMANLANDS LÄN</t>
        </is>
      </c>
      <c r="E249" t="inlineStr">
        <is>
          <t>KÖPING</t>
        </is>
      </c>
      <c r="G249" t="n">
        <v>24.2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28394-2024</t>
        </is>
      </c>
      <c r="B250" s="1" t="n">
        <v>45477.60447916666</v>
      </c>
      <c r="C250" s="1" t="n">
        <v>45975</v>
      </c>
      <c r="D250" t="inlineStr">
        <is>
          <t>VÄSTMANLANDS LÄN</t>
        </is>
      </c>
      <c r="E250" t="inlineStr">
        <is>
          <t>KÖPING</t>
        </is>
      </c>
      <c r="F250" t="inlineStr">
        <is>
          <t>Sveaskog</t>
        </is>
      </c>
      <c r="G250" t="n">
        <v>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34368-2025</t>
        </is>
      </c>
      <c r="B251" s="1" t="n">
        <v>45846.50275462963</v>
      </c>
      <c r="C251" s="1" t="n">
        <v>45975</v>
      </c>
      <c r="D251" t="inlineStr">
        <is>
          <t>VÄSTMANLANDS LÄN</t>
        </is>
      </c>
      <c r="E251" t="inlineStr">
        <is>
          <t>KÖPING</t>
        </is>
      </c>
      <c r="G251" t="n">
        <v>3.5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10582-2024</t>
        </is>
      </c>
      <c r="B252" s="1" t="n">
        <v>45366.67637731481</v>
      </c>
      <c r="C252" s="1" t="n">
        <v>45975</v>
      </c>
      <c r="D252" t="inlineStr">
        <is>
          <t>VÄSTMANLANDS LÄN</t>
        </is>
      </c>
      <c r="E252" t="inlineStr">
        <is>
          <t>KÖPING</t>
        </is>
      </c>
      <c r="F252" t="inlineStr">
        <is>
          <t>Sveaskog</t>
        </is>
      </c>
      <c r="G252" t="n">
        <v>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1440-2025</t>
        </is>
      </c>
      <c r="B253" s="1" t="n">
        <v>45669.71475694444</v>
      </c>
      <c r="C253" s="1" t="n">
        <v>45975</v>
      </c>
      <c r="D253" t="inlineStr">
        <is>
          <t>VÄSTMANLANDS LÄN</t>
        </is>
      </c>
      <c r="E253" t="inlineStr">
        <is>
          <t>KÖPING</t>
        </is>
      </c>
      <c r="G253" t="n">
        <v>2.1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32845-2025</t>
        </is>
      </c>
      <c r="B254" s="1" t="n">
        <v>45839.57179398148</v>
      </c>
      <c r="C254" s="1" t="n">
        <v>45975</v>
      </c>
      <c r="D254" t="inlineStr">
        <is>
          <t>VÄSTMANLANDS LÄN</t>
        </is>
      </c>
      <c r="E254" t="inlineStr">
        <is>
          <t>KÖPING</t>
        </is>
      </c>
      <c r="G254" t="n">
        <v>3.6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2854-2022</t>
        </is>
      </c>
      <c r="B255" s="1" t="n">
        <v>44581</v>
      </c>
      <c r="C255" s="1" t="n">
        <v>45975</v>
      </c>
      <c r="D255" t="inlineStr">
        <is>
          <t>VÄSTMANLANDS LÄN</t>
        </is>
      </c>
      <c r="E255" t="inlineStr">
        <is>
          <t>KÖPING</t>
        </is>
      </c>
      <c r="G255" t="n">
        <v>7.1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41676-2025</t>
        </is>
      </c>
      <c r="B256" s="1" t="n">
        <v>45902.37306712963</v>
      </c>
      <c r="C256" s="1" t="n">
        <v>45975</v>
      </c>
      <c r="D256" t="inlineStr">
        <is>
          <t>VÄSTMANLANDS LÄN</t>
        </is>
      </c>
      <c r="E256" t="inlineStr">
        <is>
          <t>KÖPING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25543-2025</t>
        </is>
      </c>
      <c r="B257" s="1" t="n">
        <v>45803.43010416667</v>
      </c>
      <c r="C257" s="1" t="n">
        <v>45975</v>
      </c>
      <c r="D257" t="inlineStr">
        <is>
          <t>VÄSTMANLANDS LÄN</t>
        </is>
      </c>
      <c r="E257" t="inlineStr">
        <is>
          <t>KÖPING</t>
        </is>
      </c>
      <c r="G257" t="n">
        <v>5.3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51412-2023</t>
        </is>
      </c>
      <c r="B258" s="1" t="n">
        <v>45219.71002314815</v>
      </c>
      <c r="C258" s="1" t="n">
        <v>45975</v>
      </c>
      <c r="D258" t="inlineStr">
        <is>
          <t>VÄSTMANLANDS LÄN</t>
        </is>
      </c>
      <c r="E258" t="inlineStr">
        <is>
          <t>KÖPING</t>
        </is>
      </c>
      <c r="G258" t="n">
        <v>3.2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41959-2025</t>
        </is>
      </c>
      <c r="B259" s="1" t="n">
        <v>45903.46909722222</v>
      </c>
      <c r="C259" s="1" t="n">
        <v>45975</v>
      </c>
      <c r="D259" t="inlineStr">
        <is>
          <t>VÄSTMANLANDS LÄN</t>
        </is>
      </c>
      <c r="E259" t="inlineStr">
        <is>
          <t>KÖPING</t>
        </is>
      </c>
      <c r="G259" t="n">
        <v>0.7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30141-2022</t>
        </is>
      </c>
      <c r="B260" s="1" t="n">
        <v>44757.48153935185</v>
      </c>
      <c r="C260" s="1" t="n">
        <v>45975</v>
      </c>
      <c r="D260" t="inlineStr">
        <is>
          <t>VÄSTMANLANDS LÄN</t>
        </is>
      </c>
      <c r="E260" t="inlineStr">
        <is>
          <t>KÖPING</t>
        </is>
      </c>
      <c r="G260" t="n">
        <v>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3508-2025</t>
        </is>
      </c>
      <c r="B261" s="1" t="n">
        <v>45680</v>
      </c>
      <c r="C261" s="1" t="n">
        <v>45975</v>
      </c>
      <c r="D261" t="inlineStr">
        <is>
          <t>VÄSTMANLANDS LÄN</t>
        </is>
      </c>
      <c r="E261" t="inlineStr">
        <is>
          <t>KÖPING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30079-2022</t>
        </is>
      </c>
      <c r="B262" s="1" t="n">
        <v>44757.3716087963</v>
      </c>
      <c r="C262" s="1" t="n">
        <v>45975</v>
      </c>
      <c r="D262" t="inlineStr">
        <is>
          <t>VÄSTMANLANDS LÄN</t>
        </is>
      </c>
      <c r="E262" t="inlineStr">
        <is>
          <t>KÖPING</t>
        </is>
      </c>
      <c r="G262" t="n">
        <v>2.3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48962-2025</t>
        </is>
      </c>
      <c r="B263" s="1" t="n">
        <v>45937.55361111111</v>
      </c>
      <c r="C263" s="1" t="n">
        <v>45975</v>
      </c>
      <c r="D263" t="inlineStr">
        <is>
          <t>VÄSTMANLANDS LÄN</t>
        </is>
      </c>
      <c r="E263" t="inlineStr">
        <is>
          <t>KÖPING</t>
        </is>
      </c>
      <c r="G263" t="n">
        <v>3.2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41965-2025</t>
        </is>
      </c>
      <c r="B264" s="1" t="n">
        <v>45903.47314814815</v>
      </c>
      <c r="C264" s="1" t="n">
        <v>45975</v>
      </c>
      <c r="D264" t="inlineStr">
        <is>
          <t>VÄSTMANLANDS LÄN</t>
        </is>
      </c>
      <c r="E264" t="inlineStr">
        <is>
          <t>KÖPING</t>
        </is>
      </c>
      <c r="G264" t="n">
        <v>0.9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48319-2025</t>
        </is>
      </c>
      <c r="B265" s="1" t="n">
        <v>45933.62429398148</v>
      </c>
      <c r="C265" s="1" t="n">
        <v>45975</v>
      </c>
      <c r="D265" t="inlineStr">
        <is>
          <t>VÄSTMANLANDS LÄN</t>
        </is>
      </c>
      <c r="E265" t="inlineStr">
        <is>
          <t>KÖPING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48317-2025</t>
        </is>
      </c>
      <c r="B266" s="1" t="n">
        <v>45933.62094907407</v>
      </c>
      <c r="C266" s="1" t="n">
        <v>45975</v>
      </c>
      <c r="D266" t="inlineStr">
        <is>
          <t>VÄSTMANLANDS LÄN</t>
        </is>
      </c>
      <c r="E266" t="inlineStr">
        <is>
          <t>KÖPING</t>
        </is>
      </c>
      <c r="G266" t="n">
        <v>1.4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20151-2023</t>
        </is>
      </c>
      <c r="B267" s="1" t="n">
        <v>45051</v>
      </c>
      <c r="C267" s="1" t="n">
        <v>45975</v>
      </c>
      <c r="D267" t="inlineStr">
        <is>
          <t>VÄSTMANLANDS LÄN</t>
        </is>
      </c>
      <c r="E267" t="inlineStr">
        <is>
          <t>KÖPING</t>
        </is>
      </c>
      <c r="G267" t="n">
        <v>4.7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26839-2025</t>
        </is>
      </c>
      <c r="B268" s="1" t="n">
        <v>45810.65856481482</v>
      </c>
      <c r="C268" s="1" t="n">
        <v>45975</v>
      </c>
      <c r="D268" t="inlineStr">
        <is>
          <t>VÄSTMANLANDS LÄN</t>
        </is>
      </c>
      <c r="E268" t="inlineStr">
        <is>
          <t>KÖPING</t>
        </is>
      </c>
      <c r="F268" t="inlineStr">
        <is>
          <t>Sveaskog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23386-2023</t>
        </is>
      </c>
      <c r="B269" s="1" t="n">
        <v>45076</v>
      </c>
      <c r="C269" s="1" t="n">
        <v>45975</v>
      </c>
      <c r="D269" t="inlineStr">
        <is>
          <t>VÄSTMANLANDS LÄN</t>
        </is>
      </c>
      <c r="E269" t="inlineStr">
        <is>
          <t>KÖPING</t>
        </is>
      </c>
      <c r="G269" t="n">
        <v>0.9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25804-2022</t>
        </is>
      </c>
      <c r="B270" s="1" t="n">
        <v>44733</v>
      </c>
      <c r="C270" s="1" t="n">
        <v>45975</v>
      </c>
      <c r="D270" t="inlineStr">
        <is>
          <t>VÄSTMANLANDS LÄN</t>
        </is>
      </c>
      <c r="E270" t="inlineStr">
        <is>
          <t>KÖPING</t>
        </is>
      </c>
      <c r="G270" t="n">
        <v>2.4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42905-2025</t>
        </is>
      </c>
      <c r="B271" s="1" t="n">
        <v>45908.6871875</v>
      </c>
      <c r="C271" s="1" t="n">
        <v>45975</v>
      </c>
      <c r="D271" t="inlineStr">
        <is>
          <t>VÄSTMANLANDS LÄN</t>
        </is>
      </c>
      <c r="E271" t="inlineStr">
        <is>
          <t>KÖPING</t>
        </is>
      </c>
      <c r="G271" t="n">
        <v>2.2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42640-2025</t>
        </is>
      </c>
      <c r="B272" s="1" t="n">
        <v>45905.91143518518</v>
      </c>
      <c r="C272" s="1" t="n">
        <v>45975</v>
      </c>
      <c r="D272" t="inlineStr">
        <is>
          <t>VÄSTMANLANDS LÄN</t>
        </is>
      </c>
      <c r="E272" t="inlineStr">
        <is>
          <t>KÖPING</t>
        </is>
      </c>
      <c r="F272" t="inlineStr">
        <is>
          <t>Sveaskog</t>
        </is>
      </c>
      <c r="G272" t="n">
        <v>2.6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26862-2025</t>
        </is>
      </c>
      <c r="B273" s="1" t="n">
        <v>45810.69605324074</v>
      </c>
      <c r="C273" s="1" t="n">
        <v>45975</v>
      </c>
      <c r="D273" t="inlineStr">
        <is>
          <t>VÄSTMANLANDS LÄN</t>
        </is>
      </c>
      <c r="E273" t="inlineStr">
        <is>
          <t>KÖPING</t>
        </is>
      </c>
      <c r="F273" t="inlineStr">
        <is>
          <t>Sveaskog</t>
        </is>
      </c>
      <c r="G273" t="n">
        <v>0.9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18785-2025</t>
        </is>
      </c>
      <c r="B274" s="1" t="n">
        <v>45764</v>
      </c>
      <c r="C274" s="1" t="n">
        <v>45975</v>
      </c>
      <c r="D274" t="inlineStr">
        <is>
          <t>VÄSTMANLANDS LÄN</t>
        </is>
      </c>
      <c r="E274" t="inlineStr">
        <is>
          <t>KÖPING</t>
        </is>
      </c>
      <c r="F274" t="inlineStr">
        <is>
          <t>Sveaskog</t>
        </is>
      </c>
      <c r="G274" t="n">
        <v>0.7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18787-2025</t>
        </is>
      </c>
      <c r="B275" s="1" t="n">
        <v>45764</v>
      </c>
      <c r="C275" s="1" t="n">
        <v>45975</v>
      </c>
      <c r="D275" t="inlineStr">
        <is>
          <t>VÄSTMANLANDS LÄN</t>
        </is>
      </c>
      <c r="E275" t="inlineStr">
        <is>
          <t>KÖPING</t>
        </is>
      </c>
      <c r="F275" t="inlineStr">
        <is>
          <t>Sveaskog</t>
        </is>
      </c>
      <c r="G275" t="n">
        <v>9.699999999999999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26847-2025</t>
        </is>
      </c>
      <c r="B276" s="1" t="n">
        <v>45810.66447916667</v>
      </c>
      <c r="C276" s="1" t="n">
        <v>45975</v>
      </c>
      <c r="D276" t="inlineStr">
        <is>
          <t>VÄSTMANLANDS LÄN</t>
        </is>
      </c>
      <c r="E276" t="inlineStr">
        <is>
          <t>KÖPING</t>
        </is>
      </c>
      <c r="F276" t="inlineStr">
        <is>
          <t>Sveaskog</t>
        </is>
      </c>
      <c r="G276" t="n">
        <v>5.5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26845-2025</t>
        </is>
      </c>
      <c r="B277" s="1" t="n">
        <v>45810.66362268518</v>
      </c>
      <c r="C277" s="1" t="n">
        <v>45975</v>
      </c>
      <c r="D277" t="inlineStr">
        <is>
          <t>VÄSTMANLANDS LÄN</t>
        </is>
      </c>
      <c r="E277" t="inlineStr">
        <is>
          <t>KÖPING</t>
        </is>
      </c>
      <c r="F277" t="inlineStr">
        <is>
          <t>Sveaskog</t>
        </is>
      </c>
      <c r="G277" t="n">
        <v>5.9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10099-2025</t>
        </is>
      </c>
      <c r="B278" s="1" t="n">
        <v>45719.5787037037</v>
      </c>
      <c r="C278" s="1" t="n">
        <v>45975</v>
      </c>
      <c r="D278" t="inlineStr">
        <is>
          <t>VÄSTMANLANDS LÄN</t>
        </is>
      </c>
      <c r="E278" t="inlineStr">
        <is>
          <t>KÖPING</t>
        </is>
      </c>
      <c r="F278" t="inlineStr">
        <is>
          <t>Sveaskog</t>
        </is>
      </c>
      <c r="G278" t="n">
        <v>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63241-2023</t>
        </is>
      </c>
      <c r="B279" s="1" t="n">
        <v>45273</v>
      </c>
      <c r="C279" s="1" t="n">
        <v>45975</v>
      </c>
      <c r="D279" t="inlineStr">
        <is>
          <t>VÄSTMANLANDS LÄN</t>
        </is>
      </c>
      <c r="E279" t="inlineStr">
        <is>
          <t>KÖPING</t>
        </is>
      </c>
      <c r="G279" t="n">
        <v>4.5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2071-2025</t>
        </is>
      </c>
      <c r="B280" s="1" t="n">
        <v>45672.56981481481</v>
      </c>
      <c r="C280" s="1" t="n">
        <v>45975</v>
      </c>
      <c r="D280" t="inlineStr">
        <is>
          <t>VÄSTMANLANDS LÄN</t>
        </is>
      </c>
      <c r="E280" t="inlineStr">
        <is>
          <t>KÖPING</t>
        </is>
      </c>
      <c r="G280" t="n">
        <v>1.5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42637-2025</t>
        </is>
      </c>
      <c r="B281" s="1" t="n">
        <v>45905.90875</v>
      </c>
      <c r="C281" s="1" t="n">
        <v>45975</v>
      </c>
      <c r="D281" t="inlineStr">
        <is>
          <t>VÄSTMANLANDS LÄN</t>
        </is>
      </c>
      <c r="E281" t="inlineStr">
        <is>
          <t>KÖPING</t>
        </is>
      </c>
      <c r="F281" t="inlineStr">
        <is>
          <t>Sveaskog</t>
        </is>
      </c>
      <c r="G281" t="n">
        <v>6.2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42638-2025</t>
        </is>
      </c>
      <c r="B282" s="1" t="n">
        <v>45905.90976851852</v>
      </c>
      <c r="C282" s="1" t="n">
        <v>45975</v>
      </c>
      <c r="D282" t="inlineStr">
        <is>
          <t>VÄSTMANLANDS LÄN</t>
        </is>
      </c>
      <c r="E282" t="inlineStr">
        <is>
          <t>KÖPING</t>
        </is>
      </c>
      <c r="F282" t="inlineStr">
        <is>
          <t>Sveaskog</t>
        </is>
      </c>
      <c r="G282" t="n">
        <v>1.4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42639-2025</t>
        </is>
      </c>
      <c r="B283" s="1" t="n">
        <v>45905.91082175926</v>
      </c>
      <c r="C283" s="1" t="n">
        <v>45975</v>
      </c>
      <c r="D283" t="inlineStr">
        <is>
          <t>VÄSTMANLANDS LÄN</t>
        </is>
      </c>
      <c r="E283" t="inlineStr">
        <is>
          <t>KÖPING</t>
        </is>
      </c>
      <c r="F283" t="inlineStr">
        <is>
          <t>Sveaskog</t>
        </is>
      </c>
      <c r="G283" t="n">
        <v>3.6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42641-2025</t>
        </is>
      </c>
      <c r="B284" s="1" t="n">
        <v>45905.92460648148</v>
      </c>
      <c r="C284" s="1" t="n">
        <v>45975</v>
      </c>
      <c r="D284" t="inlineStr">
        <is>
          <t>VÄSTMANLANDS LÄN</t>
        </is>
      </c>
      <c r="E284" t="inlineStr">
        <is>
          <t>KÖPING</t>
        </is>
      </c>
      <c r="F284" t="inlineStr">
        <is>
          <t>Sveaskog</t>
        </is>
      </c>
      <c r="G284" t="n">
        <v>1.9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68976-2021</t>
        </is>
      </c>
      <c r="B285" s="1" t="n">
        <v>44530</v>
      </c>
      <c r="C285" s="1" t="n">
        <v>45975</v>
      </c>
      <c r="D285" t="inlineStr">
        <is>
          <t>VÄSTMANLANDS LÄN</t>
        </is>
      </c>
      <c r="E285" t="inlineStr">
        <is>
          <t>KÖPING</t>
        </is>
      </c>
      <c r="G285" t="n">
        <v>13.1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45714-2021</t>
        </is>
      </c>
      <c r="B286" s="1" t="n">
        <v>44441</v>
      </c>
      <c r="C286" s="1" t="n">
        <v>45975</v>
      </c>
      <c r="D286" t="inlineStr">
        <is>
          <t>VÄSTMANLANDS LÄN</t>
        </is>
      </c>
      <c r="E286" t="inlineStr">
        <is>
          <t>KÖPING</t>
        </is>
      </c>
      <c r="G286" t="n">
        <v>1.5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27207-2025</t>
        </is>
      </c>
      <c r="B287" s="1" t="n">
        <v>45812.40445601852</v>
      </c>
      <c r="C287" s="1" t="n">
        <v>45975</v>
      </c>
      <c r="D287" t="inlineStr">
        <is>
          <t>VÄSTMANLANDS LÄN</t>
        </is>
      </c>
      <c r="E287" t="inlineStr">
        <is>
          <t>KÖPING</t>
        </is>
      </c>
      <c r="G287" t="n">
        <v>0.6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10750-2023</t>
        </is>
      </c>
      <c r="B288" s="1" t="n">
        <v>44985</v>
      </c>
      <c r="C288" s="1" t="n">
        <v>45975</v>
      </c>
      <c r="D288" t="inlineStr">
        <is>
          <t>VÄSTMANLANDS LÄN</t>
        </is>
      </c>
      <c r="E288" t="inlineStr">
        <is>
          <t>KÖPING</t>
        </is>
      </c>
      <c r="G288" t="n">
        <v>5.9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43171-2025</t>
        </is>
      </c>
      <c r="B289" s="1" t="n">
        <v>45910</v>
      </c>
      <c r="C289" s="1" t="n">
        <v>45975</v>
      </c>
      <c r="D289" t="inlineStr">
        <is>
          <t>VÄSTMANLANDS LÄN</t>
        </is>
      </c>
      <c r="E289" t="inlineStr">
        <is>
          <t>KÖPING</t>
        </is>
      </c>
      <c r="G289" t="n">
        <v>3.3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5225-2025</t>
        </is>
      </c>
      <c r="B290" s="1" t="n">
        <v>45691</v>
      </c>
      <c r="C290" s="1" t="n">
        <v>45975</v>
      </c>
      <c r="D290" t="inlineStr">
        <is>
          <t>VÄSTMANLANDS LÄN</t>
        </is>
      </c>
      <c r="E290" t="inlineStr">
        <is>
          <t>KÖPING</t>
        </is>
      </c>
      <c r="G290" t="n">
        <v>1.3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43187-2025</t>
        </is>
      </c>
      <c r="B291" s="1" t="n">
        <v>45910</v>
      </c>
      <c r="C291" s="1" t="n">
        <v>45975</v>
      </c>
      <c r="D291" t="inlineStr">
        <is>
          <t>VÄSTMANLANDS LÄN</t>
        </is>
      </c>
      <c r="E291" t="inlineStr">
        <is>
          <t>KÖPING</t>
        </is>
      </c>
      <c r="G291" t="n">
        <v>0.2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27830-2025</t>
        </is>
      </c>
      <c r="B292" s="1" t="n">
        <v>45817.35802083334</v>
      </c>
      <c r="C292" s="1" t="n">
        <v>45975</v>
      </c>
      <c r="D292" t="inlineStr">
        <is>
          <t>VÄSTMANLANDS LÄN</t>
        </is>
      </c>
      <c r="E292" t="inlineStr">
        <is>
          <t>KÖPING</t>
        </is>
      </c>
      <c r="G292" t="n">
        <v>1.3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61322-2023</t>
        </is>
      </c>
      <c r="B293" s="1" t="n">
        <v>45264.57892361111</v>
      </c>
      <c r="C293" s="1" t="n">
        <v>45975</v>
      </c>
      <c r="D293" t="inlineStr">
        <is>
          <t>VÄSTMANLANDS LÄN</t>
        </is>
      </c>
      <c r="E293" t="inlineStr">
        <is>
          <t>KÖPING</t>
        </is>
      </c>
      <c r="G293" t="n">
        <v>17.5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43245-2025</t>
        </is>
      </c>
      <c r="B294" s="1" t="n">
        <v>45910.54754629629</v>
      </c>
      <c r="C294" s="1" t="n">
        <v>45975</v>
      </c>
      <c r="D294" t="inlineStr">
        <is>
          <t>VÄSTMANLANDS LÄN</t>
        </is>
      </c>
      <c r="E294" t="inlineStr">
        <is>
          <t>KÖPING</t>
        </is>
      </c>
      <c r="G294" t="n">
        <v>7.1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43174-2025</t>
        </is>
      </c>
      <c r="B295" s="1" t="n">
        <v>45910</v>
      </c>
      <c r="C295" s="1" t="n">
        <v>45975</v>
      </c>
      <c r="D295" t="inlineStr">
        <is>
          <t>VÄSTMANLANDS LÄN</t>
        </is>
      </c>
      <c r="E295" t="inlineStr">
        <is>
          <t>KÖPING</t>
        </is>
      </c>
      <c r="G295" t="n">
        <v>1.4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43179-2025</t>
        </is>
      </c>
      <c r="B296" s="1" t="n">
        <v>45910</v>
      </c>
      <c r="C296" s="1" t="n">
        <v>45975</v>
      </c>
      <c r="D296" t="inlineStr">
        <is>
          <t>VÄSTMANLANDS LÄN</t>
        </is>
      </c>
      <c r="E296" t="inlineStr">
        <is>
          <t>KÖPING</t>
        </is>
      </c>
      <c r="G296" t="n">
        <v>1.3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61083-2022</t>
        </is>
      </c>
      <c r="B297" s="1" t="n">
        <v>44915</v>
      </c>
      <c r="C297" s="1" t="n">
        <v>45975</v>
      </c>
      <c r="D297" t="inlineStr">
        <is>
          <t>VÄSTMANLANDS LÄN</t>
        </is>
      </c>
      <c r="E297" t="inlineStr">
        <is>
          <t>KÖPING</t>
        </is>
      </c>
      <c r="G297" t="n">
        <v>6.7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43183-2025</t>
        </is>
      </c>
      <c r="B298" s="1" t="n">
        <v>45910</v>
      </c>
      <c r="C298" s="1" t="n">
        <v>45975</v>
      </c>
      <c r="D298" t="inlineStr">
        <is>
          <t>VÄSTMANLANDS LÄN</t>
        </is>
      </c>
      <c r="E298" t="inlineStr">
        <is>
          <t>KÖPING</t>
        </is>
      </c>
      <c r="G298" t="n">
        <v>0.4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43192-2025</t>
        </is>
      </c>
      <c r="B299" s="1" t="n">
        <v>45910.42025462963</v>
      </c>
      <c r="C299" s="1" t="n">
        <v>45975</v>
      </c>
      <c r="D299" t="inlineStr">
        <is>
          <t>VÄSTMANLANDS LÄN</t>
        </is>
      </c>
      <c r="E299" t="inlineStr">
        <is>
          <t>KÖPING</t>
        </is>
      </c>
      <c r="F299" t="inlineStr">
        <is>
          <t>Sveaskog</t>
        </is>
      </c>
      <c r="G299" t="n">
        <v>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41583-2022</t>
        </is>
      </c>
      <c r="B300" s="1" t="n">
        <v>44827</v>
      </c>
      <c r="C300" s="1" t="n">
        <v>45975</v>
      </c>
      <c r="D300" t="inlineStr">
        <is>
          <t>VÄSTMANLANDS LÄN</t>
        </is>
      </c>
      <c r="E300" t="inlineStr">
        <is>
          <t>KÖPING</t>
        </is>
      </c>
      <c r="F300" t="inlineStr">
        <is>
          <t>Sveaskog</t>
        </is>
      </c>
      <c r="G300" t="n">
        <v>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13042-2025</t>
        </is>
      </c>
      <c r="B301" s="1" t="n">
        <v>45734</v>
      </c>
      <c r="C301" s="1" t="n">
        <v>45975</v>
      </c>
      <c r="D301" t="inlineStr">
        <is>
          <t>VÄSTMANLANDS LÄN</t>
        </is>
      </c>
      <c r="E301" t="inlineStr">
        <is>
          <t>KÖPING</t>
        </is>
      </c>
      <c r="F301" t="inlineStr">
        <is>
          <t>Sveaskog</t>
        </is>
      </c>
      <c r="G301" t="n">
        <v>1.4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13046-2025</t>
        </is>
      </c>
      <c r="B302" s="1" t="n">
        <v>45734.5908449074</v>
      </c>
      <c r="C302" s="1" t="n">
        <v>45975</v>
      </c>
      <c r="D302" t="inlineStr">
        <is>
          <t>VÄSTMANLANDS LÄN</t>
        </is>
      </c>
      <c r="E302" t="inlineStr">
        <is>
          <t>KÖPING</t>
        </is>
      </c>
      <c r="F302" t="inlineStr">
        <is>
          <t>Sveaskog</t>
        </is>
      </c>
      <c r="G302" t="n">
        <v>2.1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13049-2025</t>
        </is>
      </c>
      <c r="B303" s="1" t="n">
        <v>45734.59259259259</v>
      </c>
      <c r="C303" s="1" t="n">
        <v>45975</v>
      </c>
      <c r="D303" t="inlineStr">
        <is>
          <t>VÄSTMANLANDS LÄN</t>
        </is>
      </c>
      <c r="E303" t="inlineStr">
        <is>
          <t>KÖPING</t>
        </is>
      </c>
      <c r="F303" t="inlineStr">
        <is>
          <t>Sveaskog</t>
        </is>
      </c>
      <c r="G303" t="n">
        <v>1.4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28073-2025</t>
        </is>
      </c>
      <c r="B304" s="1" t="n">
        <v>45817.67819444444</v>
      </c>
      <c r="C304" s="1" t="n">
        <v>45975</v>
      </c>
      <c r="D304" t="inlineStr">
        <is>
          <t>VÄSTMANLANDS LÄN</t>
        </is>
      </c>
      <c r="E304" t="inlineStr">
        <is>
          <t>KÖPING</t>
        </is>
      </c>
      <c r="G304" t="n">
        <v>3.7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52799-2021</t>
        </is>
      </c>
      <c r="B305" s="1" t="n">
        <v>44467</v>
      </c>
      <c r="C305" s="1" t="n">
        <v>45975</v>
      </c>
      <c r="D305" t="inlineStr">
        <is>
          <t>VÄSTMANLANDS LÄN</t>
        </is>
      </c>
      <c r="E305" t="inlineStr">
        <is>
          <t>KÖPING</t>
        </is>
      </c>
      <c r="G305" t="n">
        <v>0.4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28872-2025</t>
        </is>
      </c>
      <c r="B306" s="1" t="n">
        <v>45820.61172453704</v>
      </c>
      <c r="C306" s="1" t="n">
        <v>45975</v>
      </c>
      <c r="D306" t="inlineStr">
        <is>
          <t>VÄSTMANLANDS LÄN</t>
        </is>
      </c>
      <c r="E306" t="inlineStr">
        <is>
          <t>KÖPING</t>
        </is>
      </c>
      <c r="F306" t="inlineStr">
        <is>
          <t>Sveaskog</t>
        </is>
      </c>
      <c r="G306" t="n">
        <v>0.4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28498-2025</t>
        </is>
      </c>
      <c r="B307" s="1" t="n">
        <v>45819.47072916666</v>
      </c>
      <c r="C307" s="1" t="n">
        <v>45975</v>
      </c>
      <c r="D307" t="inlineStr">
        <is>
          <t>VÄSTMANLANDS LÄN</t>
        </is>
      </c>
      <c r="E307" t="inlineStr">
        <is>
          <t>KÖPING</t>
        </is>
      </c>
      <c r="F307" t="inlineStr">
        <is>
          <t>Sveaskog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54657-2023</t>
        </is>
      </c>
      <c r="B308" s="1" t="n">
        <v>45235</v>
      </c>
      <c r="C308" s="1" t="n">
        <v>45975</v>
      </c>
      <c r="D308" t="inlineStr">
        <is>
          <t>VÄSTMANLANDS LÄN</t>
        </is>
      </c>
      <c r="E308" t="inlineStr">
        <is>
          <t>KÖPING</t>
        </is>
      </c>
      <c r="G308" t="n">
        <v>4.2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61358-2023</t>
        </is>
      </c>
      <c r="B309" s="1" t="n">
        <v>45264.60923611111</v>
      </c>
      <c r="C309" s="1" t="n">
        <v>45975</v>
      </c>
      <c r="D309" t="inlineStr">
        <is>
          <t>VÄSTMANLANDS LÄN</t>
        </is>
      </c>
      <c r="E309" t="inlineStr">
        <is>
          <t>KÖPING</t>
        </is>
      </c>
      <c r="G309" t="n">
        <v>1.1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29346-2025</t>
        </is>
      </c>
      <c r="B310" s="1" t="n">
        <v>45824.51021990741</v>
      </c>
      <c r="C310" s="1" t="n">
        <v>45975</v>
      </c>
      <c r="D310" t="inlineStr">
        <is>
          <t>VÄSTMANLANDS LÄN</t>
        </is>
      </c>
      <c r="E310" t="inlineStr">
        <is>
          <t>KÖPING</t>
        </is>
      </c>
      <c r="G310" t="n">
        <v>0.8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67005-2020</t>
        </is>
      </c>
      <c r="B311" s="1" t="n">
        <v>44180</v>
      </c>
      <c r="C311" s="1" t="n">
        <v>45975</v>
      </c>
      <c r="D311" t="inlineStr">
        <is>
          <t>VÄSTMANLANDS LÄN</t>
        </is>
      </c>
      <c r="E311" t="inlineStr">
        <is>
          <t>KÖPING</t>
        </is>
      </c>
      <c r="F311" t="inlineStr">
        <is>
          <t>Allmännings- och besparingsskogar</t>
        </is>
      </c>
      <c r="G311" t="n">
        <v>4.6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52481-2025</t>
        </is>
      </c>
      <c r="B312" s="1" t="n">
        <v>45954.47333333334</v>
      </c>
      <c r="C312" s="1" t="n">
        <v>45975</v>
      </c>
      <c r="D312" t="inlineStr">
        <is>
          <t>VÄSTMANLANDS LÄN</t>
        </is>
      </c>
      <c r="E312" t="inlineStr">
        <is>
          <t>KÖPING</t>
        </is>
      </c>
      <c r="G312" t="n">
        <v>4.5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57760-2022</t>
        </is>
      </c>
      <c r="B313" s="1" t="n">
        <v>44897</v>
      </c>
      <c r="C313" s="1" t="n">
        <v>45975</v>
      </c>
      <c r="D313" t="inlineStr">
        <is>
          <t>VÄSTMANLANDS LÄN</t>
        </is>
      </c>
      <c r="E313" t="inlineStr">
        <is>
          <t>KÖPING</t>
        </is>
      </c>
      <c r="G313" t="n">
        <v>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14114-2024</t>
        </is>
      </c>
      <c r="B314" s="1" t="n">
        <v>45392.63758101852</v>
      </c>
      <c r="C314" s="1" t="n">
        <v>45975</v>
      </c>
      <c r="D314" t="inlineStr">
        <is>
          <t>VÄSTMANLANDS LÄN</t>
        </is>
      </c>
      <c r="E314" t="inlineStr">
        <is>
          <t>KÖPING</t>
        </is>
      </c>
      <c r="G314" t="n">
        <v>2.1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46126-2022</t>
        </is>
      </c>
      <c r="B315" s="1" t="n">
        <v>44847</v>
      </c>
      <c r="C315" s="1" t="n">
        <v>45975</v>
      </c>
      <c r="D315" t="inlineStr">
        <is>
          <t>VÄSTMANLANDS LÄN</t>
        </is>
      </c>
      <c r="E315" t="inlineStr">
        <is>
          <t>KÖPING</t>
        </is>
      </c>
      <c r="G315" t="n">
        <v>17.5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22793-2024</t>
        </is>
      </c>
      <c r="B316" s="1" t="n">
        <v>45448</v>
      </c>
      <c r="C316" s="1" t="n">
        <v>45975</v>
      </c>
      <c r="D316" t="inlineStr">
        <is>
          <t>VÄSTMANLANDS LÄN</t>
        </is>
      </c>
      <c r="E316" t="inlineStr">
        <is>
          <t>KÖPING</t>
        </is>
      </c>
      <c r="G316" t="n">
        <v>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60991-2023</t>
        </is>
      </c>
      <c r="B317" s="1" t="n">
        <v>45261</v>
      </c>
      <c r="C317" s="1" t="n">
        <v>45975</v>
      </c>
      <c r="D317" t="inlineStr">
        <is>
          <t>VÄSTMANLANDS LÄN</t>
        </is>
      </c>
      <c r="E317" t="inlineStr">
        <is>
          <t>KÖPING</t>
        </is>
      </c>
      <c r="F317" t="inlineStr">
        <is>
          <t>Sveaskog</t>
        </is>
      </c>
      <c r="G317" t="n">
        <v>0.5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33989-2024</t>
        </is>
      </c>
      <c r="B318" s="1" t="n">
        <v>45523</v>
      </c>
      <c r="C318" s="1" t="n">
        <v>45975</v>
      </c>
      <c r="D318" t="inlineStr">
        <is>
          <t>VÄSTMANLANDS LÄN</t>
        </is>
      </c>
      <c r="E318" t="inlineStr">
        <is>
          <t>KÖPING</t>
        </is>
      </c>
      <c r="G318" t="n">
        <v>2.1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17345-2022</t>
        </is>
      </c>
      <c r="B319" s="1" t="n">
        <v>44678.5628125</v>
      </c>
      <c r="C319" s="1" t="n">
        <v>45975</v>
      </c>
      <c r="D319" t="inlineStr">
        <is>
          <t>VÄSTMANLANDS LÄN</t>
        </is>
      </c>
      <c r="E319" t="inlineStr">
        <is>
          <t>KÖPING</t>
        </is>
      </c>
      <c r="G319" t="n">
        <v>3.2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59735-2022</t>
        </is>
      </c>
      <c r="B320" s="1" t="n">
        <v>44908.45452546296</v>
      </c>
      <c r="C320" s="1" t="n">
        <v>45975</v>
      </c>
      <c r="D320" t="inlineStr">
        <is>
          <t>VÄSTMANLANDS LÄN</t>
        </is>
      </c>
      <c r="E320" t="inlineStr">
        <is>
          <t>KÖPING</t>
        </is>
      </c>
      <c r="G320" t="n">
        <v>3.9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30136-2025</t>
        </is>
      </c>
      <c r="B321" s="1" t="n">
        <v>45826.87413194445</v>
      </c>
      <c r="C321" s="1" t="n">
        <v>45975</v>
      </c>
      <c r="D321" t="inlineStr">
        <is>
          <t>VÄSTMANLANDS LÄN</t>
        </is>
      </c>
      <c r="E321" t="inlineStr">
        <is>
          <t>KÖPING</t>
        </is>
      </c>
      <c r="G321" t="n">
        <v>3.3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44171-2025</t>
        </is>
      </c>
      <c r="B322" s="1" t="n">
        <v>45915.60108796296</v>
      </c>
      <c r="C322" s="1" t="n">
        <v>45975</v>
      </c>
      <c r="D322" t="inlineStr">
        <is>
          <t>VÄSTMANLANDS LÄN</t>
        </is>
      </c>
      <c r="E322" t="inlineStr">
        <is>
          <t>KÖPING</t>
        </is>
      </c>
      <c r="F322" t="inlineStr">
        <is>
          <t>Sveaskog</t>
        </is>
      </c>
      <c r="G322" t="n">
        <v>2.1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45048-2024</t>
        </is>
      </c>
      <c r="B323" s="1" t="n">
        <v>45575</v>
      </c>
      <c r="C323" s="1" t="n">
        <v>45975</v>
      </c>
      <c r="D323" t="inlineStr">
        <is>
          <t>VÄSTMANLANDS LÄN</t>
        </is>
      </c>
      <c r="E323" t="inlineStr">
        <is>
          <t>KÖPING</t>
        </is>
      </c>
      <c r="F323" t="inlineStr">
        <is>
          <t>Sveaskog</t>
        </is>
      </c>
      <c r="G323" t="n">
        <v>3.4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61202-2020</t>
        </is>
      </c>
      <c r="B324" s="1" t="n">
        <v>44155</v>
      </c>
      <c r="C324" s="1" t="n">
        <v>45975</v>
      </c>
      <c r="D324" t="inlineStr">
        <is>
          <t>VÄSTMANLANDS LÄN</t>
        </is>
      </c>
      <c r="E324" t="inlineStr">
        <is>
          <t>KÖPING</t>
        </is>
      </c>
      <c r="G324" t="n">
        <v>1.7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61203-2020</t>
        </is>
      </c>
      <c r="B325" s="1" t="n">
        <v>44155</v>
      </c>
      <c r="C325" s="1" t="n">
        <v>45975</v>
      </c>
      <c r="D325" t="inlineStr">
        <is>
          <t>VÄSTMANLANDS LÄN</t>
        </is>
      </c>
      <c r="E325" t="inlineStr">
        <is>
          <t>KÖPING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1812-2022</t>
        </is>
      </c>
      <c r="B326" s="1" t="n">
        <v>44574</v>
      </c>
      <c r="C326" s="1" t="n">
        <v>45975</v>
      </c>
      <c r="D326" t="inlineStr">
        <is>
          <t>VÄSTMANLANDS LÄN</t>
        </is>
      </c>
      <c r="E326" t="inlineStr">
        <is>
          <t>KÖPING</t>
        </is>
      </c>
      <c r="G326" t="n">
        <v>4.4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31071-2025</t>
        </is>
      </c>
      <c r="B327" s="1" t="n">
        <v>45832.57935185185</v>
      </c>
      <c r="C327" s="1" t="n">
        <v>45975</v>
      </c>
      <c r="D327" t="inlineStr">
        <is>
          <t>VÄSTMANLANDS LÄN</t>
        </is>
      </c>
      <c r="E327" t="inlineStr">
        <is>
          <t>KÖPING</t>
        </is>
      </c>
      <c r="F327" t="inlineStr">
        <is>
          <t>Sveaskog</t>
        </is>
      </c>
      <c r="G327" t="n">
        <v>1.3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31068-2025</t>
        </is>
      </c>
      <c r="B328" s="1" t="n">
        <v>45832.57855324074</v>
      </c>
      <c r="C328" s="1" t="n">
        <v>45975</v>
      </c>
      <c r="D328" t="inlineStr">
        <is>
          <t>VÄSTMANLANDS LÄN</t>
        </is>
      </c>
      <c r="E328" t="inlineStr">
        <is>
          <t>KÖPING</t>
        </is>
      </c>
      <c r="F328" t="inlineStr">
        <is>
          <t>Sveaskog</t>
        </is>
      </c>
      <c r="G328" t="n">
        <v>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17204-2023</t>
        </is>
      </c>
      <c r="B329" s="1" t="n">
        <v>45034.91637731482</v>
      </c>
      <c r="C329" s="1" t="n">
        <v>45975</v>
      </c>
      <c r="D329" t="inlineStr">
        <is>
          <t>VÄSTMANLANDS LÄN</t>
        </is>
      </c>
      <c r="E329" t="inlineStr">
        <is>
          <t>KÖPING</t>
        </is>
      </c>
      <c r="G329" t="n">
        <v>1.8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6830-2021</t>
        </is>
      </c>
      <c r="B330" s="1" t="n">
        <v>44236</v>
      </c>
      <c r="C330" s="1" t="n">
        <v>45975</v>
      </c>
      <c r="D330" t="inlineStr">
        <is>
          <t>VÄSTMANLANDS LÄN</t>
        </is>
      </c>
      <c r="E330" t="inlineStr">
        <is>
          <t>KÖPING</t>
        </is>
      </c>
      <c r="G330" t="n">
        <v>4.5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31582-2025</t>
        </is>
      </c>
      <c r="B331" s="1" t="n">
        <v>45833.68644675926</v>
      </c>
      <c r="C331" s="1" t="n">
        <v>45975</v>
      </c>
      <c r="D331" t="inlineStr">
        <is>
          <t>VÄSTMANLANDS LÄN</t>
        </is>
      </c>
      <c r="E331" t="inlineStr">
        <is>
          <t>KÖPING</t>
        </is>
      </c>
      <c r="G331" t="n">
        <v>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31496-2025</t>
        </is>
      </c>
      <c r="B332" s="1" t="n">
        <v>45833</v>
      </c>
      <c r="C332" s="1" t="n">
        <v>45975</v>
      </c>
      <c r="D332" t="inlineStr">
        <is>
          <t>VÄSTMANLANDS LÄN</t>
        </is>
      </c>
      <c r="E332" t="inlineStr">
        <is>
          <t>KÖPING</t>
        </is>
      </c>
      <c r="G332" t="n">
        <v>7.3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31839-2025</t>
        </is>
      </c>
      <c r="B333" s="1" t="n">
        <v>45834</v>
      </c>
      <c r="C333" s="1" t="n">
        <v>45975</v>
      </c>
      <c r="D333" t="inlineStr">
        <is>
          <t>VÄSTMANLANDS LÄN</t>
        </is>
      </c>
      <c r="E333" t="inlineStr">
        <is>
          <t>KÖPING</t>
        </is>
      </c>
      <c r="F333" t="inlineStr">
        <is>
          <t>Sveaskog</t>
        </is>
      </c>
      <c r="G333" t="n">
        <v>2.1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38844-2024</t>
        </is>
      </c>
      <c r="B334" s="1" t="n">
        <v>45547</v>
      </c>
      <c r="C334" s="1" t="n">
        <v>45975</v>
      </c>
      <c r="D334" t="inlineStr">
        <is>
          <t>VÄSTMANLANDS LÄN</t>
        </is>
      </c>
      <c r="E334" t="inlineStr">
        <is>
          <t>KÖPING</t>
        </is>
      </c>
      <c r="G334" t="n">
        <v>0.9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31830-2025</t>
        </is>
      </c>
      <c r="B335" s="1" t="n">
        <v>45834.5888425926</v>
      </c>
      <c r="C335" s="1" t="n">
        <v>45975</v>
      </c>
      <c r="D335" t="inlineStr">
        <is>
          <t>VÄSTMANLANDS LÄN</t>
        </is>
      </c>
      <c r="E335" t="inlineStr">
        <is>
          <t>KÖPING</t>
        </is>
      </c>
      <c r="F335" t="inlineStr">
        <is>
          <t>Sveaskog</t>
        </is>
      </c>
      <c r="G335" t="n">
        <v>2.7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36476-2024</t>
        </is>
      </c>
      <c r="B336" s="1" t="n">
        <v>45537.36153935185</v>
      </c>
      <c r="C336" s="1" t="n">
        <v>45975</v>
      </c>
      <c r="D336" t="inlineStr">
        <is>
          <t>VÄSTMANLANDS LÄN</t>
        </is>
      </c>
      <c r="E336" t="inlineStr">
        <is>
          <t>KÖPING</t>
        </is>
      </c>
      <c r="G336" t="n">
        <v>3.4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31738-2025</t>
        </is>
      </c>
      <c r="B337" s="1" t="n">
        <v>45834</v>
      </c>
      <c r="C337" s="1" t="n">
        <v>45975</v>
      </c>
      <c r="D337" t="inlineStr">
        <is>
          <t>VÄSTMANLANDS LÄN</t>
        </is>
      </c>
      <c r="E337" t="inlineStr">
        <is>
          <t>KÖPING</t>
        </is>
      </c>
      <c r="G337" t="n">
        <v>11.2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53351-2025</t>
        </is>
      </c>
      <c r="B338" s="1" t="n">
        <v>45959.44415509259</v>
      </c>
      <c r="C338" s="1" t="n">
        <v>45975</v>
      </c>
      <c r="D338" t="inlineStr">
        <is>
          <t>VÄSTMANLANDS LÄN</t>
        </is>
      </c>
      <c r="E338" t="inlineStr">
        <is>
          <t>KÖPING</t>
        </is>
      </c>
      <c r="F338" t="inlineStr">
        <is>
          <t>Sveaskog</t>
        </is>
      </c>
      <c r="G338" t="n">
        <v>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39836-2024</t>
        </is>
      </c>
      <c r="B339" s="1" t="n">
        <v>45553.41850694444</v>
      </c>
      <c r="C339" s="1" t="n">
        <v>45975</v>
      </c>
      <c r="D339" t="inlineStr">
        <is>
          <t>VÄSTMANLANDS LÄN</t>
        </is>
      </c>
      <c r="E339" t="inlineStr">
        <is>
          <t>KÖPING</t>
        </is>
      </c>
      <c r="G339" t="n">
        <v>2.4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18162-2025</t>
        </is>
      </c>
      <c r="B340" s="1" t="n">
        <v>45761</v>
      </c>
      <c r="C340" s="1" t="n">
        <v>45975</v>
      </c>
      <c r="D340" t="inlineStr">
        <is>
          <t>VÄSTMANLANDS LÄN</t>
        </is>
      </c>
      <c r="E340" t="inlineStr">
        <is>
          <t>KÖPING</t>
        </is>
      </c>
      <c r="G340" t="n">
        <v>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60485-2022</t>
        </is>
      </c>
      <c r="B341" s="1" t="n">
        <v>44911.4296412037</v>
      </c>
      <c r="C341" s="1" t="n">
        <v>45975</v>
      </c>
      <c r="D341" t="inlineStr">
        <is>
          <t>VÄSTMANLANDS LÄN</t>
        </is>
      </c>
      <c r="E341" t="inlineStr">
        <is>
          <t>KÖPING</t>
        </is>
      </c>
      <c r="G341" t="n">
        <v>1.1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55114-2025</t>
        </is>
      </c>
      <c r="B342" s="1" t="n">
        <v>45968.38443287037</v>
      </c>
      <c r="C342" s="1" t="n">
        <v>45975</v>
      </c>
      <c r="D342" t="inlineStr">
        <is>
          <t>VÄSTMANLANDS LÄN</t>
        </is>
      </c>
      <c r="E342" t="inlineStr">
        <is>
          <t>KÖPING</t>
        </is>
      </c>
      <c r="G342" t="n">
        <v>15.5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31580-2025</t>
        </is>
      </c>
      <c r="B343" s="1" t="n">
        <v>45833</v>
      </c>
      <c r="C343" s="1" t="n">
        <v>45975</v>
      </c>
      <c r="D343" t="inlineStr">
        <is>
          <t>VÄSTMANLANDS LÄN</t>
        </is>
      </c>
      <c r="E343" t="inlineStr">
        <is>
          <t>KÖPING</t>
        </is>
      </c>
      <c r="G343" t="n">
        <v>1.5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15657-2023</t>
        </is>
      </c>
      <c r="B344" s="1" t="n">
        <v>45021</v>
      </c>
      <c r="C344" s="1" t="n">
        <v>45975</v>
      </c>
      <c r="D344" t="inlineStr">
        <is>
          <t>VÄSTMANLANDS LÄN</t>
        </is>
      </c>
      <c r="E344" t="inlineStr">
        <is>
          <t>KÖPING</t>
        </is>
      </c>
      <c r="G344" t="n">
        <v>0.5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54204-2025</t>
        </is>
      </c>
      <c r="B345" s="1" t="n">
        <v>45964.5841087963</v>
      </c>
      <c r="C345" s="1" t="n">
        <v>45975</v>
      </c>
      <c r="D345" t="inlineStr">
        <is>
          <t>VÄSTMANLANDS LÄN</t>
        </is>
      </c>
      <c r="E345" t="inlineStr">
        <is>
          <t>KÖPING</t>
        </is>
      </c>
      <c r="G345" t="n">
        <v>1.8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33491-2025</t>
        </is>
      </c>
      <c r="B346" s="1" t="n">
        <v>45841</v>
      </c>
      <c r="C346" s="1" t="n">
        <v>45975</v>
      </c>
      <c r="D346" t="inlineStr">
        <is>
          <t>VÄSTMANLANDS LÄN</t>
        </is>
      </c>
      <c r="E346" t="inlineStr">
        <is>
          <t>KÖPING</t>
        </is>
      </c>
      <c r="F346" t="inlineStr">
        <is>
          <t>Sveaskog</t>
        </is>
      </c>
      <c r="G346" t="n">
        <v>4.2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33503-2025</t>
        </is>
      </c>
      <c r="B347" s="1" t="n">
        <v>45841</v>
      </c>
      <c r="C347" s="1" t="n">
        <v>45975</v>
      </c>
      <c r="D347" t="inlineStr">
        <is>
          <t>VÄSTMANLANDS LÄN</t>
        </is>
      </c>
      <c r="E347" t="inlineStr">
        <is>
          <t>KÖPING</t>
        </is>
      </c>
      <c r="F347" t="inlineStr">
        <is>
          <t>Sveaskog</t>
        </is>
      </c>
      <c r="G347" t="n">
        <v>1.2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33508-2025</t>
        </is>
      </c>
      <c r="B348" s="1" t="n">
        <v>45841</v>
      </c>
      <c r="C348" s="1" t="n">
        <v>45975</v>
      </c>
      <c r="D348" t="inlineStr">
        <is>
          <t>VÄSTMANLANDS LÄN</t>
        </is>
      </c>
      <c r="E348" t="inlineStr">
        <is>
          <t>KÖPING</t>
        </is>
      </c>
      <c r="F348" t="inlineStr">
        <is>
          <t>Sveaskog</t>
        </is>
      </c>
      <c r="G348" t="n">
        <v>5.8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33499-2025</t>
        </is>
      </c>
      <c r="B349" s="1" t="n">
        <v>45841</v>
      </c>
      <c r="C349" s="1" t="n">
        <v>45975</v>
      </c>
      <c r="D349" t="inlineStr">
        <is>
          <t>VÄSTMANLANDS LÄN</t>
        </is>
      </c>
      <c r="E349" t="inlineStr">
        <is>
          <t>KÖPING</t>
        </is>
      </c>
      <c r="F349" t="inlineStr">
        <is>
          <t>Sveaskog</t>
        </is>
      </c>
      <c r="G349" t="n">
        <v>4.2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33505-2025</t>
        </is>
      </c>
      <c r="B350" s="1" t="n">
        <v>45841</v>
      </c>
      <c r="C350" s="1" t="n">
        <v>45975</v>
      </c>
      <c r="D350" t="inlineStr">
        <is>
          <t>VÄSTMANLANDS LÄN</t>
        </is>
      </c>
      <c r="E350" t="inlineStr">
        <is>
          <t>KÖPING</t>
        </is>
      </c>
      <c r="F350" t="inlineStr">
        <is>
          <t>Sveaskog</t>
        </is>
      </c>
      <c r="G350" t="n">
        <v>4.4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54730-2025</t>
        </is>
      </c>
      <c r="B351" s="1" t="n">
        <v>45966.55922453704</v>
      </c>
      <c r="C351" s="1" t="n">
        <v>45975</v>
      </c>
      <c r="D351" t="inlineStr">
        <is>
          <t>VÄSTMANLANDS LÄN</t>
        </is>
      </c>
      <c r="E351" t="inlineStr">
        <is>
          <t>KÖPING</t>
        </is>
      </c>
      <c r="G351" t="n">
        <v>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21157-2025</t>
        </is>
      </c>
      <c r="B352" s="1" t="n">
        <v>45779</v>
      </c>
      <c r="C352" s="1" t="n">
        <v>45975</v>
      </c>
      <c r="D352" t="inlineStr">
        <is>
          <t>VÄSTMANLANDS LÄN</t>
        </is>
      </c>
      <c r="E352" t="inlineStr">
        <is>
          <t>KÖPING</t>
        </is>
      </c>
      <c r="G352" t="n">
        <v>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44621-2023</t>
        </is>
      </c>
      <c r="B353" s="1" t="n">
        <v>45189.64144675926</v>
      </c>
      <c r="C353" s="1" t="n">
        <v>45975</v>
      </c>
      <c r="D353" t="inlineStr">
        <is>
          <t>VÄSTMANLANDS LÄN</t>
        </is>
      </c>
      <c r="E353" t="inlineStr">
        <is>
          <t>KÖPING</t>
        </is>
      </c>
      <c r="G353" t="n">
        <v>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47681-2025</t>
        </is>
      </c>
      <c r="B354" s="1" t="n">
        <v>45931.58202546297</v>
      </c>
      <c r="C354" s="1" t="n">
        <v>45975</v>
      </c>
      <c r="D354" t="inlineStr">
        <is>
          <t>VÄSTMANLANDS LÄN</t>
        </is>
      </c>
      <c r="E354" t="inlineStr">
        <is>
          <t>KÖPING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53996-2021</t>
        </is>
      </c>
      <c r="B355" s="1" t="n">
        <v>44470</v>
      </c>
      <c r="C355" s="1" t="n">
        <v>45975</v>
      </c>
      <c r="D355" t="inlineStr">
        <is>
          <t>VÄSTMANLANDS LÄN</t>
        </is>
      </c>
      <c r="E355" t="inlineStr">
        <is>
          <t>KÖPING</t>
        </is>
      </c>
      <c r="G355" t="n">
        <v>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56293-2025</t>
        </is>
      </c>
      <c r="B356" s="1" t="n">
        <v>45974.59898148148</v>
      </c>
      <c r="C356" s="1" t="n">
        <v>45975</v>
      </c>
      <c r="D356" t="inlineStr">
        <is>
          <t>VÄSTMANLANDS LÄN</t>
        </is>
      </c>
      <c r="E356" t="inlineStr">
        <is>
          <t>KÖPING</t>
        </is>
      </c>
      <c r="F356" t="inlineStr">
        <is>
          <t>Sveaskog</t>
        </is>
      </c>
      <c r="G356" t="n">
        <v>3.5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56301-2025</t>
        </is>
      </c>
      <c r="B357" s="1" t="n">
        <v>45974.60709490741</v>
      </c>
      <c r="C357" s="1" t="n">
        <v>45975</v>
      </c>
      <c r="D357" t="inlineStr">
        <is>
          <t>VÄSTMANLANDS LÄN</t>
        </is>
      </c>
      <c r="E357" t="inlineStr">
        <is>
          <t>KÖPING</t>
        </is>
      </c>
      <c r="F357" t="inlineStr">
        <is>
          <t>Sveaskog</t>
        </is>
      </c>
      <c r="G357" t="n">
        <v>1.3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47574-2025</t>
        </is>
      </c>
      <c r="B358" s="1" t="n">
        <v>45931.39986111111</v>
      </c>
      <c r="C358" s="1" t="n">
        <v>45975</v>
      </c>
      <c r="D358" t="inlineStr">
        <is>
          <t>VÄSTMANLANDS LÄN</t>
        </is>
      </c>
      <c r="E358" t="inlineStr">
        <is>
          <t>KÖPING</t>
        </is>
      </c>
      <c r="F358" t="inlineStr">
        <is>
          <t>Sveaskog</t>
        </is>
      </c>
      <c r="G358" t="n">
        <v>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56298-2025</t>
        </is>
      </c>
      <c r="B359" s="1" t="n">
        <v>45974.60434027778</v>
      </c>
      <c r="C359" s="1" t="n">
        <v>45975</v>
      </c>
      <c r="D359" t="inlineStr">
        <is>
          <t>VÄSTMANLANDS LÄN</t>
        </is>
      </c>
      <c r="E359" t="inlineStr">
        <is>
          <t>KÖPING</t>
        </is>
      </c>
      <c r="F359" t="inlineStr">
        <is>
          <t>Sveaskog</t>
        </is>
      </c>
      <c r="G359" t="n">
        <v>2.2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56287-2025</t>
        </is>
      </c>
      <c r="B360" s="1" t="n">
        <v>45974.5968287037</v>
      </c>
      <c r="C360" s="1" t="n">
        <v>45975</v>
      </c>
      <c r="D360" t="inlineStr">
        <is>
          <t>VÄSTMANLANDS LÄN</t>
        </is>
      </c>
      <c r="E360" t="inlineStr">
        <is>
          <t>KÖPING</t>
        </is>
      </c>
      <c r="F360" t="inlineStr">
        <is>
          <t>Sveaskog</t>
        </is>
      </c>
      <c r="G360" t="n">
        <v>3.4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25660-2024</t>
        </is>
      </c>
      <c r="B361" s="1" t="n">
        <v>45463.69828703703</v>
      </c>
      <c r="C361" s="1" t="n">
        <v>45975</v>
      </c>
      <c r="D361" t="inlineStr">
        <is>
          <t>VÄSTMANLANDS LÄN</t>
        </is>
      </c>
      <c r="E361" t="inlineStr">
        <is>
          <t>KÖPING</t>
        </is>
      </c>
      <c r="G361" t="n">
        <v>0.9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30139-2025</t>
        </is>
      </c>
      <c r="B362" s="1" t="n">
        <v>45826</v>
      </c>
      <c r="C362" s="1" t="n">
        <v>45975</v>
      </c>
      <c r="D362" t="inlineStr">
        <is>
          <t>VÄSTMANLANDS LÄN</t>
        </is>
      </c>
      <c r="E362" t="inlineStr">
        <is>
          <t>KÖPING</t>
        </is>
      </c>
      <c r="G362" t="n">
        <v>1.7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56294-2025</t>
        </is>
      </c>
      <c r="B363" s="1" t="n">
        <v>45974.60130787037</v>
      </c>
      <c r="C363" s="1" t="n">
        <v>45975</v>
      </c>
      <c r="D363" t="inlineStr">
        <is>
          <t>VÄSTMANLANDS LÄN</t>
        </is>
      </c>
      <c r="E363" t="inlineStr">
        <is>
          <t>KÖPING</t>
        </is>
      </c>
      <c r="F363" t="inlineStr">
        <is>
          <t>Sveaskog</t>
        </is>
      </c>
      <c r="G363" t="n">
        <v>2.4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56296-2025</t>
        </is>
      </c>
      <c r="B364" s="1" t="n">
        <v>45974.60321759259</v>
      </c>
      <c r="C364" s="1" t="n">
        <v>45975</v>
      </c>
      <c r="D364" t="inlineStr">
        <is>
          <t>VÄSTMANLANDS LÄN</t>
        </is>
      </c>
      <c r="E364" t="inlineStr">
        <is>
          <t>KÖPING</t>
        </is>
      </c>
      <c r="F364" t="inlineStr">
        <is>
          <t>Sveaskog</t>
        </is>
      </c>
      <c r="G364" t="n">
        <v>1.4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56380-2025</t>
        </is>
      </c>
      <c r="B365" s="1" t="n">
        <v>45974.70274305555</v>
      </c>
      <c r="C365" s="1" t="n">
        <v>45975</v>
      </c>
      <c r="D365" t="inlineStr">
        <is>
          <t>VÄSTMANLANDS LÄN</t>
        </is>
      </c>
      <c r="E365" t="inlineStr">
        <is>
          <t>KÖPING</t>
        </is>
      </c>
      <c r="F365" t="inlineStr">
        <is>
          <t>Sveaskog</t>
        </is>
      </c>
      <c r="G365" t="n">
        <v>4.1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47718-2025</t>
        </is>
      </c>
      <c r="B366" s="1" t="n">
        <v>45931.62083333333</v>
      </c>
      <c r="C366" s="1" t="n">
        <v>45975</v>
      </c>
      <c r="D366" t="inlineStr">
        <is>
          <t>VÄSTMANLANDS LÄN</t>
        </is>
      </c>
      <c r="E366" t="inlineStr">
        <is>
          <t>KÖPING</t>
        </is>
      </c>
      <c r="G366" t="n">
        <v>4.9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47576-2025</t>
        </is>
      </c>
      <c r="B367" s="1" t="n">
        <v>45931.40219907407</v>
      </c>
      <c r="C367" s="1" t="n">
        <v>45975</v>
      </c>
      <c r="D367" t="inlineStr">
        <is>
          <t>VÄSTMANLANDS LÄN</t>
        </is>
      </c>
      <c r="E367" t="inlineStr">
        <is>
          <t>KÖPING</t>
        </is>
      </c>
      <c r="F367" t="inlineStr">
        <is>
          <t>Sveaskog</t>
        </is>
      </c>
      <c r="G367" t="n">
        <v>1.2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10972-2021</t>
        </is>
      </c>
      <c r="B368" s="1" t="n">
        <v>44260</v>
      </c>
      <c r="C368" s="1" t="n">
        <v>45975</v>
      </c>
      <c r="D368" t="inlineStr">
        <is>
          <t>VÄSTMANLANDS LÄN</t>
        </is>
      </c>
      <c r="E368" t="inlineStr">
        <is>
          <t>KÖPING</t>
        </is>
      </c>
      <c r="F368" t="inlineStr">
        <is>
          <t>Sveaskog</t>
        </is>
      </c>
      <c r="G368" t="n">
        <v>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263-2021</t>
        </is>
      </c>
      <c r="B369" s="1" t="n">
        <v>44200</v>
      </c>
      <c r="C369" s="1" t="n">
        <v>45975</v>
      </c>
      <c r="D369" t="inlineStr">
        <is>
          <t>VÄSTMANLANDS LÄN</t>
        </is>
      </c>
      <c r="E369" t="inlineStr">
        <is>
          <t>KÖPING</t>
        </is>
      </c>
      <c r="F369" t="inlineStr">
        <is>
          <t>Sveaskog</t>
        </is>
      </c>
      <c r="G369" t="n">
        <v>1.1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2584-2024</t>
        </is>
      </c>
      <c r="B370" s="1" t="n">
        <v>45313</v>
      </c>
      <c r="C370" s="1" t="n">
        <v>45975</v>
      </c>
      <c r="D370" t="inlineStr">
        <is>
          <t>VÄSTMANLANDS LÄN</t>
        </is>
      </c>
      <c r="E370" t="inlineStr">
        <is>
          <t>KÖPING</t>
        </is>
      </c>
      <c r="G370" t="n">
        <v>3.5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61897-2022</t>
        </is>
      </c>
      <c r="B371" s="1" t="n">
        <v>44917</v>
      </c>
      <c r="C371" s="1" t="n">
        <v>45975</v>
      </c>
      <c r="D371" t="inlineStr">
        <is>
          <t>VÄSTMANLANDS LÄN</t>
        </is>
      </c>
      <c r="E371" t="inlineStr">
        <is>
          <t>KÖPING</t>
        </is>
      </c>
      <c r="G371" t="n">
        <v>8.1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6948-2023</t>
        </is>
      </c>
      <c r="B372" s="1" t="n">
        <v>44967.58497685185</v>
      </c>
      <c r="C372" s="1" t="n">
        <v>45975</v>
      </c>
      <c r="D372" t="inlineStr">
        <is>
          <t>VÄSTMANLANDS LÄN</t>
        </is>
      </c>
      <c r="E372" t="inlineStr">
        <is>
          <t>KÖPING</t>
        </is>
      </c>
      <c r="F372" t="inlineStr">
        <is>
          <t>Sveaskog</t>
        </is>
      </c>
      <c r="G372" t="n">
        <v>0.5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30087-2021</t>
        </is>
      </c>
      <c r="B373" s="1" t="n">
        <v>44363.54297453703</v>
      </c>
      <c r="C373" s="1" t="n">
        <v>45975</v>
      </c>
      <c r="D373" t="inlineStr">
        <is>
          <t>VÄSTMANLANDS LÄN</t>
        </is>
      </c>
      <c r="E373" t="inlineStr">
        <is>
          <t>KÖPING</t>
        </is>
      </c>
      <c r="G373" t="n">
        <v>0.5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10478-2022</t>
        </is>
      </c>
      <c r="B374" s="1" t="n">
        <v>44623</v>
      </c>
      <c r="C374" s="1" t="n">
        <v>45975</v>
      </c>
      <c r="D374" t="inlineStr">
        <is>
          <t>VÄSTMANLANDS LÄN</t>
        </is>
      </c>
      <c r="E374" t="inlineStr">
        <is>
          <t>KÖPING</t>
        </is>
      </c>
      <c r="G374" t="n">
        <v>1.8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17295-2023</t>
        </is>
      </c>
      <c r="B375" s="1" t="n">
        <v>45035.48342592592</v>
      </c>
      <c r="C375" s="1" t="n">
        <v>45975</v>
      </c>
      <c r="D375" t="inlineStr">
        <is>
          <t>VÄSTMANLANDS LÄN</t>
        </is>
      </c>
      <c r="E375" t="inlineStr">
        <is>
          <t>KÖPING</t>
        </is>
      </c>
      <c r="G375" t="n">
        <v>1.2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65740-2021</t>
        </is>
      </c>
      <c r="B376" s="1" t="n">
        <v>44516.75021990741</v>
      </c>
      <c r="C376" s="1" t="n">
        <v>45975</v>
      </c>
      <c r="D376" t="inlineStr">
        <is>
          <t>VÄSTMANLANDS LÄN</t>
        </is>
      </c>
      <c r="E376" t="inlineStr">
        <is>
          <t>KÖPING</t>
        </is>
      </c>
      <c r="G376" t="n">
        <v>0.5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60924-2022</t>
        </is>
      </c>
      <c r="B377" s="1" t="n">
        <v>44914.61438657407</v>
      </c>
      <c r="C377" s="1" t="n">
        <v>45975</v>
      </c>
      <c r="D377" t="inlineStr">
        <is>
          <t>VÄSTMANLANDS LÄN</t>
        </is>
      </c>
      <c r="E377" t="inlineStr">
        <is>
          <t>KÖPING</t>
        </is>
      </c>
      <c r="G377" t="n">
        <v>0.8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73888-2021</t>
        </is>
      </c>
      <c r="B378" s="1" t="n">
        <v>44553.43238425926</v>
      </c>
      <c r="C378" s="1" t="n">
        <v>45975</v>
      </c>
      <c r="D378" t="inlineStr">
        <is>
          <t>VÄSTMANLANDS LÄN</t>
        </is>
      </c>
      <c r="E378" t="inlineStr">
        <is>
          <t>KÖPING</t>
        </is>
      </c>
      <c r="G378" t="n">
        <v>2.4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44616-2023</t>
        </is>
      </c>
      <c r="B379" s="1" t="n">
        <v>45189.63728009259</v>
      </c>
      <c r="C379" s="1" t="n">
        <v>45975</v>
      </c>
      <c r="D379" t="inlineStr">
        <is>
          <t>VÄSTMANLANDS LÄN</t>
        </is>
      </c>
      <c r="E379" t="inlineStr">
        <is>
          <t>KÖPING</t>
        </is>
      </c>
      <c r="G379" t="n">
        <v>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27261-2022</t>
        </is>
      </c>
      <c r="B380" s="1" t="n">
        <v>44741</v>
      </c>
      <c r="C380" s="1" t="n">
        <v>45975</v>
      </c>
      <c r="D380" t="inlineStr">
        <is>
          <t>VÄSTMANLANDS LÄN</t>
        </is>
      </c>
      <c r="E380" t="inlineStr">
        <is>
          <t>KÖPING</t>
        </is>
      </c>
      <c r="F380" t="inlineStr">
        <is>
          <t>Sveaskog</t>
        </is>
      </c>
      <c r="G380" t="n">
        <v>3.5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43567-2022</t>
        </is>
      </c>
      <c r="B381" s="1" t="n">
        <v>44837</v>
      </c>
      <c r="C381" s="1" t="n">
        <v>45975</v>
      </c>
      <c r="D381" t="inlineStr">
        <is>
          <t>VÄSTMANLANDS LÄN</t>
        </is>
      </c>
      <c r="E381" t="inlineStr">
        <is>
          <t>KÖPING</t>
        </is>
      </c>
      <c r="G381" t="n">
        <v>4.5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68714-2021</t>
        </is>
      </c>
      <c r="B382" s="1" t="n">
        <v>44529.6944212963</v>
      </c>
      <c r="C382" s="1" t="n">
        <v>45975</v>
      </c>
      <c r="D382" t="inlineStr">
        <is>
          <t>VÄSTMANLANDS LÄN</t>
        </is>
      </c>
      <c r="E382" t="inlineStr">
        <is>
          <t>KÖPING</t>
        </is>
      </c>
      <c r="G382" t="n">
        <v>6.4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>
      <c r="A383" t="inlineStr">
        <is>
          <t>A 39332-2024</t>
        </is>
      </c>
      <c r="B383" s="1" t="n">
        <v>45551.43763888889</v>
      </c>
      <c r="C383" s="1" t="n">
        <v>45975</v>
      </c>
      <c r="D383" t="inlineStr">
        <is>
          <t>VÄSTMANLANDS LÄN</t>
        </is>
      </c>
      <c r="E383" t="inlineStr">
        <is>
          <t>KÖPING</t>
        </is>
      </c>
      <c r="G383" t="n">
        <v>4.4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2025-11-14T10:12:13Z</dcterms:created>
  <dcterms:modified xmlns:dcterms="http://purl.org/dc/terms/" xmlns:xsi="http://www.w3.org/2001/XMLSchema-instance" xsi:type="dcterms:W3CDTF">2025-11-14T10:12:14Z</dcterms:modified>
</cp:coreProperties>
</file>