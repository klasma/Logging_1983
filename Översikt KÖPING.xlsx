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45360</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45360</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45360</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45360</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45360</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45360</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45360</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45360</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45360</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45360</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45360</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45360</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45360</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45360</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45360</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45360</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45360</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45360</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45360</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45360</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45360</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45360</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45360</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45360</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45360</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9510-2024</t>
        </is>
      </c>
      <c r="B27" s="1" t="n">
        <v>45359</v>
      </c>
      <c r="C27" s="1" t="n">
        <v>45360</v>
      </c>
      <c r="D27" t="inlineStr">
        <is>
          <t>VÄSTMANLANDS LÄN</t>
        </is>
      </c>
      <c r="E27" t="inlineStr">
        <is>
          <t>KÖPING</t>
        </is>
      </c>
      <c r="F27" t="inlineStr">
        <is>
          <t>Sveaskog</t>
        </is>
      </c>
      <c r="G27" t="n">
        <v>3</v>
      </c>
      <c r="H27" t="n">
        <v>0</v>
      </c>
      <c r="I27" t="n">
        <v>0</v>
      </c>
      <c r="J27" t="n">
        <v>1</v>
      </c>
      <c r="K27" t="n">
        <v>0</v>
      </c>
      <c r="L27" t="n">
        <v>0</v>
      </c>
      <c r="M27" t="n">
        <v>0</v>
      </c>
      <c r="N27" t="n">
        <v>0</v>
      </c>
      <c r="O27" t="n">
        <v>1</v>
      </c>
      <c r="P27" t="n">
        <v>0</v>
      </c>
      <c r="Q27" t="n">
        <v>1</v>
      </c>
      <c r="R27" s="2" t="inlineStr">
        <is>
          <t>Storgröe</t>
        </is>
      </c>
      <c r="S27">
        <f>HYPERLINK("https://klasma.github.io/Logging_1983/artfynd/A 9510-2024 artfynd.xlsx", "A 9510-2024")</f>
        <v/>
      </c>
      <c r="T27">
        <f>HYPERLINK("https://klasma.github.io/Logging_1983/kartor/A 9510-2024 karta.png", "A 9510-2024")</f>
        <v/>
      </c>
      <c r="V27">
        <f>HYPERLINK("https://klasma.github.io/Logging_1983/klagomål/A 9510-2024 FSC-klagomål.docx", "A 9510-2024")</f>
        <v/>
      </c>
      <c r="W27">
        <f>HYPERLINK("https://klasma.github.io/Logging_1983/klagomålsmail/A 9510-2024 FSC-klagomål mail.docx", "A 9510-2024")</f>
        <v/>
      </c>
      <c r="X27">
        <f>HYPERLINK("https://klasma.github.io/Logging_1983/tillsyn/A 9510-2024 tillsynsbegäran.docx", "A 9510-2024")</f>
        <v/>
      </c>
      <c r="Y27">
        <f>HYPERLINK("https://klasma.github.io/Logging_1983/tillsynsmail/A 9510-2024 tillsynsbegäran mail.docx", "A 9510-2024")</f>
        <v/>
      </c>
    </row>
    <row r="28" ht="15" customHeight="1">
      <c r="A28" t="inlineStr">
        <is>
          <t>A 35480-2018</t>
        </is>
      </c>
      <c r="B28" s="1" t="n">
        <v>43325</v>
      </c>
      <c r="C28" s="1" t="n">
        <v>45360</v>
      </c>
      <c r="D28" t="inlineStr">
        <is>
          <t>VÄSTMANLANDS LÄN</t>
        </is>
      </c>
      <c r="E28" t="inlineStr">
        <is>
          <t>KÖPING</t>
        </is>
      </c>
      <c r="G28" t="n">
        <v>3.6</v>
      </c>
      <c r="H28" t="n">
        <v>0</v>
      </c>
      <c r="I28" t="n">
        <v>0</v>
      </c>
      <c r="J28" t="n">
        <v>0</v>
      </c>
      <c r="K28" t="n">
        <v>0</v>
      </c>
      <c r="L28" t="n">
        <v>0</v>
      </c>
      <c r="M28" t="n">
        <v>0</v>
      </c>
      <c r="N28" t="n">
        <v>0</v>
      </c>
      <c r="O28" t="n">
        <v>0</v>
      </c>
      <c r="P28" t="n">
        <v>0</v>
      </c>
      <c r="Q28" t="n">
        <v>0</v>
      </c>
      <c r="R28" s="2" t="inlineStr"/>
    </row>
    <row r="29" ht="15" customHeight="1">
      <c r="A29" t="inlineStr">
        <is>
          <t>A 36128-2018</t>
        </is>
      </c>
      <c r="B29" s="1" t="n">
        <v>43328</v>
      </c>
      <c r="C29" s="1" t="n">
        <v>45360</v>
      </c>
      <c r="D29" t="inlineStr">
        <is>
          <t>VÄSTMANLANDS LÄN</t>
        </is>
      </c>
      <c r="E29" t="inlineStr">
        <is>
          <t>KÖPING</t>
        </is>
      </c>
      <c r="F29" t="inlineStr">
        <is>
          <t>Sveaskog</t>
        </is>
      </c>
      <c r="G29" t="n">
        <v>2.7</v>
      </c>
      <c r="H29" t="n">
        <v>0</v>
      </c>
      <c r="I29" t="n">
        <v>0</v>
      </c>
      <c r="J29" t="n">
        <v>0</v>
      </c>
      <c r="K29" t="n">
        <v>0</v>
      </c>
      <c r="L29" t="n">
        <v>0</v>
      </c>
      <c r="M29" t="n">
        <v>0</v>
      </c>
      <c r="N29" t="n">
        <v>0</v>
      </c>
      <c r="O29" t="n">
        <v>0</v>
      </c>
      <c r="P29" t="n">
        <v>0</v>
      </c>
      <c r="Q29" t="n">
        <v>0</v>
      </c>
      <c r="R29" s="2" t="inlineStr"/>
    </row>
    <row r="30" ht="15" customHeight="1">
      <c r="A30" t="inlineStr">
        <is>
          <t>A 41404-2018</t>
        </is>
      </c>
      <c r="B30" s="1" t="n">
        <v>43346</v>
      </c>
      <c r="C30" s="1" t="n">
        <v>45360</v>
      </c>
      <c r="D30" t="inlineStr">
        <is>
          <t>VÄSTMANLANDS LÄN</t>
        </is>
      </c>
      <c r="E30" t="inlineStr">
        <is>
          <t>KÖPING</t>
        </is>
      </c>
      <c r="G30" t="n">
        <v>4.7</v>
      </c>
      <c r="H30" t="n">
        <v>0</v>
      </c>
      <c r="I30" t="n">
        <v>0</v>
      </c>
      <c r="J30" t="n">
        <v>0</v>
      </c>
      <c r="K30" t="n">
        <v>0</v>
      </c>
      <c r="L30" t="n">
        <v>0</v>
      </c>
      <c r="M30" t="n">
        <v>0</v>
      </c>
      <c r="N30" t="n">
        <v>0</v>
      </c>
      <c r="O30" t="n">
        <v>0</v>
      </c>
      <c r="P30" t="n">
        <v>0</v>
      </c>
      <c r="Q30" t="n">
        <v>0</v>
      </c>
      <c r="R30" s="2" t="inlineStr"/>
    </row>
    <row r="31" ht="15" customHeight="1">
      <c r="A31" t="inlineStr">
        <is>
          <t>A 40730-2018</t>
        </is>
      </c>
      <c r="B31" s="1" t="n">
        <v>43347</v>
      </c>
      <c r="C31" s="1" t="n">
        <v>45360</v>
      </c>
      <c r="D31" t="inlineStr">
        <is>
          <t>VÄSTMANLANDS LÄN</t>
        </is>
      </c>
      <c r="E31" t="inlineStr">
        <is>
          <t>KÖPING</t>
        </is>
      </c>
      <c r="F31" t="inlineStr">
        <is>
          <t>Sveaskog</t>
        </is>
      </c>
      <c r="G31" t="n">
        <v>0.7</v>
      </c>
      <c r="H31" t="n">
        <v>0</v>
      </c>
      <c r="I31" t="n">
        <v>0</v>
      </c>
      <c r="J31" t="n">
        <v>0</v>
      </c>
      <c r="K31" t="n">
        <v>0</v>
      </c>
      <c r="L31" t="n">
        <v>0</v>
      </c>
      <c r="M31" t="n">
        <v>0</v>
      </c>
      <c r="N31" t="n">
        <v>0</v>
      </c>
      <c r="O31" t="n">
        <v>0</v>
      </c>
      <c r="P31" t="n">
        <v>0</v>
      </c>
      <c r="Q31" t="n">
        <v>0</v>
      </c>
      <c r="R31" s="2" t="inlineStr"/>
    </row>
    <row r="32" ht="15" customHeight="1">
      <c r="A32" t="inlineStr">
        <is>
          <t>A 49125-2018</t>
        </is>
      </c>
      <c r="B32" s="1" t="n">
        <v>43375</v>
      </c>
      <c r="C32" s="1" t="n">
        <v>45360</v>
      </c>
      <c r="D32" t="inlineStr">
        <is>
          <t>VÄSTMANLANDS LÄN</t>
        </is>
      </c>
      <c r="E32" t="inlineStr">
        <is>
          <t>KÖPING</t>
        </is>
      </c>
      <c r="F32" t="inlineStr">
        <is>
          <t>Kyrkan</t>
        </is>
      </c>
      <c r="G32" t="n">
        <v>0.7</v>
      </c>
      <c r="H32" t="n">
        <v>0</v>
      </c>
      <c r="I32" t="n">
        <v>0</v>
      </c>
      <c r="J32" t="n">
        <v>0</v>
      </c>
      <c r="K32" t="n">
        <v>0</v>
      </c>
      <c r="L32" t="n">
        <v>0</v>
      </c>
      <c r="M32" t="n">
        <v>0</v>
      </c>
      <c r="N32" t="n">
        <v>0</v>
      </c>
      <c r="O32" t="n">
        <v>0</v>
      </c>
      <c r="P32" t="n">
        <v>0</v>
      </c>
      <c r="Q32" t="n">
        <v>0</v>
      </c>
      <c r="R32" s="2" t="inlineStr"/>
    </row>
    <row r="33" ht="15" customHeight="1">
      <c r="A33" t="inlineStr">
        <is>
          <t>A 58053-2018</t>
        </is>
      </c>
      <c r="B33" s="1" t="n">
        <v>43406</v>
      </c>
      <c r="C33" s="1" t="n">
        <v>45360</v>
      </c>
      <c r="D33" t="inlineStr">
        <is>
          <t>VÄSTMANLANDS LÄN</t>
        </is>
      </c>
      <c r="E33" t="inlineStr">
        <is>
          <t>KÖPING</t>
        </is>
      </c>
      <c r="G33" t="n">
        <v>3.2</v>
      </c>
      <c r="H33" t="n">
        <v>0</v>
      </c>
      <c r="I33" t="n">
        <v>0</v>
      </c>
      <c r="J33" t="n">
        <v>0</v>
      </c>
      <c r="K33" t="n">
        <v>0</v>
      </c>
      <c r="L33" t="n">
        <v>0</v>
      </c>
      <c r="M33" t="n">
        <v>0</v>
      </c>
      <c r="N33" t="n">
        <v>0</v>
      </c>
      <c r="O33" t="n">
        <v>0</v>
      </c>
      <c r="P33" t="n">
        <v>0</v>
      </c>
      <c r="Q33" t="n">
        <v>0</v>
      </c>
      <c r="R33" s="2" t="inlineStr"/>
    </row>
    <row r="34" ht="15" customHeight="1">
      <c r="A34" t="inlineStr">
        <is>
          <t>A 59617-2018</t>
        </is>
      </c>
      <c r="B34" s="1" t="n">
        <v>43419</v>
      </c>
      <c r="C34" s="1" t="n">
        <v>45360</v>
      </c>
      <c r="D34" t="inlineStr">
        <is>
          <t>VÄSTMANLANDS LÄN</t>
        </is>
      </c>
      <c r="E34" t="inlineStr">
        <is>
          <t>KÖPING</t>
        </is>
      </c>
      <c r="G34" t="n">
        <v>3.4</v>
      </c>
      <c r="H34" t="n">
        <v>0</v>
      </c>
      <c r="I34" t="n">
        <v>0</v>
      </c>
      <c r="J34" t="n">
        <v>0</v>
      </c>
      <c r="K34" t="n">
        <v>0</v>
      </c>
      <c r="L34" t="n">
        <v>0</v>
      </c>
      <c r="M34" t="n">
        <v>0</v>
      </c>
      <c r="N34" t="n">
        <v>0</v>
      </c>
      <c r="O34" t="n">
        <v>0</v>
      </c>
      <c r="P34" t="n">
        <v>0</v>
      </c>
      <c r="Q34" t="n">
        <v>0</v>
      </c>
      <c r="R34" s="2" t="inlineStr"/>
    </row>
    <row r="35" ht="15" customHeight="1">
      <c r="A35" t="inlineStr">
        <is>
          <t>A 59838-2018</t>
        </is>
      </c>
      <c r="B35" s="1" t="n">
        <v>43419</v>
      </c>
      <c r="C35" s="1" t="n">
        <v>45360</v>
      </c>
      <c r="D35" t="inlineStr">
        <is>
          <t>VÄSTMANLANDS LÄN</t>
        </is>
      </c>
      <c r="E35" t="inlineStr">
        <is>
          <t>KÖPING</t>
        </is>
      </c>
      <c r="G35" t="n">
        <v>1.7</v>
      </c>
      <c r="H35" t="n">
        <v>0</v>
      </c>
      <c r="I35" t="n">
        <v>0</v>
      </c>
      <c r="J35" t="n">
        <v>0</v>
      </c>
      <c r="K35" t="n">
        <v>0</v>
      </c>
      <c r="L35" t="n">
        <v>0</v>
      </c>
      <c r="M35" t="n">
        <v>0</v>
      </c>
      <c r="N35" t="n">
        <v>0</v>
      </c>
      <c r="O35" t="n">
        <v>0</v>
      </c>
      <c r="P35" t="n">
        <v>0</v>
      </c>
      <c r="Q35" t="n">
        <v>0</v>
      </c>
      <c r="R35" s="2" t="inlineStr"/>
    </row>
    <row r="36" ht="15" customHeight="1">
      <c r="A36" t="inlineStr">
        <is>
          <t>A 66283-2018</t>
        </is>
      </c>
      <c r="B36" s="1" t="n">
        <v>43427</v>
      </c>
      <c r="C36" s="1" t="n">
        <v>45360</v>
      </c>
      <c r="D36" t="inlineStr">
        <is>
          <t>VÄSTMANLANDS LÄN</t>
        </is>
      </c>
      <c r="E36" t="inlineStr">
        <is>
          <t>KÖPING</t>
        </is>
      </c>
      <c r="G36" t="n">
        <v>12</v>
      </c>
      <c r="H36" t="n">
        <v>0</v>
      </c>
      <c r="I36" t="n">
        <v>0</v>
      </c>
      <c r="J36" t="n">
        <v>0</v>
      </c>
      <c r="K36" t="n">
        <v>0</v>
      </c>
      <c r="L36" t="n">
        <v>0</v>
      </c>
      <c r="M36" t="n">
        <v>0</v>
      </c>
      <c r="N36" t="n">
        <v>0</v>
      </c>
      <c r="O36" t="n">
        <v>0</v>
      </c>
      <c r="P36" t="n">
        <v>0</v>
      </c>
      <c r="Q36" t="n">
        <v>0</v>
      </c>
      <c r="R36" s="2" t="inlineStr"/>
    </row>
    <row r="37" ht="15" customHeight="1">
      <c r="A37" t="inlineStr">
        <is>
          <t>A 64764-2018</t>
        </is>
      </c>
      <c r="B37" s="1" t="n">
        <v>43431</v>
      </c>
      <c r="C37" s="1" t="n">
        <v>45360</v>
      </c>
      <c r="D37" t="inlineStr">
        <is>
          <t>VÄSTMANLANDS LÄN</t>
        </is>
      </c>
      <c r="E37" t="inlineStr">
        <is>
          <t>KÖPING</t>
        </is>
      </c>
      <c r="G37" t="n">
        <v>4.5</v>
      </c>
      <c r="H37" t="n">
        <v>0</v>
      </c>
      <c r="I37" t="n">
        <v>0</v>
      </c>
      <c r="J37" t="n">
        <v>0</v>
      </c>
      <c r="K37" t="n">
        <v>0</v>
      </c>
      <c r="L37" t="n">
        <v>0</v>
      </c>
      <c r="M37" t="n">
        <v>0</v>
      </c>
      <c r="N37" t="n">
        <v>0</v>
      </c>
      <c r="O37" t="n">
        <v>0</v>
      </c>
      <c r="P37" t="n">
        <v>0</v>
      </c>
      <c r="Q37" t="n">
        <v>0</v>
      </c>
      <c r="R37" s="2" t="inlineStr"/>
    </row>
    <row r="38" ht="15" customHeight="1">
      <c r="A38" t="inlineStr">
        <is>
          <t>A 66001-2018</t>
        </is>
      </c>
      <c r="B38" s="1" t="n">
        <v>43434</v>
      </c>
      <c r="C38" s="1" t="n">
        <v>45360</v>
      </c>
      <c r="D38" t="inlineStr">
        <is>
          <t>VÄSTMANLANDS LÄN</t>
        </is>
      </c>
      <c r="E38" t="inlineStr">
        <is>
          <t>KÖPING</t>
        </is>
      </c>
      <c r="G38" t="n">
        <v>0.7</v>
      </c>
      <c r="H38" t="n">
        <v>0</v>
      </c>
      <c r="I38" t="n">
        <v>0</v>
      </c>
      <c r="J38" t="n">
        <v>0</v>
      </c>
      <c r="K38" t="n">
        <v>0</v>
      </c>
      <c r="L38" t="n">
        <v>0</v>
      </c>
      <c r="M38" t="n">
        <v>0</v>
      </c>
      <c r="N38" t="n">
        <v>0</v>
      </c>
      <c r="O38" t="n">
        <v>0</v>
      </c>
      <c r="P38" t="n">
        <v>0</v>
      </c>
      <c r="Q38" t="n">
        <v>0</v>
      </c>
      <c r="R38" s="2" t="inlineStr"/>
    </row>
    <row r="39" ht="15" customHeight="1">
      <c r="A39" t="inlineStr">
        <is>
          <t>A 65923-2018</t>
        </is>
      </c>
      <c r="B39" s="1" t="n">
        <v>43434</v>
      </c>
      <c r="C39" s="1" t="n">
        <v>45360</v>
      </c>
      <c r="D39" t="inlineStr">
        <is>
          <t>VÄSTMANLANDS LÄN</t>
        </is>
      </c>
      <c r="E39" t="inlineStr">
        <is>
          <t>KÖPING</t>
        </is>
      </c>
      <c r="G39" t="n">
        <v>1</v>
      </c>
      <c r="H39" t="n">
        <v>0</v>
      </c>
      <c r="I39" t="n">
        <v>0</v>
      </c>
      <c r="J39" t="n">
        <v>0</v>
      </c>
      <c r="K39" t="n">
        <v>0</v>
      </c>
      <c r="L39" t="n">
        <v>0</v>
      </c>
      <c r="M39" t="n">
        <v>0</v>
      </c>
      <c r="N39" t="n">
        <v>0</v>
      </c>
      <c r="O39" t="n">
        <v>0</v>
      </c>
      <c r="P39" t="n">
        <v>0</v>
      </c>
      <c r="Q39" t="n">
        <v>0</v>
      </c>
      <c r="R39" s="2" t="inlineStr"/>
    </row>
    <row r="40" ht="15" customHeight="1">
      <c r="A40" t="inlineStr">
        <is>
          <t>A 70004-2018</t>
        </is>
      </c>
      <c r="B40" s="1" t="n">
        <v>43447</v>
      </c>
      <c r="C40" s="1" t="n">
        <v>45360</v>
      </c>
      <c r="D40" t="inlineStr">
        <is>
          <t>VÄSTMANLANDS LÄN</t>
        </is>
      </c>
      <c r="E40" t="inlineStr">
        <is>
          <t>KÖPING</t>
        </is>
      </c>
      <c r="G40" t="n">
        <v>2</v>
      </c>
      <c r="H40" t="n">
        <v>0</v>
      </c>
      <c r="I40" t="n">
        <v>0</v>
      </c>
      <c r="J40" t="n">
        <v>0</v>
      </c>
      <c r="K40" t="n">
        <v>0</v>
      </c>
      <c r="L40" t="n">
        <v>0</v>
      </c>
      <c r="M40" t="n">
        <v>0</v>
      </c>
      <c r="N40" t="n">
        <v>0</v>
      </c>
      <c r="O40" t="n">
        <v>0</v>
      </c>
      <c r="P40" t="n">
        <v>0</v>
      </c>
      <c r="Q40" t="n">
        <v>0</v>
      </c>
      <c r="R40" s="2" t="inlineStr"/>
    </row>
    <row r="41" ht="15" customHeight="1">
      <c r="A41" t="inlineStr">
        <is>
          <t>A 72276-2018</t>
        </is>
      </c>
      <c r="B41" s="1" t="n">
        <v>43455</v>
      </c>
      <c r="C41" s="1" t="n">
        <v>45360</v>
      </c>
      <c r="D41" t="inlineStr">
        <is>
          <t>VÄSTMANLANDS LÄN</t>
        </is>
      </c>
      <c r="E41" t="inlineStr">
        <is>
          <t>KÖPING</t>
        </is>
      </c>
      <c r="G41" t="n">
        <v>2.3</v>
      </c>
      <c r="H41" t="n">
        <v>0</v>
      </c>
      <c r="I41" t="n">
        <v>0</v>
      </c>
      <c r="J41" t="n">
        <v>0</v>
      </c>
      <c r="K41" t="n">
        <v>0</v>
      </c>
      <c r="L41" t="n">
        <v>0</v>
      </c>
      <c r="M41" t="n">
        <v>0</v>
      </c>
      <c r="N41" t="n">
        <v>0</v>
      </c>
      <c r="O41" t="n">
        <v>0</v>
      </c>
      <c r="P41" t="n">
        <v>0</v>
      </c>
      <c r="Q41" t="n">
        <v>0</v>
      </c>
      <c r="R41" s="2" t="inlineStr"/>
    </row>
    <row r="42" ht="15" customHeight="1">
      <c r="A42" t="inlineStr">
        <is>
          <t>A 72313-2018</t>
        </is>
      </c>
      <c r="B42" s="1" t="n">
        <v>43456</v>
      </c>
      <c r="C42" s="1" t="n">
        <v>45360</v>
      </c>
      <c r="D42" t="inlineStr">
        <is>
          <t>VÄSTMANLANDS LÄN</t>
        </is>
      </c>
      <c r="E42" t="inlineStr">
        <is>
          <t>KÖPING</t>
        </is>
      </c>
      <c r="G42" t="n">
        <v>0.6</v>
      </c>
      <c r="H42" t="n">
        <v>0</v>
      </c>
      <c r="I42" t="n">
        <v>0</v>
      </c>
      <c r="J42" t="n">
        <v>0</v>
      </c>
      <c r="K42" t="n">
        <v>0</v>
      </c>
      <c r="L42" t="n">
        <v>0</v>
      </c>
      <c r="M42" t="n">
        <v>0</v>
      </c>
      <c r="N42" t="n">
        <v>0</v>
      </c>
      <c r="O42" t="n">
        <v>0</v>
      </c>
      <c r="P42" t="n">
        <v>0</v>
      </c>
      <c r="Q42" t="n">
        <v>0</v>
      </c>
      <c r="R42" s="2" t="inlineStr"/>
    </row>
    <row r="43" ht="15" customHeight="1">
      <c r="A43" t="inlineStr">
        <is>
          <t>A 72314-2018</t>
        </is>
      </c>
      <c r="B43" s="1" t="n">
        <v>43456</v>
      </c>
      <c r="C43" s="1" t="n">
        <v>45360</v>
      </c>
      <c r="D43" t="inlineStr">
        <is>
          <t>VÄSTMANLANDS LÄN</t>
        </is>
      </c>
      <c r="E43" t="inlineStr">
        <is>
          <t>KÖPING</t>
        </is>
      </c>
      <c r="G43" t="n">
        <v>0.7</v>
      </c>
      <c r="H43" t="n">
        <v>0</v>
      </c>
      <c r="I43" t="n">
        <v>0</v>
      </c>
      <c r="J43" t="n">
        <v>0</v>
      </c>
      <c r="K43" t="n">
        <v>0</v>
      </c>
      <c r="L43" t="n">
        <v>0</v>
      </c>
      <c r="M43" t="n">
        <v>0</v>
      </c>
      <c r="N43" t="n">
        <v>0</v>
      </c>
      <c r="O43" t="n">
        <v>0</v>
      </c>
      <c r="P43" t="n">
        <v>0</v>
      </c>
      <c r="Q43" t="n">
        <v>0</v>
      </c>
      <c r="R43" s="2" t="inlineStr"/>
    </row>
    <row r="44" ht="15" customHeight="1">
      <c r="A44" t="inlineStr">
        <is>
          <t>A 72312-2018</t>
        </is>
      </c>
      <c r="B44" s="1" t="n">
        <v>43456</v>
      </c>
      <c r="C44" s="1" t="n">
        <v>45360</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8071-2019</t>
        </is>
      </c>
      <c r="B45" s="1" t="n">
        <v>43501</v>
      </c>
      <c r="C45" s="1" t="n">
        <v>45360</v>
      </c>
      <c r="D45" t="inlineStr">
        <is>
          <t>VÄSTMANLANDS LÄN</t>
        </is>
      </c>
      <c r="E45" t="inlineStr">
        <is>
          <t>KÖPING</t>
        </is>
      </c>
      <c r="G45" t="n">
        <v>0.9</v>
      </c>
      <c r="H45" t="n">
        <v>0</v>
      </c>
      <c r="I45" t="n">
        <v>0</v>
      </c>
      <c r="J45" t="n">
        <v>0</v>
      </c>
      <c r="K45" t="n">
        <v>0</v>
      </c>
      <c r="L45" t="n">
        <v>0</v>
      </c>
      <c r="M45" t="n">
        <v>0</v>
      </c>
      <c r="N45" t="n">
        <v>0</v>
      </c>
      <c r="O45" t="n">
        <v>0</v>
      </c>
      <c r="P45" t="n">
        <v>0</v>
      </c>
      <c r="Q45" t="n">
        <v>0</v>
      </c>
      <c r="R45" s="2" t="inlineStr"/>
    </row>
    <row r="46" ht="15" customHeight="1">
      <c r="A46" t="inlineStr">
        <is>
          <t>A 8914-2019</t>
        </is>
      </c>
      <c r="B46" s="1" t="n">
        <v>43503</v>
      </c>
      <c r="C46" s="1" t="n">
        <v>45360</v>
      </c>
      <c r="D46" t="inlineStr">
        <is>
          <t>VÄSTMANLANDS LÄN</t>
        </is>
      </c>
      <c r="E46" t="inlineStr">
        <is>
          <t>KÖPING</t>
        </is>
      </c>
      <c r="G46" t="n">
        <v>0.8</v>
      </c>
      <c r="H46" t="n">
        <v>0</v>
      </c>
      <c r="I46" t="n">
        <v>0</v>
      </c>
      <c r="J46" t="n">
        <v>0</v>
      </c>
      <c r="K46" t="n">
        <v>0</v>
      </c>
      <c r="L46" t="n">
        <v>0</v>
      </c>
      <c r="M46" t="n">
        <v>0</v>
      </c>
      <c r="N46" t="n">
        <v>0</v>
      </c>
      <c r="O46" t="n">
        <v>0</v>
      </c>
      <c r="P46" t="n">
        <v>0</v>
      </c>
      <c r="Q46" t="n">
        <v>0</v>
      </c>
      <c r="R46" s="2" t="inlineStr"/>
    </row>
    <row r="47" ht="15" customHeight="1">
      <c r="A47" t="inlineStr">
        <is>
          <t>A 8830-2019</t>
        </is>
      </c>
      <c r="B47" s="1" t="n">
        <v>43503</v>
      </c>
      <c r="C47" s="1" t="n">
        <v>45360</v>
      </c>
      <c r="D47" t="inlineStr">
        <is>
          <t>VÄSTMANLANDS LÄN</t>
        </is>
      </c>
      <c r="E47" t="inlineStr">
        <is>
          <t>KÖPING</t>
        </is>
      </c>
      <c r="G47" t="n">
        <v>0.5</v>
      </c>
      <c r="H47" t="n">
        <v>0</v>
      </c>
      <c r="I47" t="n">
        <v>0</v>
      </c>
      <c r="J47" t="n">
        <v>0</v>
      </c>
      <c r="K47" t="n">
        <v>0</v>
      </c>
      <c r="L47" t="n">
        <v>0</v>
      </c>
      <c r="M47" t="n">
        <v>0</v>
      </c>
      <c r="N47" t="n">
        <v>0</v>
      </c>
      <c r="O47" t="n">
        <v>0</v>
      </c>
      <c r="P47" t="n">
        <v>0</v>
      </c>
      <c r="Q47" t="n">
        <v>0</v>
      </c>
      <c r="R47" s="2" t="inlineStr"/>
    </row>
    <row r="48" ht="15" customHeight="1">
      <c r="A48" t="inlineStr">
        <is>
          <t>A 9390-2019</t>
        </is>
      </c>
      <c r="B48" s="1" t="n">
        <v>43507</v>
      </c>
      <c r="C48" s="1" t="n">
        <v>45360</v>
      </c>
      <c r="D48" t="inlineStr">
        <is>
          <t>VÄSTMANLANDS LÄN</t>
        </is>
      </c>
      <c r="E48" t="inlineStr">
        <is>
          <t>KÖPING</t>
        </is>
      </c>
      <c r="G48" t="n">
        <v>11.1</v>
      </c>
      <c r="H48" t="n">
        <v>0</v>
      </c>
      <c r="I48" t="n">
        <v>0</v>
      </c>
      <c r="J48" t="n">
        <v>0</v>
      </c>
      <c r="K48" t="n">
        <v>0</v>
      </c>
      <c r="L48" t="n">
        <v>0</v>
      </c>
      <c r="M48" t="n">
        <v>0</v>
      </c>
      <c r="N48" t="n">
        <v>0</v>
      </c>
      <c r="O48" t="n">
        <v>0</v>
      </c>
      <c r="P48" t="n">
        <v>0</v>
      </c>
      <c r="Q48" t="n">
        <v>0</v>
      </c>
      <c r="R48" s="2" t="inlineStr"/>
    </row>
    <row r="49" ht="15" customHeight="1">
      <c r="A49" t="inlineStr">
        <is>
          <t>A 10876-2019</t>
        </is>
      </c>
      <c r="B49" s="1" t="n">
        <v>43514</v>
      </c>
      <c r="C49" s="1" t="n">
        <v>45360</v>
      </c>
      <c r="D49" t="inlineStr">
        <is>
          <t>VÄSTMANLANDS LÄN</t>
        </is>
      </c>
      <c r="E49" t="inlineStr">
        <is>
          <t>KÖPING</t>
        </is>
      </c>
      <c r="G49" t="n">
        <v>11.5</v>
      </c>
      <c r="H49" t="n">
        <v>0</v>
      </c>
      <c r="I49" t="n">
        <v>0</v>
      </c>
      <c r="J49" t="n">
        <v>0</v>
      </c>
      <c r="K49" t="n">
        <v>0</v>
      </c>
      <c r="L49" t="n">
        <v>0</v>
      </c>
      <c r="M49" t="n">
        <v>0</v>
      </c>
      <c r="N49" t="n">
        <v>0</v>
      </c>
      <c r="O49" t="n">
        <v>0</v>
      </c>
      <c r="P49" t="n">
        <v>0</v>
      </c>
      <c r="Q49" t="n">
        <v>0</v>
      </c>
      <c r="R49" s="2" t="inlineStr"/>
    </row>
    <row r="50" ht="15" customHeight="1">
      <c r="A50" t="inlineStr">
        <is>
          <t>A 10885-2019</t>
        </is>
      </c>
      <c r="B50" s="1" t="n">
        <v>43515</v>
      </c>
      <c r="C50" s="1" t="n">
        <v>45360</v>
      </c>
      <c r="D50" t="inlineStr">
        <is>
          <t>VÄSTMANLANDS LÄN</t>
        </is>
      </c>
      <c r="E50" t="inlineStr">
        <is>
          <t>KÖPING</t>
        </is>
      </c>
      <c r="G50" t="n">
        <v>2.2</v>
      </c>
      <c r="H50" t="n">
        <v>0</v>
      </c>
      <c r="I50" t="n">
        <v>0</v>
      </c>
      <c r="J50" t="n">
        <v>0</v>
      </c>
      <c r="K50" t="n">
        <v>0</v>
      </c>
      <c r="L50" t="n">
        <v>0</v>
      </c>
      <c r="M50" t="n">
        <v>0</v>
      </c>
      <c r="N50" t="n">
        <v>0</v>
      </c>
      <c r="O50" t="n">
        <v>0</v>
      </c>
      <c r="P50" t="n">
        <v>0</v>
      </c>
      <c r="Q50" t="n">
        <v>0</v>
      </c>
      <c r="R50" s="2" t="inlineStr"/>
    </row>
    <row r="51" ht="15" customHeight="1">
      <c r="A51" t="inlineStr">
        <is>
          <t>A 13564-2019</t>
        </is>
      </c>
      <c r="B51" s="1" t="n">
        <v>43530</v>
      </c>
      <c r="C51" s="1" t="n">
        <v>45360</v>
      </c>
      <c r="D51" t="inlineStr">
        <is>
          <t>VÄSTMANLANDS LÄN</t>
        </is>
      </c>
      <c r="E51" t="inlineStr">
        <is>
          <t>KÖPING</t>
        </is>
      </c>
      <c r="G51" t="n">
        <v>1.4</v>
      </c>
      <c r="H51" t="n">
        <v>0</v>
      </c>
      <c r="I51" t="n">
        <v>0</v>
      </c>
      <c r="J51" t="n">
        <v>0</v>
      </c>
      <c r="K51" t="n">
        <v>0</v>
      </c>
      <c r="L51" t="n">
        <v>0</v>
      </c>
      <c r="M51" t="n">
        <v>0</v>
      </c>
      <c r="N51" t="n">
        <v>0</v>
      </c>
      <c r="O51" t="n">
        <v>0</v>
      </c>
      <c r="P51" t="n">
        <v>0</v>
      </c>
      <c r="Q51" t="n">
        <v>0</v>
      </c>
      <c r="R51" s="2" t="inlineStr"/>
    </row>
    <row r="52" ht="15" customHeight="1">
      <c r="A52" t="inlineStr">
        <is>
          <t>A 14314-2019</t>
        </is>
      </c>
      <c r="B52" s="1" t="n">
        <v>43535</v>
      </c>
      <c r="C52" s="1" t="n">
        <v>45360</v>
      </c>
      <c r="D52" t="inlineStr">
        <is>
          <t>VÄSTMANLANDS LÄN</t>
        </is>
      </c>
      <c r="E52" t="inlineStr">
        <is>
          <t>KÖPING</t>
        </is>
      </c>
      <c r="G52" t="n">
        <v>3</v>
      </c>
      <c r="H52" t="n">
        <v>0</v>
      </c>
      <c r="I52" t="n">
        <v>0</v>
      </c>
      <c r="J52" t="n">
        <v>0</v>
      </c>
      <c r="K52" t="n">
        <v>0</v>
      </c>
      <c r="L52" t="n">
        <v>0</v>
      </c>
      <c r="M52" t="n">
        <v>0</v>
      </c>
      <c r="N52" t="n">
        <v>0</v>
      </c>
      <c r="O52" t="n">
        <v>0</v>
      </c>
      <c r="P52" t="n">
        <v>0</v>
      </c>
      <c r="Q52" t="n">
        <v>0</v>
      </c>
      <c r="R52" s="2" t="inlineStr"/>
    </row>
    <row r="53" ht="15" customHeight="1">
      <c r="A53" t="inlineStr">
        <is>
          <t>A 14313-2019</t>
        </is>
      </c>
      <c r="B53" s="1" t="n">
        <v>43535</v>
      </c>
      <c r="C53" s="1" t="n">
        <v>45360</v>
      </c>
      <c r="D53" t="inlineStr">
        <is>
          <t>VÄSTMANLANDS LÄN</t>
        </is>
      </c>
      <c r="E53" t="inlineStr">
        <is>
          <t>KÖPING</t>
        </is>
      </c>
      <c r="G53" t="n">
        <v>0.6</v>
      </c>
      <c r="H53" t="n">
        <v>0</v>
      </c>
      <c r="I53" t="n">
        <v>0</v>
      </c>
      <c r="J53" t="n">
        <v>0</v>
      </c>
      <c r="K53" t="n">
        <v>0</v>
      </c>
      <c r="L53" t="n">
        <v>0</v>
      </c>
      <c r="M53" t="n">
        <v>0</v>
      </c>
      <c r="N53" t="n">
        <v>0</v>
      </c>
      <c r="O53" t="n">
        <v>0</v>
      </c>
      <c r="P53" t="n">
        <v>0</v>
      </c>
      <c r="Q53" t="n">
        <v>0</v>
      </c>
      <c r="R53" s="2" t="inlineStr"/>
    </row>
    <row r="54" ht="15" customHeight="1">
      <c r="A54" t="inlineStr">
        <is>
          <t>A 14318-2019</t>
        </is>
      </c>
      <c r="B54" s="1" t="n">
        <v>43535</v>
      </c>
      <c r="C54" s="1" t="n">
        <v>45360</v>
      </c>
      <c r="D54" t="inlineStr">
        <is>
          <t>VÄSTMANLANDS LÄN</t>
        </is>
      </c>
      <c r="E54" t="inlineStr">
        <is>
          <t>KÖPING</t>
        </is>
      </c>
      <c r="G54" t="n">
        <v>0.3</v>
      </c>
      <c r="H54" t="n">
        <v>0</v>
      </c>
      <c r="I54" t="n">
        <v>0</v>
      </c>
      <c r="J54" t="n">
        <v>0</v>
      </c>
      <c r="K54" t="n">
        <v>0</v>
      </c>
      <c r="L54" t="n">
        <v>0</v>
      </c>
      <c r="M54" t="n">
        <v>0</v>
      </c>
      <c r="N54" t="n">
        <v>0</v>
      </c>
      <c r="O54" t="n">
        <v>0</v>
      </c>
      <c r="P54" t="n">
        <v>0</v>
      </c>
      <c r="Q54" t="n">
        <v>0</v>
      </c>
      <c r="R54" s="2" t="inlineStr"/>
    </row>
    <row r="55" ht="15" customHeight="1">
      <c r="A55" t="inlineStr">
        <is>
          <t>A 17915-2019</t>
        </is>
      </c>
      <c r="B55" s="1" t="n">
        <v>43557</v>
      </c>
      <c r="C55" s="1" t="n">
        <v>45360</v>
      </c>
      <c r="D55" t="inlineStr">
        <is>
          <t>VÄSTMANLANDS LÄN</t>
        </is>
      </c>
      <c r="E55" t="inlineStr">
        <is>
          <t>KÖPING</t>
        </is>
      </c>
      <c r="G55" t="n">
        <v>2.7</v>
      </c>
      <c r="H55" t="n">
        <v>0</v>
      </c>
      <c r="I55" t="n">
        <v>0</v>
      </c>
      <c r="J55" t="n">
        <v>0</v>
      </c>
      <c r="K55" t="n">
        <v>0</v>
      </c>
      <c r="L55" t="n">
        <v>0</v>
      </c>
      <c r="M55" t="n">
        <v>0</v>
      </c>
      <c r="N55" t="n">
        <v>0</v>
      </c>
      <c r="O55" t="n">
        <v>0</v>
      </c>
      <c r="P55" t="n">
        <v>0</v>
      </c>
      <c r="Q55" t="n">
        <v>0</v>
      </c>
      <c r="R55" s="2" t="inlineStr"/>
    </row>
    <row r="56" ht="15" customHeight="1">
      <c r="A56" t="inlineStr">
        <is>
          <t>A 24107-2019</t>
        </is>
      </c>
      <c r="B56" s="1" t="n">
        <v>43595</v>
      </c>
      <c r="C56" s="1" t="n">
        <v>45360</v>
      </c>
      <c r="D56" t="inlineStr">
        <is>
          <t>VÄSTMANLANDS LÄN</t>
        </is>
      </c>
      <c r="E56" t="inlineStr">
        <is>
          <t>KÖPING</t>
        </is>
      </c>
      <c r="G56" t="n">
        <v>5.6</v>
      </c>
      <c r="H56" t="n">
        <v>0</v>
      </c>
      <c r="I56" t="n">
        <v>0</v>
      </c>
      <c r="J56" t="n">
        <v>0</v>
      </c>
      <c r="K56" t="n">
        <v>0</v>
      </c>
      <c r="L56" t="n">
        <v>0</v>
      </c>
      <c r="M56" t="n">
        <v>0</v>
      </c>
      <c r="N56" t="n">
        <v>0</v>
      </c>
      <c r="O56" t="n">
        <v>0</v>
      </c>
      <c r="P56" t="n">
        <v>0</v>
      </c>
      <c r="Q56" t="n">
        <v>0</v>
      </c>
      <c r="R56" s="2" t="inlineStr"/>
    </row>
    <row r="57" ht="15" customHeight="1">
      <c r="A57" t="inlineStr">
        <is>
          <t>A 24017-2019</t>
        </is>
      </c>
      <c r="B57" s="1" t="n">
        <v>43598</v>
      </c>
      <c r="C57" s="1" t="n">
        <v>45360</v>
      </c>
      <c r="D57" t="inlineStr">
        <is>
          <t>VÄSTMANLANDS LÄN</t>
        </is>
      </c>
      <c r="E57" t="inlineStr">
        <is>
          <t>KÖPING</t>
        </is>
      </c>
      <c r="F57" t="inlineStr">
        <is>
          <t>Sveaskog</t>
        </is>
      </c>
      <c r="G57" t="n">
        <v>1.1</v>
      </c>
      <c r="H57" t="n">
        <v>0</v>
      </c>
      <c r="I57" t="n">
        <v>0</v>
      </c>
      <c r="J57" t="n">
        <v>0</v>
      </c>
      <c r="K57" t="n">
        <v>0</v>
      </c>
      <c r="L57" t="n">
        <v>0</v>
      </c>
      <c r="M57" t="n">
        <v>0</v>
      </c>
      <c r="N57" t="n">
        <v>0</v>
      </c>
      <c r="O57" t="n">
        <v>0</v>
      </c>
      <c r="P57" t="n">
        <v>0</v>
      </c>
      <c r="Q57" t="n">
        <v>0</v>
      </c>
      <c r="R57" s="2" t="inlineStr"/>
    </row>
    <row r="58" ht="15" customHeight="1">
      <c r="A58" t="inlineStr">
        <is>
          <t>A 24417-2019</t>
        </is>
      </c>
      <c r="B58" s="1" t="n">
        <v>43600</v>
      </c>
      <c r="C58" s="1" t="n">
        <v>45360</v>
      </c>
      <c r="D58" t="inlineStr">
        <is>
          <t>VÄSTMANLANDS LÄN</t>
        </is>
      </c>
      <c r="E58" t="inlineStr">
        <is>
          <t>KÖPING</t>
        </is>
      </c>
      <c r="G58" t="n">
        <v>2.8</v>
      </c>
      <c r="H58" t="n">
        <v>0</v>
      </c>
      <c r="I58" t="n">
        <v>0</v>
      </c>
      <c r="J58" t="n">
        <v>0</v>
      </c>
      <c r="K58" t="n">
        <v>0</v>
      </c>
      <c r="L58" t="n">
        <v>0</v>
      </c>
      <c r="M58" t="n">
        <v>0</v>
      </c>
      <c r="N58" t="n">
        <v>0</v>
      </c>
      <c r="O58" t="n">
        <v>0</v>
      </c>
      <c r="P58" t="n">
        <v>0</v>
      </c>
      <c r="Q58" t="n">
        <v>0</v>
      </c>
      <c r="R58" s="2" t="inlineStr"/>
    </row>
    <row r="59" ht="15" customHeight="1">
      <c r="A59" t="inlineStr">
        <is>
          <t>A 24909-2019</t>
        </is>
      </c>
      <c r="B59" s="1" t="n">
        <v>43602</v>
      </c>
      <c r="C59" s="1" t="n">
        <v>45360</v>
      </c>
      <c r="D59" t="inlineStr">
        <is>
          <t>VÄSTMANLANDS LÄN</t>
        </is>
      </c>
      <c r="E59" t="inlineStr">
        <is>
          <t>KÖPING</t>
        </is>
      </c>
      <c r="G59" t="n">
        <v>6.2</v>
      </c>
      <c r="H59" t="n">
        <v>0</v>
      </c>
      <c r="I59" t="n">
        <v>0</v>
      </c>
      <c r="J59" t="n">
        <v>0</v>
      </c>
      <c r="K59" t="n">
        <v>0</v>
      </c>
      <c r="L59" t="n">
        <v>0</v>
      </c>
      <c r="M59" t="n">
        <v>0</v>
      </c>
      <c r="N59" t="n">
        <v>0</v>
      </c>
      <c r="O59" t="n">
        <v>0</v>
      </c>
      <c r="P59" t="n">
        <v>0</v>
      </c>
      <c r="Q59" t="n">
        <v>0</v>
      </c>
      <c r="R59" s="2" t="inlineStr"/>
    </row>
    <row r="60" ht="15" customHeight="1">
      <c r="A60" t="inlineStr">
        <is>
          <t>A 25741-2019</t>
        </is>
      </c>
      <c r="B60" s="1" t="n">
        <v>43608</v>
      </c>
      <c r="C60" s="1" t="n">
        <v>45360</v>
      </c>
      <c r="D60" t="inlineStr">
        <is>
          <t>VÄSTMANLANDS LÄN</t>
        </is>
      </c>
      <c r="E60" t="inlineStr">
        <is>
          <t>KÖPING</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26414-2019</t>
        </is>
      </c>
      <c r="B61" s="1" t="n">
        <v>43612</v>
      </c>
      <c r="C61" s="1" t="n">
        <v>45360</v>
      </c>
      <c r="D61" t="inlineStr">
        <is>
          <t>VÄSTMANLANDS LÄN</t>
        </is>
      </c>
      <c r="E61" t="inlineStr">
        <is>
          <t>KÖPING</t>
        </is>
      </c>
      <c r="G61" t="n">
        <v>1.2</v>
      </c>
      <c r="H61" t="n">
        <v>0</v>
      </c>
      <c r="I61" t="n">
        <v>0</v>
      </c>
      <c r="J61" t="n">
        <v>0</v>
      </c>
      <c r="K61" t="n">
        <v>0</v>
      </c>
      <c r="L61" t="n">
        <v>0</v>
      </c>
      <c r="M61" t="n">
        <v>0</v>
      </c>
      <c r="N61" t="n">
        <v>0</v>
      </c>
      <c r="O61" t="n">
        <v>0</v>
      </c>
      <c r="P61" t="n">
        <v>0</v>
      </c>
      <c r="Q61" t="n">
        <v>0</v>
      </c>
      <c r="R61" s="2" t="inlineStr"/>
    </row>
    <row r="62" ht="15" customHeight="1">
      <c r="A62" t="inlineStr">
        <is>
          <t>A 27182-2019</t>
        </is>
      </c>
      <c r="B62" s="1" t="n">
        <v>43614</v>
      </c>
      <c r="C62" s="1" t="n">
        <v>45360</v>
      </c>
      <c r="D62" t="inlineStr">
        <is>
          <t>VÄSTMANLANDS LÄN</t>
        </is>
      </c>
      <c r="E62" t="inlineStr">
        <is>
          <t>KÖPING</t>
        </is>
      </c>
      <c r="G62" t="n">
        <v>6</v>
      </c>
      <c r="H62" t="n">
        <v>0</v>
      </c>
      <c r="I62" t="n">
        <v>0</v>
      </c>
      <c r="J62" t="n">
        <v>0</v>
      </c>
      <c r="K62" t="n">
        <v>0</v>
      </c>
      <c r="L62" t="n">
        <v>0</v>
      </c>
      <c r="M62" t="n">
        <v>0</v>
      </c>
      <c r="N62" t="n">
        <v>0</v>
      </c>
      <c r="O62" t="n">
        <v>0</v>
      </c>
      <c r="P62" t="n">
        <v>0</v>
      </c>
      <c r="Q62" t="n">
        <v>0</v>
      </c>
      <c r="R62" s="2" t="inlineStr"/>
    </row>
    <row r="63" ht="15" customHeight="1">
      <c r="A63" t="inlineStr">
        <is>
          <t>A 27381-2019</t>
        </is>
      </c>
      <c r="B63" s="1" t="n">
        <v>43616</v>
      </c>
      <c r="C63" s="1" t="n">
        <v>45360</v>
      </c>
      <c r="D63" t="inlineStr">
        <is>
          <t>VÄSTMANLANDS LÄN</t>
        </is>
      </c>
      <c r="E63" t="inlineStr">
        <is>
          <t>KÖPING</t>
        </is>
      </c>
      <c r="G63" t="n">
        <v>3.3</v>
      </c>
      <c r="H63" t="n">
        <v>0</v>
      </c>
      <c r="I63" t="n">
        <v>0</v>
      </c>
      <c r="J63" t="n">
        <v>0</v>
      </c>
      <c r="K63" t="n">
        <v>0</v>
      </c>
      <c r="L63" t="n">
        <v>0</v>
      </c>
      <c r="M63" t="n">
        <v>0</v>
      </c>
      <c r="N63" t="n">
        <v>0</v>
      </c>
      <c r="O63" t="n">
        <v>0</v>
      </c>
      <c r="P63" t="n">
        <v>0</v>
      </c>
      <c r="Q63" t="n">
        <v>0</v>
      </c>
      <c r="R63" s="2" t="inlineStr"/>
    </row>
    <row r="64" ht="15" customHeight="1">
      <c r="A64" t="inlineStr">
        <is>
          <t>A 27391-2019</t>
        </is>
      </c>
      <c r="B64" s="1" t="n">
        <v>43616</v>
      </c>
      <c r="C64" s="1" t="n">
        <v>45360</v>
      </c>
      <c r="D64" t="inlineStr">
        <is>
          <t>VÄSTMANLANDS LÄN</t>
        </is>
      </c>
      <c r="E64" t="inlineStr">
        <is>
          <t>KÖPING</t>
        </is>
      </c>
      <c r="G64" t="n">
        <v>2.1</v>
      </c>
      <c r="H64" t="n">
        <v>0</v>
      </c>
      <c r="I64" t="n">
        <v>0</v>
      </c>
      <c r="J64" t="n">
        <v>0</v>
      </c>
      <c r="K64" t="n">
        <v>0</v>
      </c>
      <c r="L64" t="n">
        <v>0</v>
      </c>
      <c r="M64" t="n">
        <v>0</v>
      </c>
      <c r="N64" t="n">
        <v>0</v>
      </c>
      <c r="O64" t="n">
        <v>0</v>
      </c>
      <c r="P64" t="n">
        <v>0</v>
      </c>
      <c r="Q64" t="n">
        <v>0</v>
      </c>
      <c r="R64" s="2" t="inlineStr"/>
    </row>
    <row r="65" ht="15" customHeight="1">
      <c r="A65" t="inlineStr">
        <is>
          <t>A 27914-2019</t>
        </is>
      </c>
      <c r="B65" s="1" t="n">
        <v>43620</v>
      </c>
      <c r="C65" s="1" t="n">
        <v>45360</v>
      </c>
      <c r="D65" t="inlineStr">
        <is>
          <t>VÄSTMANLANDS LÄN</t>
        </is>
      </c>
      <c r="E65" t="inlineStr">
        <is>
          <t>KÖPING</t>
        </is>
      </c>
      <c r="G65" t="n">
        <v>7.6</v>
      </c>
      <c r="H65" t="n">
        <v>0</v>
      </c>
      <c r="I65" t="n">
        <v>0</v>
      </c>
      <c r="J65" t="n">
        <v>0</v>
      </c>
      <c r="K65" t="n">
        <v>0</v>
      </c>
      <c r="L65" t="n">
        <v>0</v>
      </c>
      <c r="M65" t="n">
        <v>0</v>
      </c>
      <c r="N65" t="n">
        <v>0</v>
      </c>
      <c r="O65" t="n">
        <v>0</v>
      </c>
      <c r="P65" t="n">
        <v>0</v>
      </c>
      <c r="Q65" t="n">
        <v>0</v>
      </c>
      <c r="R65" s="2" t="inlineStr"/>
    </row>
    <row r="66" ht="15" customHeight="1">
      <c r="A66" t="inlineStr">
        <is>
          <t>A 28189-2019</t>
        </is>
      </c>
      <c r="B66" s="1" t="n">
        <v>43621</v>
      </c>
      <c r="C66" s="1" t="n">
        <v>45360</v>
      </c>
      <c r="D66" t="inlineStr">
        <is>
          <t>VÄSTMANLANDS LÄN</t>
        </is>
      </c>
      <c r="E66" t="inlineStr">
        <is>
          <t>KÖPING</t>
        </is>
      </c>
      <c r="G66" t="n">
        <v>1.8</v>
      </c>
      <c r="H66" t="n">
        <v>0</v>
      </c>
      <c r="I66" t="n">
        <v>0</v>
      </c>
      <c r="J66" t="n">
        <v>0</v>
      </c>
      <c r="K66" t="n">
        <v>0</v>
      </c>
      <c r="L66" t="n">
        <v>0</v>
      </c>
      <c r="M66" t="n">
        <v>0</v>
      </c>
      <c r="N66" t="n">
        <v>0</v>
      </c>
      <c r="O66" t="n">
        <v>0</v>
      </c>
      <c r="P66" t="n">
        <v>0</v>
      </c>
      <c r="Q66" t="n">
        <v>0</v>
      </c>
      <c r="R66" s="2" t="inlineStr"/>
    </row>
    <row r="67" ht="15" customHeight="1">
      <c r="A67" t="inlineStr">
        <is>
          <t>A 28359-2019</t>
        </is>
      </c>
      <c r="B67" s="1" t="n">
        <v>43625</v>
      </c>
      <c r="C67" s="1" t="n">
        <v>45360</v>
      </c>
      <c r="D67" t="inlineStr">
        <is>
          <t>VÄSTMANLANDS LÄN</t>
        </is>
      </c>
      <c r="E67" t="inlineStr">
        <is>
          <t>KÖPING</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31641-2019</t>
        </is>
      </c>
      <c r="B68" s="1" t="n">
        <v>43640</v>
      </c>
      <c r="C68" s="1" t="n">
        <v>45360</v>
      </c>
      <c r="D68" t="inlineStr">
        <is>
          <t>VÄSTMANLANDS LÄN</t>
        </is>
      </c>
      <c r="E68" t="inlineStr">
        <is>
          <t>KÖPING</t>
        </is>
      </c>
      <c r="G68" t="n">
        <v>1.6</v>
      </c>
      <c r="H68" t="n">
        <v>0</v>
      </c>
      <c r="I68" t="n">
        <v>0</v>
      </c>
      <c r="J68" t="n">
        <v>0</v>
      </c>
      <c r="K68" t="n">
        <v>0</v>
      </c>
      <c r="L68" t="n">
        <v>0</v>
      </c>
      <c r="M68" t="n">
        <v>0</v>
      </c>
      <c r="N68" t="n">
        <v>0</v>
      </c>
      <c r="O68" t="n">
        <v>0</v>
      </c>
      <c r="P68" t="n">
        <v>0</v>
      </c>
      <c r="Q68" t="n">
        <v>0</v>
      </c>
      <c r="R68" s="2" t="inlineStr"/>
    </row>
    <row r="69" ht="15" customHeight="1">
      <c r="A69" t="inlineStr">
        <is>
          <t>A 32448-2019</t>
        </is>
      </c>
      <c r="B69" s="1" t="n">
        <v>43644</v>
      </c>
      <c r="C69" s="1" t="n">
        <v>45360</v>
      </c>
      <c r="D69" t="inlineStr">
        <is>
          <t>VÄSTMANLANDS LÄN</t>
        </is>
      </c>
      <c r="E69" t="inlineStr">
        <is>
          <t>KÖPING</t>
        </is>
      </c>
      <c r="G69" t="n">
        <v>5.6</v>
      </c>
      <c r="H69" t="n">
        <v>0</v>
      </c>
      <c r="I69" t="n">
        <v>0</v>
      </c>
      <c r="J69" t="n">
        <v>0</v>
      </c>
      <c r="K69" t="n">
        <v>0</v>
      </c>
      <c r="L69" t="n">
        <v>0</v>
      </c>
      <c r="M69" t="n">
        <v>0</v>
      </c>
      <c r="N69" t="n">
        <v>0</v>
      </c>
      <c r="O69" t="n">
        <v>0</v>
      </c>
      <c r="P69" t="n">
        <v>0</v>
      </c>
      <c r="Q69" t="n">
        <v>0</v>
      </c>
      <c r="R69" s="2" t="inlineStr"/>
    </row>
    <row r="70" ht="15" customHeight="1">
      <c r="A70" t="inlineStr">
        <is>
          <t>A 33758-2019</t>
        </is>
      </c>
      <c r="B70" s="1" t="n">
        <v>43651</v>
      </c>
      <c r="C70" s="1" t="n">
        <v>45360</v>
      </c>
      <c r="D70" t="inlineStr">
        <is>
          <t>VÄSTMANLANDS LÄN</t>
        </is>
      </c>
      <c r="E70" t="inlineStr">
        <is>
          <t>KÖPING</t>
        </is>
      </c>
      <c r="G70" t="n">
        <v>1.4</v>
      </c>
      <c r="H70" t="n">
        <v>0</v>
      </c>
      <c r="I70" t="n">
        <v>0</v>
      </c>
      <c r="J70" t="n">
        <v>0</v>
      </c>
      <c r="K70" t="n">
        <v>0</v>
      </c>
      <c r="L70" t="n">
        <v>0</v>
      </c>
      <c r="M70" t="n">
        <v>0</v>
      </c>
      <c r="N70" t="n">
        <v>0</v>
      </c>
      <c r="O70" t="n">
        <v>0</v>
      </c>
      <c r="P70" t="n">
        <v>0</v>
      </c>
      <c r="Q70" t="n">
        <v>0</v>
      </c>
      <c r="R70" s="2" t="inlineStr"/>
    </row>
    <row r="71" ht="15" customHeight="1">
      <c r="A71" t="inlineStr">
        <is>
          <t>A 33782-2019</t>
        </is>
      </c>
      <c r="B71" s="1" t="n">
        <v>43651</v>
      </c>
      <c r="C71" s="1" t="n">
        <v>45360</v>
      </c>
      <c r="D71" t="inlineStr">
        <is>
          <t>VÄSTMANLANDS LÄN</t>
        </is>
      </c>
      <c r="E71" t="inlineStr">
        <is>
          <t>KÖPING</t>
        </is>
      </c>
      <c r="G71" t="n">
        <v>0.6</v>
      </c>
      <c r="H71" t="n">
        <v>0</v>
      </c>
      <c r="I71" t="n">
        <v>0</v>
      </c>
      <c r="J71" t="n">
        <v>0</v>
      </c>
      <c r="K71" t="n">
        <v>0</v>
      </c>
      <c r="L71" t="n">
        <v>0</v>
      </c>
      <c r="M71" t="n">
        <v>0</v>
      </c>
      <c r="N71" t="n">
        <v>0</v>
      </c>
      <c r="O71" t="n">
        <v>0</v>
      </c>
      <c r="P71" t="n">
        <v>0</v>
      </c>
      <c r="Q71" t="n">
        <v>0</v>
      </c>
      <c r="R71" s="2" t="inlineStr"/>
    </row>
    <row r="72" ht="15" customHeight="1">
      <c r="A72" t="inlineStr">
        <is>
          <t>A 34010-2019</t>
        </is>
      </c>
      <c r="B72" s="1" t="n">
        <v>43654</v>
      </c>
      <c r="C72" s="1" t="n">
        <v>45360</v>
      </c>
      <c r="D72" t="inlineStr">
        <is>
          <t>VÄSTMANLANDS LÄN</t>
        </is>
      </c>
      <c r="E72" t="inlineStr">
        <is>
          <t>KÖPING</t>
        </is>
      </c>
      <c r="G72" t="n">
        <v>0.4</v>
      </c>
      <c r="H72" t="n">
        <v>0</v>
      </c>
      <c r="I72" t="n">
        <v>0</v>
      </c>
      <c r="J72" t="n">
        <v>0</v>
      </c>
      <c r="K72" t="n">
        <v>0</v>
      </c>
      <c r="L72" t="n">
        <v>0</v>
      </c>
      <c r="M72" t="n">
        <v>0</v>
      </c>
      <c r="N72" t="n">
        <v>0</v>
      </c>
      <c r="O72" t="n">
        <v>0</v>
      </c>
      <c r="P72" t="n">
        <v>0</v>
      </c>
      <c r="Q72" t="n">
        <v>0</v>
      </c>
      <c r="R72" s="2" t="inlineStr"/>
    </row>
    <row r="73" ht="15" customHeight="1">
      <c r="A73" t="inlineStr">
        <is>
          <t>A 35787-2019</t>
        </is>
      </c>
      <c r="B73" s="1" t="n">
        <v>43656</v>
      </c>
      <c r="C73" s="1" t="n">
        <v>45360</v>
      </c>
      <c r="D73" t="inlineStr">
        <is>
          <t>VÄSTMANLANDS LÄN</t>
        </is>
      </c>
      <c r="E73" t="inlineStr">
        <is>
          <t>KÖPING</t>
        </is>
      </c>
      <c r="G73" t="n">
        <v>0.9</v>
      </c>
      <c r="H73" t="n">
        <v>0</v>
      </c>
      <c r="I73" t="n">
        <v>0</v>
      </c>
      <c r="J73" t="n">
        <v>0</v>
      </c>
      <c r="K73" t="n">
        <v>0</v>
      </c>
      <c r="L73" t="n">
        <v>0</v>
      </c>
      <c r="M73" t="n">
        <v>0</v>
      </c>
      <c r="N73" t="n">
        <v>0</v>
      </c>
      <c r="O73" t="n">
        <v>0</v>
      </c>
      <c r="P73" t="n">
        <v>0</v>
      </c>
      <c r="Q73" t="n">
        <v>0</v>
      </c>
      <c r="R73" s="2" t="inlineStr"/>
    </row>
    <row r="74" ht="15" customHeight="1">
      <c r="A74" t="inlineStr">
        <is>
          <t>A 35779-2019</t>
        </is>
      </c>
      <c r="B74" s="1" t="n">
        <v>43656</v>
      </c>
      <c r="C74" s="1" t="n">
        <v>45360</v>
      </c>
      <c r="D74" t="inlineStr">
        <is>
          <t>VÄSTMANLANDS LÄN</t>
        </is>
      </c>
      <c r="E74" t="inlineStr">
        <is>
          <t>KÖPING</t>
        </is>
      </c>
      <c r="G74" t="n">
        <v>0.6</v>
      </c>
      <c r="H74" t="n">
        <v>0</v>
      </c>
      <c r="I74" t="n">
        <v>0</v>
      </c>
      <c r="J74" t="n">
        <v>0</v>
      </c>
      <c r="K74" t="n">
        <v>0</v>
      </c>
      <c r="L74" t="n">
        <v>0</v>
      </c>
      <c r="M74" t="n">
        <v>0</v>
      </c>
      <c r="N74" t="n">
        <v>0</v>
      </c>
      <c r="O74" t="n">
        <v>0</v>
      </c>
      <c r="P74" t="n">
        <v>0</v>
      </c>
      <c r="Q74" t="n">
        <v>0</v>
      </c>
      <c r="R74" s="2" t="inlineStr"/>
    </row>
    <row r="75" ht="15" customHeight="1">
      <c r="A75" t="inlineStr">
        <is>
          <t>A 35939-2019</t>
        </is>
      </c>
      <c r="B75" s="1" t="n">
        <v>43665</v>
      </c>
      <c r="C75" s="1" t="n">
        <v>45360</v>
      </c>
      <c r="D75" t="inlineStr">
        <is>
          <t>VÄSTMANLANDS LÄN</t>
        </is>
      </c>
      <c r="E75" t="inlineStr">
        <is>
          <t>KÖPING</t>
        </is>
      </c>
      <c r="F75" t="inlineStr">
        <is>
          <t>Sveaskog</t>
        </is>
      </c>
      <c r="G75" t="n">
        <v>4.1</v>
      </c>
      <c r="H75" t="n">
        <v>0</v>
      </c>
      <c r="I75" t="n">
        <v>0</v>
      </c>
      <c r="J75" t="n">
        <v>0</v>
      </c>
      <c r="K75" t="n">
        <v>0</v>
      </c>
      <c r="L75" t="n">
        <v>0</v>
      </c>
      <c r="M75" t="n">
        <v>0</v>
      </c>
      <c r="N75" t="n">
        <v>0</v>
      </c>
      <c r="O75" t="n">
        <v>0</v>
      </c>
      <c r="P75" t="n">
        <v>0</v>
      </c>
      <c r="Q75" t="n">
        <v>0</v>
      </c>
      <c r="R75" s="2" t="inlineStr"/>
    </row>
    <row r="76" ht="15" customHeight="1">
      <c r="A76" t="inlineStr">
        <is>
          <t>A 38489-2019</t>
        </is>
      </c>
      <c r="B76" s="1" t="n">
        <v>43685</v>
      </c>
      <c r="C76" s="1" t="n">
        <v>45360</v>
      </c>
      <c r="D76" t="inlineStr">
        <is>
          <t>VÄSTMANLANDS LÄN</t>
        </is>
      </c>
      <c r="E76" t="inlineStr">
        <is>
          <t>KÖPING</t>
        </is>
      </c>
      <c r="G76" t="n">
        <v>2.5</v>
      </c>
      <c r="H76" t="n">
        <v>0</v>
      </c>
      <c r="I76" t="n">
        <v>0</v>
      </c>
      <c r="J76" t="n">
        <v>0</v>
      </c>
      <c r="K76" t="n">
        <v>0</v>
      </c>
      <c r="L76" t="n">
        <v>0</v>
      </c>
      <c r="M76" t="n">
        <v>0</v>
      </c>
      <c r="N76" t="n">
        <v>0</v>
      </c>
      <c r="O76" t="n">
        <v>0</v>
      </c>
      <c r="P76" t="n">
        <v>0</v>
      </c>
      <c r="Q76" t="n">
        <v>0</v>
      </c>
      <c r="R76" s="2" t="inlineStr"/>
    </row>
    <row r="77" ht="15" customHeight="1">
      <c r="A77" t="inlineStr">
        <is>
          <t>A 38487-2019</t>
        </is>
      </c>
      <c r="B77" s="1" t="n">
        <v>43685</v>
      </c>
      <c r="C77" s="1" t="n">
        <v>45360</v>
      </c>
      <c r="D77" t="inlineStr">
        <is>
          <t>VÄSTMANLANDS LÄN</t>
        </is>
      </c>
      <c r="E77" t="inlineStr">
        <is>
          <t>KÖPING</t>
        </is>
      </c>
      <c r="G77" t="n">
        <v>4.6</v>
      </c>
      <c r="H77" t="n">
        <v>0</v>
      </c>
      <c r="I77" t="n">
        <v>0</v>
      </c>
      <c r="J77" t="n">
        <v>0</v>
      </c>
      <c r="K77" t="n">
        <v>0</v>
      </c>
      <c r="L77" t="n">
        <v>0</v>
      </c>
      <c r="M77" t="n">
        <v>0</v>
      </c>
      <c r="N77" t="n">
        <v>0</v>
      </c>
      <c r="O77" t="n">
        <v>0</v>
      </c>
      <c r="P77" t="n">
        <v>0</v>
      </c>
      <c r="Q77" t="n">
        <v>0</v>
      </c>
      <c r="R77" s="2" t="inlineStr"/>
    </row>
    <row r="78" ht="15" customHeight="1">
      <c r="A78" t="inlineStr">
        <is>
          <t>A 39803-2019</t>
        </is>
      </c>
      <c r="B78" s="1" t="n">
        <v>43692</v>
      </c>
      <c r="C78" s="1" t="n">
        <v>45360</v>
      </c>
      <c r="D78" t="inlineStr">
        <is>
          <t>VÄSTMANLANDS LÄN</t>
        </is>
      </c>
      <c r="E78" t="inlineStr">
        <is>
          <t>KÖPING</t>
        </is>
      </c>
      <c r="G78" t="n">
        <v>1.1</v>
      </c>
      <c r="H78" t="n">
        <v>0</v>
      </c>
      <c r="I78" t="n">
        <v>0</v>
      </c>
      <c r="J78" t="n">
        <v>0</v>
      </c>
      <c r="K78" t="n">
        <v>0</v>
      </c>
      <c r="L78" t="n">
        <v>0</v>
      </c>
      <c r="M78" t="n">
        <v>0</v>
      </c>
      <c r="N78" t="n">
        <v>0</v>
      </c>
      <c r="O78" t="n">
        <v>0</v>
      </c>
      <c r="P78" t="n">
        <v>0</v>
      </c>
      <c r="Q78" t="n">
        <v>0</v>
      </c>
      <c r="R78" s="2" t="inlineStr"/>
    </row>
    <row r="79" ht="15" customHeight="1">
      <c r="A79" t="inlineStr">
        <is>
          <t>A 40923-2019</t>
        </is>
      </c>
      <c r="B79" s="1" t="n">
        <v>43697</v>
      </c>
      <c r="C79" s="1" t="n">
        <v>45360</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40925-2019</t>
        </is>
      </c>
      <c r="B80" s="1" t="n">
        <v>43697</v>
      </c>
      <c r="C80" s="1" t="n">
        <v>45360</v>
      </c>
      <c r="D80" t="inlineStr">
        <is>
          <t>VÄSTMANLANDS LÄN</t>
        </is>
      </c>
      <c r="E80" t="inlineStr">
        <is>
          <t>KÖPING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41568-2019</t>
        </is>
      </c>
      <c r="B81" s="1" t="n">
        <v>43699</v>
      </c>
      <c r="C81" s="1" t="n">
        <v>45360</v>
      </c>
      <c r="D81" t="inlineStr">
        <is>
          <t>VÄSTMANLANDS LÄN</t>
        </is>
      </c>
      <c r="E81" t="inlineStr">
        <is>
          <t>KÖPING</t>
        </is>
      </c>
      <c r="G81" t="n">
        <v>7.3</v>
      </c>
      <c r="H81" t="n">
        <v>0</v>
      </c>
      <c r="I81" t="n">
        <v>0</v>
      </c>
      <c r="J81" t="n">
        <v>0</v>
      </c>
      <c r="K81" t="n">
        <v>0</v>
      </c>
      <c r="L81" t="n">
        <v>0</v>
      </c>
      <c r="M81" t="n">
        <v>0</v>
      </c>
      <c r="N81" t="n">
        <v>0</v>
      </c>
      <c r="O81" t="n">
        <v>0</v>
      </c>
      <c r="P81" t="n">
        <v>0</v>
      </c>
      <c r="Q81" t="n">
        <v>0</v>
      </c>
      <c r="R81" s="2" t="inlineStr"/>
    </row>
    <row r="82" ht="15" customHeight="1">
      <c r="A82" t="inlineStr">
        <is>
          <t>A 42438-2019</t>
        </is>
      </c>
      <c r="B82" s="1" t="n">
        <v>43704</v>
      </c>
      <c r="C82" s="1" t="n">
        <v>45360</v>
      </c>
      <c r="D82" t="inlineStr">
        <is>
          <t>VÄSTMANLANDS LÄN</t>
        </is>
      </c>
      <c r="E82" t="inlineStr">
        <is>
          <t>KÖPING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42437-2019</t>
        </is>
      </c>
      <c r="B83" s="1" t="n">
        <v>43704</v>
      </c>
      <c r="C83" s="1" t="n">
        <v>45360</v>
      </c>
      <c r="D83" t="inlineStr">
        <is>
          <t>VÄSTMANLANDS LÄN</t>
        </is>
      </c>
      <c r="E83" t="inlineStr">
        <is>
          <t>KÖPING</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42450-2019</t>
        </is>
      </c>
      <c r="B84" s="1" t="n">
        <v>43704</v>
      </c>
      <c r="C84" s="1" t="n">
        <v>45360</v>
      </c>
      <c r="D84" t="inlineStr">
        <is>
          <t>VÄSTMANLANDS LÄN</t>
        </is>
      </c>
      <c r="E84" t="inlineStr">
        <is>
          <t>KÖPING</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42480-2019</t>
        </is>
      </c>
      <c r="B85" s="1" t="n">
        <v>43704</v>
      </c>
      <c r="C85" s="1" t="n">
        <v>45360</v>
      </c>
      <c r="D85" t="inlineStr">
        <is>
          <t>VÄSTMANLANDS LÄN</t>
        </is>
      </c>
      <c r="E85" t="inlineStr">
        <is>
          <t>KÖPING</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46303-2019</t>
        </is>
      </c>
      <c r="B86" s="1" t="n">
        <v>43718</v>
      </c>
      <c r="C86" s="1" t="n">
        <v>45360</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46306-2019</t>
        </is>
      </c>
      <c r="B87" s="1" t="n">
        <v>43718</v>
      </c>
      <c r="C87" s="1" t="n">
        <v>45360</v>
      </c>
      <c r="D87" t="inlineStr">
        <is>
          <t>VÄSTMANLANDS LÄN</t>
        </is>
      </c>
      <c r="E87" t="inlineStr">
        <is>
          <t>KÖPING</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49968-2019</t>
        </is>
      </c>
      <c r="B88" s="1" t="n">
        <v>43733</v>
      </c>
      <c r="C88" s="1" t="n">
        <v>45360</v>
      </c>
      <c r="D88" t="inlineStr">
        <is>
          <t>VÄSTMANLANDS LÄN</t>
        </is>
      </c>
      <c r="E88" t="inlineStr">
        <is>
          <t>KÖPING</t>
        </is>
      </c>
      <c r="G88" t="n">
        <v>2.2</v>
      </c>
      <c r="H88" t="n">
        <v>0</v>
      </c>
      <c r="I88" t="n">
        <v>0</v>
      </c>
      <c r="J88" t="n">
        <v>0</v>
      </c>
      <c r="K88" t="n">
        <v>0</v>
      </c>
      <c r="L88" t="n">
        <v>0</v>
      </c>
      <c r="M88" t="n">
        <v>0</v>
      </c>
      <c r="N88" t="n">
        <v>0</v>
      </c>
      <c r="O88" t="n">
        <v>0</v>
      </c>
      <c r="P88" t="n">
        <v>0</v>
      </c>
      <c r="Q88" t="n">
        <v>0</v>
      </c>
      <c r="R88" s="2" t="inlineStr"/>
    </row>
    <row r="89" ht="15" customHeight="1">
      <c r="A89" t="inlineStr">
        <is>
          <t>A 49821-2019</t>
        </is>
      </c>
      <c r="B89" s="1" t="n">
        <v>43733</v>
      </c>
      <c r="C89" s="1" t="n">
        <v>45360</v>
      </c>
      <c r="D89" t="inlineStr">
        <is>
          <t>VÄSTMANLANDS LÄN</t>
        </is>
      </c>
      <c r="E89" t="inlineStr">
        <is>
          <t>KÖPING</t>
        </is>
      </c>
      <c r="G89" t="n">
        <v>0.7</v>
      </c>
      <c r="H89" t="n">
        <v>0</v>
      </c>
      <c r="I89" t="n">
        <v>0</v>
      </c>
      <c r="J89" t="n">
        <v>0</v>
      </c>
      <c r="K89" t="n">
        <v>0</v>
      </c>
      <c r="L89" t="n">
        <v>0</v>
      </c>
      <c r="M89" t="n">
        <v>0</v>
      </c>
      <c r="N89" t="n">
        <v>0</v>
      </c>
      <c r="O89" t="n">
        <v>0</v>
      </c>
      <c r="P89" t="n">
        <v>0</v>
      </c>
      <c r="Q89" t="n">
        <v>0</v>
      </c>
      <c r="R89" s="2" t="inlineStr"/>
    </row>
    <row r="90" ht="15" customHeight="1">
      <c r="A90" t="inlineStr">
        <is>
          <t>A 52788-2019</t>
        </is>
      </c>
      <c r="B90" s="1" t="n">
        <v>43739</v>
      </c>
      <c r="C90" s="1" t="n">
        <v>45360</v>
      </c>
      <c r="D90" t="inlineStr">
        <is>
          <t>VÄSTMANLANDS LÄN</t>
        </is>
      </c>
      <c r="E90" t="inlineStr">
        <is>
          <t>KÖPING</t>
        </is>
      </c>
      <c r="G90" t="n">
        <v>0.6</v>
      </c>
      <c r="H90" t="n">
        <v>0</v>
      </c>
      <c r="I90" t="n">
        <v>0</v>
      </c>
      <c r="J90" t="n">
        <v>0</v>
      </c>
      <c r="K90" t="n">
        <v>0</v>
      </c>
      <c r="L90" t="n">
        <v>0</v>
      </c>
      <c r="M90" t="n">
        <v>0</v>
      </c>
      <c r="N90" t="n">
        <v>0</v>
      </c>
      <c r="O90" t="n">
        <v>0</v>
      </c>
      <c r="P90" t="n">
        <v>0</v>
      </c>
      <c r="Q90" t="n">
        <v>0</v>
      </c>
      <c r="R90" s="2" t="inlineStr"/>
    </row>
    <row r="91" ht="15" customHeight="1">
      <c r="A91" t="inlineStr">
        <is>
          <t>A 51647-2019</t>
        </is>
      </c>
      <c r="B91" s="1" t="n">
        <v>43740</v>
      </c>
      <c r="C91" s="1" t="n">
        <v>45360</v>
      </c>
      <c r="D91" t="inlineStr">
        <is>
          <t>VÄSTMANLANDS LÄN</t>
        </is>
      </c>
      <c r="E91" t="inlineStr">
        <is>
          <t>KÖPING</t>
        </is>
      </c>
      <c r="G91" t="n">
        <v>1.2</v>
      </c>
      <c r="H91" t="n">
        <v>0</v>
      </c>
      <c r="I91" t="n">
        <v>0</v>
      </c>
      <c r="J91" t="n">
        <v>0</v>
      </c>
      <c r="K91" t="n">
        <v>0</v>
      </c>
      <c r="L91" t="n">
        <v>0</v>
      </c>
      <c r="M91" t="n">
        <v>0</v>
      </c>
      <c r="N91" t="n">
        <v>0</v>
      </c>
      <c r="O91" t="n">
        <v>0</v>
      </c>
      <c r="P91" t="n">
        <v>0</v>
      </c>
      <c r="Q91" t="n">
        <v>0</v>
      </c>
      <c r="R91" s="2" t="inlineStr"/>
    </row>
    <row r="92" ht="15" customHeight="1">
      <c r="A92" t="inlineStr">
        <is>
          <t>A 51769-2019</t>
        </is>
      </c>
      <c r="B92" s="1" t="n">
        <v>43741</v>
      </c>
      <c r="C92" s="1" t="n">
        <v>45360</v>
      </c>
      <c r="D92" t="inlineStr">
        <is>
          <t>VÄSTMANLANDS LÄN</t>
        </is>
      </c>
      <c r="E92" t="inlineStr">
        <is>
          <t>KÖPING</t>
        </is>
      </c>
      <c r="G92" t="n">
        <v>0.5</v>
      </c>
      <c r="H92" t="n">
        <v>0</v>
      </c>
      <c r="I92" t="n">
        <v>0</v>
      </c>
      <c r="J92" t="n">
        <v>0</v>
      </c>
      <c r="K92" t="n">
        <v>0</v>
      </c>
      <c r="L92" t="n">
        <v>0</v>
      </c>
      <c r="M92" t="n">
        <v>0</v>
      </c>
      <c r="N92" t="n">
        <v>0</v>
      </c>
      <c r="O92" t="n">
        <v>0</v>
      </c>
      <c r="P92" t="n">
        <v>0</v>
      </c>
      <c r="Q92" t="n">
        <v>0</v>
      </c>
      <c r="R92" s="2" t="inlineStr"/>
    </row>
    <row r="93" ht="15" customHeight="1">
      <c r="A93" t="inlineStr">
        <is>
          <t>A 51844-2019</t>
        </is>
      </c>
      <c r="B93" s="1" t="n">
        <v>43741</v>
      </c>
      <c r="C93" s="1" t="n">
        <v>45360</v>
      </c>
      <c r="D93" t="inlineStr">
        <is>
          <t>VÄSTMANLANDS LÄN</t>
        </is>
      </c>
      <c r="E93" t="inlineStr">
        <is>
          <t>KÖPING</t>
        </is>
      </c>
      <c r="G93" t="n">
        <v>1.4</v>
      </c>
      <c r="H93" t="n">
        <v>0</v>
      </c>
      <c r="I93" t="n">
        <v>0</v>
      </c>
      <c r="J93" t="n">
        <v>0</v>
      </c>
      <c r="K93" t="n">
        <v>0</v>
      </c>
      <c r="L93" t="n">
        <v>0</v>
      </c>
      <c r="M93" t="n">
        <v>0</v>
      </c>
      <c r="N93" t="n">
        <v>0</v>
      </c>
      <c r="O93" t="n">
        <v>0</v>
      </c>
      <c r="P93" t="n">
        <v>0</v>
      </c>
      <c r="Q93" t="n">
        <v>0</v>
      </c>
      <c r="R93" s="2" t="inlineStr"/>
    </row>
    <row r="94" ht="15" customHeight="1">
      <c r="A94" t="inlineStr">
        <is>
          <t>A 55400-2019</t>
        </is>
      </c>
      <c r="B94" s="1" t="n">
        <v>43758</v>
      </c>
      <c r="C94" s="1" t="n">
        <v>45360</v>
      </c>
      <c r="D94" t="inlineStr">
        <is>
          <t>VÄSTMANLANDS LÄN</t>
        </is>
      </c>
      <c r="E94" t="inlineStr">
        <is>
          <t>KÖPING</t>
        </is>
      </c>
      <c r="G94" t="n">
        <v>1.7</v>
      </c>
      <c r="H94" t="n">
        <v>0</v>
      </c>
      <c r="I94" t="n">
        <v>0</v>
      </c>
      <c r="J94" t="n">
        <v>0</v>
      </c>
      <c r="K94" t="n">
        <v>0</v>
      </c>
      <c r="L94" t="n">
        <v>0</v>
      </c>
      <c r="M94" t="n">
        <v>0</v>
      </c>
      <c r="N94" t="n">
        <v>0</v>
      </c>
      <c r="O94" t="n">
        <v>0</v>
      </c>
      <c r="P94" t="n">
        <v>0</v>
      </c>
      <c r="Q94" t="n">
        <v>0</v>
      </c>
      <c r="R94" s="2" t="inlineStr"/>
    </row>
    <row r="95" ht="15" customHeight="1">
      <c r="A95" t="inlineStr">
        <is>
          <t>A 55659-2019</t>
        </is>
      </c>
      <c r="B95" s="1" t="n">
        <v>43760</v>
      </c>
      <c r="C95" s="1" t="n">
        <v>45360</v>
      </c>
      <c r="D95" t="inlineStr">
        <is>
          <t>VÄSTMANLANDS LÄN</t>
        </is>
      </c>
      <c r="E95" t="inlineStr">
        <is>
          <t>KÖPING</t>
        </is>
      </c>
      <c r="G95" t="n">
        <v>10.7</v>
      </c>
      <c r="H95" t="n">
        <v>0</v>
      </c>
      <c r="I95" t="n">
        <v>0</v>
      </c>
      <c r="J95" t="n">
        <v>0</v>
      </c>
      <c r="K95" t="n">
        <v>0</v>
      </c>
      <c r="L95" t="n">
        <v>0</v>
      </c>
      <c r="M95" t="n">
        <v>0</v>
      </c>
      <c r="N95" t="n">
        <v>0</v>
      </c>
      <c r="O95" t="n">
        <v>0</v>
      </c>
      <c r="P95" t="n">
        <v>0</v>
      </c>
      <c r="Q95" t="n">
        <v>0</v>
      </c>
      <c r="R95" s="2" t="inlineStr"/>
    </row>
    <row r="96" ht="15" customHeight="1">
      <c r="A96" t="inlineStr">
        <is>
          <t>A 56012-2019</t>
        </is>
      </c>
      <c r="B96" s="1" t="n">
        <v>43760</v>
      </c>
      <c r="C96" s="1" t="n">
        <v>45360</v>
      </c>
      <c r="D96" t="inlineStr">
        <is>
          <t>VÄSTMANLANDS LÄN</t>
        </is>
      </c>
      <c r="E96" t="inlineStr">
        <is>
          <t>KÖPING</t>
        </is>
      </c>
      <c r="G96" t="n">
        <v>2.2</v>
      </c>
      <c r="H96" t="n">
        <v>0</v>
      </c>
      <c r="I96" t="n">
        <v>0</v>
      </c>
      <c r="J96" t="n">
        <v>0</v>
      </c>
      <c r="K96" t="n">
        <v>0</v>
      </c>
      <c r="L96" t="n">
        <v>0</v>
      </c>
      <c r="M96" t="n">
        <v>0</v>
      </c>
      <c r="N96" t="n">
        <v>0</v>
      </c>
      <c r="O96" t="n">
        <v>0</v>
      </c>
      <c r="P96" t="n">
        <v>0</v>
      </c>
      <c r="Q96" t="n">
        <v>0</v>
      </c>
      <c r="R96" s="2" t="inlineStr"/>
    </row>
    <row r="97" ht="15" customHeight="1">
      <c r="A97" t="inlineStr">
        <is>
          <t>A 56152-2019</t>
        </is>
      </c>
      <c r="B97" s="1" t="n">
        <v>43761</v>
      </c>
      <c r="C97" s="1" t="n">
        <v>45360</v>
      </c>
      <c r="D97" t="inlineStr">
        <is>
          <t>VÄSTMANLANDS LÄN</t>
        </is>
      </c>
      <c r="E97" t="inlineStr">
        <is>
          <t>KÖPING</t>
        </is>
      </c>
      <c r="G97" t="n">
        <v>1.6</v>
      </c>
      <c r="H97" t="n">
        <v>0</v>
      </c>
      <c r="I97" t="n">
        <v>0</v>
      </c>
      <c r="J97" t="n">
        <v>0</v>
      </c>
      <c r="K97" t="n">
        <v>0</v>
      </c>
      <c r="L97" t="n">
        <v>0</v>
      </c>
      <c r="M97" t="n">
        <v>0</v>
      </c>
      <c r="N97" t="n">
        <v>0</v>
      </c>
      <c r="O97" t="n">
        <v>0</v>
      </c>
      <c r="P97" t="n">
        <v>0</v>
      </c>
      <c r="Q97" t="n">
        <v>0</v>
      </c>
      <c r="R97" s="2" t="inlineStr"/>
    </row>
    <row r="98" ht="15" customHeight="1">
      <c r="A98" t="inlineStr">
        <is>
          <t>A 55837-2019</t>
        </is>
      </c>
      <c r="B98" s="1" t="n">
        <v>43761</v>
      </c>
      <c r="C98" s="1" t="n">
        <v>45360</v>
      </c>
      <c r="D98" t="inlineStr">
        <is>
          <t>VÄSTMANLANDS LÄN</t>
        </is>
      </c>
      <c r="E98" t="inlineStr">
        <is>
          <t>KÖPING</t>
        </is>
      </c>
      <c r="G98" t="n">
        <v>23.2</v>
      </c>
      <c r="H98" t="n">
        <v>0</v>
      </c>
      <c r="I98" t="n">
        <v>0</v>
      </c>
      <c r="J98" t="n">
        <v>0</v>
      </c>
      <c r="K98" t="n">
        <v>0</v>
      </c>
      <c r="L98" t="n">
        <v>0</v>
      </c>
      <c r="M98" t="n">
        <v>0</v>
      </c>
      <c r="N98" t="n">
        <v>0</v>
      </c>
      <c r="O98" t="n">
        <v>0</v>
      </c>
      <c r="P98" t="n">
        <v>0</v>
      </c>
      <c r="Q98" t="n">
        <v>0</v>
      </c>
      <c r="R98" s="2" t="inlineStr"/>
    </row>
    <row r="99" ht="15" customHeight="1">
      <c r="A99" t="inlineStr">
        <is>
          <t>A 56156-2019</t>
        </is>
      </c>
      <c r="B99" s="1" t="n">
        <v>43761</v>
      </c>
      <c r="C99" s="1" t="n">
        <v>45360</v>
      </c>
      <c r="D99" t="inlineStr">
        <is>
          <t>VÄSTMANLANDS LÄN</t>
        </is>
      </c>
      <c r="E99" t="inlineStr">
        <is>
          <t>KÖPING</t>
        </is>
      </c>
      <c r="G99" t="n">
        <v>0.4</v>
      </c>
      <c r="H99" t="n">
        <v>0</v>
      </c>
      <c r="I99" t="n">
        <v>0</v>
      </c>
      <c r="J99" t="n">
        <v>0</v>
      </c>
      <c r="K99" t="n">
        <v>0</v>
      </c>
      <c r="L99" t="n">
        <v>0</v>
      </c>
      <c r="M99" t="n">
        <v>0</v>
      </c>
      <c r="N99" t="n">
        <v>0</v>
      </c>
      <c r="O99" t="n">
        <v>0</v>
      </c>
      <c r="P99" t="n">
        <v>0</v>
      </c>
      <c r="Q99" t="n">
        <v>0</v>
      </c>
      <c r="R99" s="2" t="inlineStr"/>
    </row>
    <row r="100" ht="15" customHeight="1">
      <c r="A100" t="inlineStr">
        <is>
          <t>A 56618-2019</t>
        </is>
      </c>
      <c r="B100" s="1" t="n">
        <v>43763</v>
      </c>
      <c r="C100" s="1" t="n">
        <v>45360</v>
      </c>
      <c r="D100" t="inlineStr">
        <is>
          <t>VÄSTMANLANDS LÄN</t>
        </is>
      </c>
      <c r="E100" t="inlineStr">
        <is>
          <t>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56616-2019</t>
        </is>
      </c>
      <c r="B101" s="1" t="n">
        <v>43763</v>
      </c>
      <c r="C101" s="1" t="n">
        <v>45360</v>
      </c>
      <c r="D101" t="inlineStr">
        <is>
          <t>VÄSTMANLANDS LÄN</t>
        </is>
      </c>
      <c r="E101" t="inlineStr">
        <is>
          <t>KÖPING</t>
        </is>
      </c>
      <c r="G101" t="n">
        <v>2.1</v>
      </c>
      <c r="H101" t="n">
        <v>0</v>
      </c>
      <c r="I101" t="n">
        <v>0</v>
      </c>
      <c r="J101" t="n">
        <v>0</v>
      </c>
      <c r="K101" t="n">
        <v>0</v>
      </c>
      <c r="L101" t="n">
        <v>0</v>
      </c>
      <c r="M101" t="n">
        <v>0</v>
      </c>
      <c r="N101" t="n">
        <v>0</v>
      </c>
      <c r="O101" t="n">
        <v>0</v>
      </c>
      <c r="P101" t="n">
        <v>0</v>
      </c>
      <c r="Q101" t="n">
        <v>0</v>
      </c>
      <c r="R101" s="2" t="inlineStr"/>
    </row>
    <row r="102" ht="15" customHeight="1">
      <c r="A102" t="inlineStr">
        <is>
          <t>A 56607-2019</t>
        </is>
      </c>
      <c r="B102" s="1" t="n">
        <v>43763</v>
      </c>
      <c r="C102" s="1" t="n">
        <v>45360</v>
      </c>
      <c r="D102" t="inlineStr">
        <is>
          <t>VÄSTMANLANDS LÄN</t>
        </is>
      </c>
      <c r="E102" t="inlineStr">
        <is>
          <t>KÖPING</t>
        </is>
      </c>
      <c r="G102" t="n">
        <v>1.7</v>
      </c>
      <c r="H102" t="n">
        <v>0</v>
      </c>
      <c r="I102" t="n">
        <v>0</v>
      </c>
      <c r="J102" t="n">
        <v>0</v>
      </c>
      <c r="K102" t="n">
        <v>0</v>
      </c>
      <c r="L102" t="n">
        <v>0</v>
      </c>
      <c r="M102" t="n">
        <v>0</v>
      </c>
      <c r="N102" t="n">
        <v>0</v>
      </c>
      <c r="O102" t="n">
        <v>0</v>
      </c>
      <c r="P102" t="n">
        <v>0</v>
      </c>
      <c r="Q102" t="n">
        <v>0</v>
      </c>
      <c r="R102" s="2" t="inlineStr"/>
    </row>
    <row r="103" ht="15" customHeight="1">
      <c r="A103" t="inlineStr">
        <is>
          <t>A 57409-2019</t>
        </is>
      </c>
      <c r="B103" s="1" t="n">
        <v>43767</v>
      </c>
      <c r="C103" s="1" t="n">
        <v>45360</v>
      </c>
      <c r="D103" t="inlineStr">
        <is>
          <t>VÄSTMANLANDS LÄN</t>
        </is>
      </c>
      <c r="E103" t="inlineStr">
        <is>
          <t>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57406-2019</t>
        </is>
      </c>
      <c r="B104" s="1" t="n">
        <v>43767</v>
      </c>
      <c r="C104" s="1" t="n">
        <v>45360</v>
      </c>
      <c r="D104" t="inlineStr">
        <is>
          <t>VÄSTMANLANDS LÄN</t>
        </is>
      </c>
      <c r="E104" t="inlineStr">
        <is>
          <t>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59467-2019</t>
        </is>
      </c>
      <c r="B105" s="1" t="n">
        <v>43775</v>
      </c>
      <c r="C105" s="1" t="n">
        <v>45360</v>
      </c>
      <c r="D105" t="inlineStr">
        <is>
          <t>VÄSTMANLANDS LÄN</t>
        </is>
      </c>
      <c r="E105" t="inlineStr">
        <is>
          <t>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61016-2019</t>
        </is>
      </c>
      <c r="B106" s="1" t="n">
        <v>43782</v>
      </c>
      <c r="C106" s="1" t="n">
        <v>45360</v>
      </c>
      <c r="D106" t="inlineStr">
        <is>
          <t>VÄSTMANLANDS LÄN</t>
        </is>
      </c>
      <c r="E106" t="inlineStr">
        <is>
          <t>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61081-2019</t>
        </is>
      </c>
      <c r="B107" s="1" t="n">
        <v>43782</v>
      </c>
      <c r="C107" s="1" t="n">
        <v>45360</v>
      </c>
      <c r="D107" t="inlineStr">
        <is>
          <t>VÄSTMANLANDS LÄN</t>
        </is>
      </c>
      <c r="E107" t="inlineStr">
        <is>
          <t>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61762-2019</t>
        </is>
      </c>
      <c r="B108" s="1" t="n">
        <v>43784</v>
      </c>
      <c r="C108" s="1" t="n">
        <v>45360</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62912-2019</t>
        </is>
      </c>
      <c r="B109" s="1" t="n">
        <v>43784</v>
      </c>
      <c r="C109" s="1" t="n">
        <v>45360</v>
      </c>
      <c r="D109" t="inlineStr">
        <is>
          <t>VÄSTMANLANDS LÄN</t>
        </is>
      </c>
      <c r="E109" t="inlineStr">
        <is>
          <t>KÖPING</t>
        </is>
      </c>
      <c r="G109" t="n">
        <v>3.7</v>
      </c>
      <c r="H109" t="n">
        <v>0</v>
      </c>
      <c r="I109" t="n">
        <v>0</v>
      </c>
      <c r="J109" t="n">
        <v>0</v>
      </c>
      <c r="K109" t="n">
        <v>0</v>
      </c>
      <c r="L109" t="n">
        <v>0</v>
      </c>
      <c r="M109" t="n">
        <v>0</v>
      </c>
      <c r="N109" t="n">
        <v>0</v>
      </c>
      <c r="O109" t="n">
        <v>0</v>
      </c>
      <c r="P109" t="n">
        <v>0</v>
      </c>
      <c r="Q109" t="n">
        <v>0</v>
      </c>
      <c r="R109" s="2" t="inlineStr"/>
    </row>
    <row r="110" ht="15" customHeight="1">
      <c r="A110" t="inlineStr">
        <is>
          <t>A 61760-2019</t>
        </is>
      </c>
      <c r="B110" s="1" t="n">
        <v>43784</v>
      </c>
      <c r="C110" s="1" t="n">
        <v>45360</v>
      </c>
      <c r="D110" t="inlineStr">
        <is>
          <t>VÄSTMANLANDS LÄN</t>
        </is>
      </c>
      <c r="E110" t="inlineStr">
        <is>
          <t>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62020-2019</t>
        </is>
      </c>
      <c r="B111" s="1" t="n">
        <v>43787</v>
      </c>
      <c r="C111" s="1" t="n">
        <v>45360</v>
      </c>
      <c r="D111" t="inlineStr">
        <is>
          <t>VÄSTMANLANDS LÄN</t>
        </is>
      </c>
      <c r="E111" t="inlineStr">
        <is>
          <t>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62410-2019</t>
        </is>
      </c>
      <c r="B112" s="1" t="n">
        <v>43788</v>
      </c>
      <c r="C112" s="1" t="n">
        <v>45360</v>
      </c>
      <c r="D112" t="inlineStr">
        <is>
          <t>VÄSTMANLANDS LÄN</t>
        </is>
      </c>
      <c r="E112" t="inlineStr">
        <is>
          <t>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64223-2019</t>
        </is>
      </c>
      <c r="B113" s="1" t="n">
        <v>43797</v>
      </c>
      <c r="C113" s="1" t="n">
        <v>45360</v>
      </c>
      <c r="D113" t="inlineStr">
        <is>
          <t>VÄSTMANLANDS LÄN</t>
        </is>
      </c>
      <c r="E113" t="inlineStr">
        <is>
          <t>KÖPING</t>
        </is>
      </c>
      <c r="G113" t="n">
        <v>2.7</v>
      </c>
      <c r="H113" t="n">
        <v>0</v>
      </c>
      <c r="I113" t="n">
        <v>0</v>
      </c>
      <c r="J113" t="n">
        <v>0</v>
      </c>
      <c r="K113" t="n">
        <v>0</v>
      </c>
      <c r="L113" t="n">
        <v>0</v>
      </c>
      <c r="M113" t="n">
        <v>0</v>
      </c>
      <c r="N113" t="n">
        <v>0</v>
      </c>
      <c r="O113" t="n">
        <v>0</v>
      </c>
      <c r="P113" t="n">
        <v>0</v>
      </c>
      <c r="Q113" t="n">
        <v>0</v>
      </c>
      <c r="R113" s="2" t="inlineStr"/>
    </row>
    <row r="114" ht="15" customHeight="1">
      <c r="A114" t="inlineStr">
        <is>
          <t>A 66576-2019</t>
        </is>
      </c>
      <c r="B114" s="1" t="n">
        <v>43803</v>
      </c>
      <c r="C114" s="1" t="n">
        <v>45360</v>
      </c>
      <c r="D114" t="inlineStr">
        <is>
          <t>VÄSTMANLANDS LÄN</t>
        </is>
      </c>
      <c r="E114" t="inlineStr">
        <is>
          <t>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66476-2019</t>
        </is>
      </c>
      <c r="B115" s="1" t="n">
        <v>43809</v>
      </c>
      <c r="C115" s="1" t="n">
        <v>45360</v>
      </c>
      <c r="D115" t="inlineStr">
        <is>
          <t>VÄSTMANLANDS LÄN</t>
        </is>
      </c>
      <c r="E115" t="inlineStr">
        <is>
          <t>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66934-2019</t>
        </is>
      </c>
      <c r="B116" s="1" t="n">
        <v>43810</v>
      </c>
      <c r="C116" s="1" t="n">
        <v>45360</v>
      </c>
      <c r="D116" t="inlineStr">
        <is>
          <t>VÄSTMANLANDS LÄN</t>
        </is>
      </c>
      <c r="E116" t="inlineStr">
        <is>
          <t>KÖPING</t>
        </is>
      </c>
      <c r="G116" t="n">
        <v>8</v>
      </c>
      <c r="H116" t="n">
        <v>0</v>
      </c>
      <c r="I116" t="n">
        <v>0</v>
      </c>
      <c r="J116" t="n">
        <v>0</v>
      </c>
      <c r="K116" t="n">
        <v>0</v>
      </c>
      <c r="L116" t="n">
        <v>0</v>
      </c>
      <c r="M116" t="n">
        <v>0</v>
      </c>
      <c r="N116" t="n">
        <v>0</v>
      </c>
      <c r="O116" t="n">
        <v>0</v>
      </c>
      <c r="P116" t="n">
        <v>0</v>
      </c>
      <c r="Q116" t="n">
        <v>0</v>
      </c>
      <c r="R116" s="2" t="inlineStr"/>
    </row>
    <row r="117" ht="15" customHeight="1">
      <c r="A117" t="inlineStr">
        <is>
          <t>A 66952-2019</t>
        </is>
      </c>
      <c r="B117" s="1" t="n">
        <v>43810</v>
      </c>
      <c r="C117" s="1" t="n">
        <v>45360</v>
      </c>
      <c r="D117" t="inlineStr">
        <is>
          <t>VÄSTMANLANDS LÄN</t>
        </is>
      </c>
      <c r="E117" t="inlineStr">
        <is>
          <t>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67061-2019</t>
        </is>
      </c>
      <c r="B118" s="1" t="n">
        <v>43811</v>
      </c>
      <c r="C118" s="1" t="n">
        <v>45360</v>
      </c>
      <c r="D118" t="inlineStr">
        <is>
          <t>VÄSTMANLANDS LÄN</t>
        </is>
      </c>
      <c r="E118" t="inlineStr">
        <is>
          <t>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549-2020</t>
        </is>
      </c>
      <c r="B119" s="1" t="n">
        <v>43838</v>
      </c>
      <c r="C119" s="1" t="n">
        <v>45360</v>
      </c>
      <c r="D119" t="inlineStr">
        <is>
          <t>VÄSTMANLANDS LÄN</t>
        </is>
      </c>
      <c r="E119" t="inlineStr">
        <is>
          <t>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2323-2020</t>
        </is>
      </c>
      <c r="B120" s="1" t="n">
        <v>43840</v>
      </c>
      <c r="C120" s="1" t="n">
        <v>45360</v>
      </c>
      <c r="D120" t="inlineStr">
        <is>
          <t>VÄSTMANLANDS LÄN</t>
        </is>
      </c>
      <c r="E120" t="inlineStr">
        <is>
          <t>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5693-2020</t>
        </is>
      </c>
      <c r="B121" s="1" t="n">
        <v>43861</v>
      </c>
      <c r="C121" s="1" t="n">
        <v>45360</v>
      </c>
      <c r="D121" t="inlineStr">
        <is>
          <t>VÄSTMANLANDS LÄN</t>
        </is>
      </c>
      <c r="E121" t="inlineStr">
        <is>
          <t>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7294-2020</t>
        </is>
      </c>
      <c r="B122" s="1" t="n">
        <v>43871</v>
      </c>
      <c r="C122" s="1" t="n">
        <v>45360</v>
      </c>
      <c r="D122" t="inlineStr">
        <is>
          <t>VÄSTMANLANDS LÄN</t>
        </is>
      </c>
      <c r="E122" t="inlineStr">
        <is>
          <t>KÖPING</t>
        </is>
      </c>
      <c r="F122" t="inlineStr">
        <is>
          <t>Allmännings- och besparingsskogar</t>
        </is>
      </c>
      <c r="G122" t="n">
        <v>31.2</v>
      </c>
      <c r="H122" t="n">
        <v>0</v>
      </c>
      <c r="I122" t="n">
        <v>0</v>
      </c>
      <c r="J122" t="n">
        <v>0</v>
      </c>
      <c r="K122" t="n">
        <v>0</v>
      </c>
      <c r="L122" t="n">
        <v>0</v>
      </c>
      <c r="M122" t="n">
        <v>0</v>
      </c>
      <c r="N122" t="n">
        <v>0</v>
      </c>
      <c r="O122" t="n">
        <v>0</v>
      </c>
      <c r="P122" t="n">
        <v>0</v>
      </c>
      <c r="Q122" t="n">
        <v>0</v>
      </c>
      <c r="R122" s="2" t="inlineStr"/>
    </row>
    <row r="123" ht="15" customHeight="1">
      <c r="A123" t="inlineStr">
        <is>
          <t>A 9706-2020</t>
        </is>
      </c>
      <c r="B123" s="1" t="n">
        <v>43881</v>
      </c>
      <c r="C123" s="1" t="n">
        <v>45360</v>
      </c>
      <c r="D123" t="inlineStr">
        <is>
          <t>VÄSTMANLANDS LÄN</t>
        </is>
      </c>
      <c r="E123" t="inlineStr">
        <is>
          <t>KÖPING</t>
        </is>
      </c>
      <c r="G123" t="n">
        <v>4.4</v>
      </c>
      <c r="H123" t="n">
        <v>0</v>
      </c>
      <c r="I123" t="n">
        <v>0</v>
      </c>
      <c r="J123" t="n">
        <v>0</v>
      </c>
      <c r="K123" t="n">
        <v>0</v>
      </c>
      <c r="L123" t="n">
        <v>0</v>
      </c>
      <c r="M123" t="n">
        <v>0</v>
      </c>
      <c r="N123" t="n">
        <v>0</v>
      </c>
      <c r="O123" t="n">
        <v>0</v>
      </c>
      <c r="P123" t="n">
        <v>0</v>
      </c>
      <c r="Q123" t="n">
        <v>0</v>
      </c>
      <c r="R123" s="2" t="inlineStr"/>
    </row>
    <row r="124" ht="15" customHeight="1">
      <c r="A124" t="inlineStr">
        <is>
          <t>A 10472-2020</t>
        </is>
      </c>
      <c r="B124" s="1" t="n">
        <v>43886</v>
      </c>
      <c r="C124" s="1" t="n">
        <v>45360</v>
      </c>
      <c r="D124" t="inlineStr">
        <is>
          <t>VÄSTMANLANDS LÄN</t>
        </is>
      </c>
      <c r="E124" t="inlineStr">
        <is>
          <t>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11452-2020</t>
        </is>
      </c>
      <c r="B125" s="1" t="n">
        <v>43893</v>
      </c>
      <c r="C125" s="1" t="n">
        <v>45360</v>
      </c>
      <c r="D125" t="inlineStr">
        <is>
          <t>VÄSTMANLANDS LÄN</t>
        </is>
      </c>
      <c r="E125" t="inlineStr">
        <is>
          <t>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13158-2020</t>
        </is>
      </c>
      <c r="B126" s="1" t="n">
        <v>43901</v>
      </c>
      <c r="C126" s="1" t="n">
        <v>45360</v>
      </c>
      <c r="D126" t="inlineStr">
        <is>
          <t>VÄSTMANLANDS LÄN</t>
        </is>
      </c>
      <c r="E126" t="inlineStr">
        <is>
          <t>KÖPING</t>
        </is>
      </c>
      <c r="G126" t="n">
        <v>4.6</v>
      </c>
      <c r="H126" t="n">
        <v>0</v>
      </c>
      <c r="I126" t="n">
        <v>0</v>
      </c>
      <c r="J126" t="n">
        <v>0</v>
      </c>
      <c r="K126" t="n">
        <v>0</v>
      </c>
      <c r="L126" t="n">
        <v>0</v>
      </c>
      <c r="M126" t="n">
        <v>0</v>
      </c>
      <c r="N126" t="n">
        <v>0</v>
      </c>
      <c r="O126" t="n">
        <v>0</v>
      </c>
      <c r="P126" t="n">
        <v>0</v>
      </c>
      <c r="Q126" t="n">
        <v>0</v>
      </c>
      <c r="R126" s="2" t="inlineStr"/>
    </row>
    <row r="127" ht="15" customHeight="1">
      <c r="A127" t="inlineStr">
        <is>
          <t>A 14295-2020</t>
        </is>
      </c>
      <c r="B127" s="1" t="n">
        <v>43907</v>
      </c>
      <c r="C127" s="1" t="n">
        <v>45360</v>
      </c>
      <c r="D127" t="inlineStr">
        <is>
          <t>VÄSTMANLANDS LÄN</t>
        </is>
      </c>
      <c r="E127" t="inlineStr">
        <is>
          <t>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14403-2020</t>
        </is>
      </c>
      <c r="B128" s="1" t="n">
        <v>43908</v>
      </c>
      <c r="C128" s="1" t="n">
        <v>45360</v>
      </c>
      <c r="D128" t="inlineStr">
        <is>
          <t>VÄSTMANLANDS LÄN</t>
        </is>
      </c>
      <c r="E128" t="inlineStr">
        <is>
          <t>KÖPING</t>
        </is>
      </c>
      <c r="G128" t="n">
        <v>3.1</v>
      </c>
      <c r="H128" t="n">
        <v>0</v>
      </c>
      <c r="I128" t="n">
        <v>0</v>
      </c>
      <c r="J128" t="n">
        <v>0</v>
      </c>
      <c r="K128" t="n">
        <v>0</v>
      </c>
      <c r="L128" t="n">
        <v>0</v>
      </c>
      <c r="M128" t="n">
        <v>0</v>
      </c>
      <c r="N128" t="n">
        <v>0</v>
      </c>
      <c r="O128" t="n">
        <v>0</v>
      </c>
      <c r="P128" t="n">
        <v>0</v>
      </c>
      <c r="Q128" t="n">
        <v>0</v>
      </c>
      <c r="R128" s="2" t="inlineStr"/>
    </row>
    <row r="129" ht="15" customHeight="1">
      <c r="A129" t="inlineStr">
        <is>
          <t>A 14898-2020</t>
        </is>
      </c>
      <c r="B129" s="1" t="n">
        <v>43910</v>
      </c>
      <c r="C129" s="1" t="n">
        <v>45360</v>
      </c>
      <c r="D129" t="inlineStr">
        <is>
          <t>VÄSTMANLANDS LÄN</t>
        </is>
      </c>
      <c r="E129" t="inlineStr">
        <is>
          <t>KÖPING</t>
        </is>
      </c>
      <c r="G129" t="n">
        <v>1.2</v>
      </c>
      <c r="H129" t="n">
        <v>0</v>
      </c>
      <c r="I129" t="n">
        <v>0</v>
      </c>
      <c r="J129" t="n">
        <v>0</v>
      </c>
      <c r="K129" t="n">
        <v>0</v>
      </c>
      <c r="L129" t="n">
        <v>0</v>
      </c>
      <c r="M129" t="n">
        <v>0</v>
      </c>
      <c r="N129" t="n">
        <v>0</v>
      </c>
      <c r="O129" t="n">
        <v>0</v>
      </c>
      <c r="P129" t="n">
        <v>0</v>
      </c>
      <c r="Q129" t="n">
        <v>0</v>
      </c>
      <c r="R129" s="2" t="inlineStr"/>
    </row>
    <row r="130" ht="15" customHeight="1">
      <c r="A130" t="inlineStr">
        <is>
          <t>A 16989-2020</t>
        </is>
      </c>
      <c r="B130" s="1" t="n">
        <v>43921</v>
      </c>
      <c r="C130" s="1" t="n">
        <v>45360</v>
      </c>
      <c r="D130" t="inlineStr">
        <is>
          <t>VÄSTMANLANDS LÄN</t>
        </is>
      </c>
      <c r="E130" t="inlineStr">
        <is>
          <t>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16912-2020</t>
        </is>
      </c>
      <c r="B131" s="1" t="n">
        <v>43921</v>
      </c>
      <c r="C131" s="1" t="n">
        <v>45360</v>
      </c>
      <c r="D131" t="inlineStr">
        <is>
          <t>VÄSTMANLANDS LÄN</t>
        </is>
      </c>
      <c r="E131" t="inlineStr">
        <is>
          <t>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20740-2020</t>
        </is>
      </c>
      <c r="B132" s="1" t="n">
        <v>43949</v>
      </c>
      <c r="C132" s="1" t="n">
        <v>45360</v>
      </c>
      <c r="D132" t="inlineStr">
        <is>
          <t>VÄSTMANLANDS LÄN</t>
        </is>
      </c>
      <c r="E132" t="inlineStr">
        <is>
          <t>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21691-2020</t>
        </is>
      </c>
      <c r="B133" s="1" t="n">
        <v>43957</v>
      </c>
      <c r="C133" s="1" t="n">
        <v>45360</v>
      </c>
      <c r="D133" t="inlineStr">
        <is>
          <t>VÄSTMANLANDS LÄN</t>
        </is>
      </c>
      <c r="E133" t="inlineStr">
        <is>
          <t>KÖPING</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22523-2020</t>
        </is>
      </c>
      <c r="B134" s="1" t="n">
        <v>43963</v>
      </c>
      <c r="C134" s="1" t="n">
        <v>45360</v>
      </c>
      <c r="D134" t="inlineStr">
        <is>
          <t>VÄSTMANLANDS LÄN</t>
        </is>
      </c>
      <c r="E134" t="inlineStr">
        <is>
          <t>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23780-2020</t>
        </is>
      </c>
      <c r="B135" s="1" t="n">
        <v>43970</v>
      </c>
      <c r="C135" s="1" t="n">
        <v>45360</v>
      </c>
      <c r="D135" t="inlineStr">
        <is>
          <t>VÄSTMANLANDS LÄN</t>
        </is>
      </c>
      <c r="E135" t="inlineStr">
        <is>
          <t>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24271-2020</t>
        </is>
      </c>
      <c r="B136" s="1" t="n">
        <v>43976</v>
      </c>
      <c r="C136" s="1" t="n">
        <v>45360</v>
      </c>
      <c r="D136" t="inlineStr">
        <is>
          <t>VÄSTMANLANDS LÄN</t>
        </is>
      </c>
      <c r="E136" t="inlineStr">
        <is>
          <t>KÖPING</t>
        </is>
      </c>
      <c r="F136" t="inlineStr">
        <is>
          <t>Sveaskog</t>
        </is>
      </c>
      <c r="G136" t="n">
        <v>5.9</v>
      </c>
      <c r="H136" t="n">
        <v>0</v>
      </c>
      <c r="I136" t="n">
        <v>0</v>
      </c>
      <c r="J136" t="n">
        <v>0</v>
      </c>
      <c r="K136" t="n">
        <v>0</v>
      </c>
      <c r="L136" t="n">
        <v>0</v>
      </c>
      <c r="M136" t="n">
        <v>0</v>
      </c>
      <c r="N136" t="n">
        <v>0</v>
      </c>
      <c r="O136" t="n">
        <v>0</v>
      </c>
      <c r="P136" t="n">
        <v>0</v>
      </c>
      <c r="Q136" t="n">
        <v>0</v>
      </c>
      <c r="R136" s="2" t="inlineStr"/>
    </row>
    <row r="137" ht="15" customHeight="1">
      <c r="A137" t="inlineStr">
        <is>
          <t>A 24309-2020</t>
        </is>
      </c>
      <c r="B137" s="1" t="n">
        <v>43976</v>
      </c>
      <c r="C137" s="1" t="n">
        <v>45360</v>
      </c>
      <c r="D137" t="inlineStr">
        <is>
          <t>VÄSTMANLANDS LÄN</t>
        </is>
      </c>
      <c r="E137" t="inlineStr">
        <is>
          <t>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25480-2020</t>
        </is>
      </c>
      <c r="B138" s="1" t="n">
        <v>43983</v>
      </c>
      <c r="C138" s="1" t="n">
        <v>45360</v>
      </c>
      <c r="D138" t="inlineStr">
        <is>
          <t>VÄSTMANLANDS LÄN</t>
        </is>
      </c>
      <c r="E138" t="inlineStr">
        <is>
          <t>KÖPING</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26013-2020</t>
        </is>
      </c>
      <c r="B139" s="1" t="n">
        <v>43985</v>
      </c>
      <c r="C139" s="1" t="n">
        <v>45360</v>
      </c>
      <c r="D139" t="inlineStr">
        <is>
          <t>VÄSTMANLANDS LÄN</t>
        </is>
      </c>
      <c r="E139" t="inlineStr">
        <is>
          <t>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26343-2020</t>
        </is>
      </c>
      <c r="B140" s="1" t="n">
        <v>43986</v>
      </c>
      <c r="C140" s="1" t="n">
        <v>45360</v>
      </c>
      <c r="D140" t="inlineStr">
        <is>
          <t>VÄSTMANLANDS LÄN</t>
        </is>
      </c>
      <c r="E140" t="inlineStr">
        <is>
          <t>KÖPING</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26743-2020</t>
        </is>
      </c>
      <c r="B141" s="1" t="n">
        <v>43990</v>
      </c>
      <c r="C141" s="1" t="n">
        <v>45360</v>
      </c>
      <c r="D141" t="inlineStr">
        <is>
          <t>VÄSTMANLANDS LÄN</t>
        </is>
      </c>
      <c r="E141" t="inlineStr">
        <is>
          <t>KÖPING</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26754-2020</t>
        </is>
      </c>
      <c r="B142" s="1" t="n">
        <v>43990</v>
      </c>
      <c r="C142" s="1" t="n">
        <v>45360</v>
      </c>
      <c r="D142" t="inlineStr">
        <is>
          <t>VÄSTMANLANDS LÄN</t>
        </is>
      </c>
      <c r="E142" t="inlineStr">
        <is>
          <t>KÖPING</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26771-2020</t>
        </is>
      </c>
      <c r="B143" s="1" t="n">
        <v>43990</v>
      </c>
      <c r="C143" s="1" t="n">
        <v>45360</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26749-2020</t>
        </is>
      </c>
      <c r="B144" s="1" t="n">
        <v>43990</v>
      </c>
      <c r="C144" s="1" t="n">
        <v>45360</v>
      </c>
      <c r="D144" t="inlineStr">
        <is>
          <t>VÄSTMANLANDS LÄN</t>
        </is>
      </c>
      <c r="E144" t="inlineStr">
        <is>
          <t>KÖPING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26759-2020</t>
        </is>
      </c>
      <c r="B145" s="1" t="n">
        <v>43990</v>
      </c>
      <c r="C145" s="1" t="n">
        <v>45360</v>
      </c>
      <c r="D145" t="inlineStr">
        <is>
          <t>VÄSTMANLANDS LÄN</t>
        </is>
      </c>
      <c r="E145" t="inlineStr">
        <is>
          <t>KÖPING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26765-2020</t>
        </is>
      </c>
      <c r="B146" s="1" t="n">
        <v>43990</v>
      </c>
      <c r="C146" s="1" t="n">
        <v>45360</v>
      </c>
      <c r="D146" t="inlineStr">
        <is>
          <t>VÄSTMANLANDS LÄN</t>
        </is>
      </c>
      <c r="E146" t="inlineStr">
        <is>
          <t>KÖPING</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26740-2020</t>
        </is>
      </c>
      <c r="B147" s="1" t="n">
        <v>43990</v>
      </c>
      <c r="C147" s="1" t="n">
        <v>45360</v>
      </c>
      <c r="D147" t="inlineStr">
        <is>
          <t>VÄSTMANLANDS LÄN</t>
        </is>
      </c>
      <c r="E147" t="inlineStr">
        <is>
          <t>KÖPING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26769-2020</t>
        </is>
      </c>
      <c r="B148" s="1" t="n">
        <v>43990</v>
      </c>
      <c r="C148" s="1" t="n">
        <v>45360</v>
      </c>
      <c r="D148" t="inlineStr">
        <is>
          <t>VÄSTMANLANDS LÄN</t>
        </is>
      </c>
      <c r="E148" t="inlineStr">
        <is>
          <t>KÖPING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26782-2020</t>
        </is>
      </c>
      <c r="B149" s="1" t="n">
        <v>43990</v>
      </c>
      <c r="C149" s="1" t="n">
        <v>45360</v>
      </c>
      <c r="D149" t="inlineStr">
        <is>
          <t>VÄSTMANLANDS LÄN</t>
        </is>
      </c>
      <c r="E149" t="inlineStr">
        <is>
          <t>KÖPING</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28555-2020</t>
        </is>
      </c>
      <c r="B150" s="1" t="n">
        <v>43999</v>
      </c>
      <c r="C150" s="1" t="n">
        <v>45360</v>
      </c>
      <c r="D150" t="inlineStr">
        <is>
          <t>VÄSTMANLANDS LÄN</t>
        </is>
      </c>
      <c r="E150" t="inlineStr">
        <is>
          <t>KÖPING</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30928-2020</t>
        </is>
      </c>
      <c r="B151" s="1" t="n">
        <v>44011</v>
      </c>
      <c r="C151" s="1" t="n">
        <v>45360</v>
      </c>
      <c r="D151" t="inlineStr">
        <is>
          <t>VÄSTMANLANDS LÄN</t>
        </is>
      </c>
      <c r="E151" t="inlineStr">
        <is>
          <t>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30985-2020</t>
        </is>
      </c>
      <c r="B152" s="1" t="n">
        <v>44011</v>
      </c>
      <c r="C152" s="1" t="n">
        <v>45360</v>
      </c>
      <c r="D152" t="inlineStr">
        <is>
          <t>VÄSTMANLANDS LÄN</t>
        </is>
      </c>
      <c r="E152" t="inlineStr">
        <is>
          <t>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32265-2020</t>
        </is>
      </c>
      <c r="B153" s="1" t="n">
        <v>44015</v>
      </c>
      <c r="C153" s="1" t="n">
        <v>45360</v>
      </c>
      <c r="D153" t="inlineStr">
        <is>
          <t>VÄSTMANLANDS LÄN</t>
        </is>
      </c>
      <c r="E153" t="inlineStr">
        <is>
          <t>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32605-2020</t>
        </is>
      </c>
      <c r="B154" s="1" t="n">
        <v>44019</v>
      </c>
      <c r="C154" s="1" t="n">
        <v>45360</v>
      </c>
      <c r="D154" t="inlineStr">
        <is>
          <t>VÄSTMANLANDS LÄN</t>
        </is>
      </c>
      <c r="E154" t="inlineStr">
        <is>
          <t>KÖPING</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33417-2020</t>
        </is>
      </c>
      <c r="B155" s="1" t="n">
        <v>44022</v>
      </c>
      <c r="C155" s="1" t="n">
        <v>45360</v>
      </c>
      <c r="D155" t="inlineStr">
        <is>
          <t>VÄSTMANLANDS LÄN</t>
        </is>
      </c>
      <c r="E155" t="inlineStr">
        <is>
          <t>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33865-2020</t>
        </is>
      </c>
      <c r="B156" s="1" t="n">
        <v>44027</v>
      </c>
      <c r="C156" s="1" t="n">
        <v>45360</v>
      </c>
      <c r="D156" t="inlineStr">
        <is>
          <t>VÄSTMANLANDS LÄN</t>
        </is>
      </c>
      <c r="E156" t="inlineStr">
        <is>
          <t>KÖPING</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33916-2020</t>
        </is>
      </c>
      <c r="B157" s="1" t="n">
        <v>44027</v>
      </c>
      <c r="C157" s="1" t="n">
        <v>45360</v>
      </c>
      <c r="D157" t="inlineStr">
        <is>
          <t>VÄSTMANLANDS LÄN</t>
        </is>
      </c>
      <c r="E157" t="inlineStr">
        <is>
          <t>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33919-2020</t>
        </is>
      </c>
      <c r="B158" s="1" t="n">
        <v>44027</v>
      </c>
      <c r="C158" s="1" t="n">
        <v>45360</v>
      </c>
      <c r="D158" t="inlineStr">
        <is>
          <t>VÄSTMANLANDS LÄN</t>
        </is>
      </c>
      <c r="E158" t="inlineStr">
        <is>
          <t>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34065-2020</t>
        </is>
      </c>
      <c r="B159" s="1" t="n">
        <v>44028</v>
      </c>
      <c r="C159" s="1" t="n">
        <v>45360</v>
      </c>
      <c r="D159" t="inlineStr">
        <is>
          <t>VÄSTMANLANDS LÄN</t>
        </is>
      </c>
      <c r="E159" t="inlineStr">
        <is>
          <t>KÖPING</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34011-2020</t>
        </is>
      </c>
      <c r="B160" s="1" t="n">
        <v>44028</v>
      </c>
      <c r="C160" s="1" t="n">
        <v>45360</v>
      </c>
      <c r="D160" t="inlineStr">
        <is>
          <t>VÄSTMANLANDS LÄN</t>
        </is>
      </c>
      <c r="E160" t="inlineStr">
        <is>
          <t>KÖPING</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34864-2020</t>
        </is>
      </c>
      <c r="B161" s="1" t="n">
        <v>44036</v>
      </c>
      <c r="C161" s="1" t="n">
        <v>45360</v>
      </c>
      <c r="D161" t="inlineStr">
        <is>
          <t>VÄSTMANLANDS LÄN</t>
        </is>
      </c>
      <c r="E161" t="inlineStr">
        <is>
          <t>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35532-2020</t>
        </is>
      </c>
      <c r="B162" s="1" t="n">
        <v>44043</v>
      </c>
      <c r="C162" s="1" t="n">
        <v>45360</v>
      </c>
      <c r="D162" t="inlineStr">
        <is>
          <t>VÄSTMANLANDS LÄN</t>
        </is>
      </c>
      <c r="E162" t="inlineStr">
        <is>
          <t>KÖPING</t>
        </is>
      </c>
      <c r="G162" t="n">
        <v>3.9</v>
      </c>
      <c r="H162" t="n">
        <v>0</v>
      </c>
      <c r="I162" t="n">
        <v>0</v>
      </c>
      <c r="J162" t="n">
        <v>0</v>
      </c>
      <c r="K162" t="n">
        <v>0</v>
      </c>
      <c r="L162" t="n">
        <v>0</v>
      </c>
      <c r="M162" t="n">
        <v>0</v>
      </c>
      <c r="N162" t="n">
        <v>0</v>
      </c>
      <c r="O162" t="n">
        <v>0</v>
      </c>
      <c r="P162" t="n">
        <v>0</v>
      </c>
      <c r="Q162" t="n">
        <v>0</v>
      </c>
      <c r="R162" s="2" t="inlineStr"/>
    </row>
    <row r="163" ht="15" customHeight="1">
      <c r="A163" t="inlineStr">
        <is>
          <t>A 37467-2020</t>
        </is>
      </c>
      <c r="B163" s="1" t="n">
        <v>44055</v>
      </c>
      <c r="C163" s="1" t="n">
        <v>45360</v>
      </c>
      <c r="D163" t="inlineStr">
        <is>
          <t>VÄSTMANLANDS LÄN</t>
        </is>
      </c>
      <c r="E163" t="inlineStr">
        <is>
          <t>KÖPING</t>
        </is>
      </c>
      <c r="F163" t="inlineStr">
        <is>
          <t>Kyrkan</t>
        </is>
      </c>
      <c r="G163" t="n">
        <v>1.1</v>
      </c>
      <c r="H163" t="n">
        <v>0</v>
      </c>
      <c r="I163" t="n">
        <v>0</v>
      </c>
      <c r="J163" t="n">
        <v>0</v>
      </c>
      <c r="K163" t="n">
        <v>0</v>
      </c>
      <c r="L163" t="n">
        <v>0</v>
      </c>
      <c r="M163" t="n">
        <v>0</v>
      </c>
      <c r="N163" t="n">
        <v>0</v>
      </c>
      <c r="O163" t="n">
        <v>0</v>
      </c>
      <c r="P163" t="n">
        <v>0</v>
      </c>
      <c r="Q163" t="n">
        <v>0</v>
      </c>
      <c r="R163" s="2" t="inlineStr"/>
    </row>
    <row r="164" ht="15" customHeight="1">
      <c r="A164" t="inlineStr">
        <is>
          <t>A 39936-2020</t>
        </is>
      </c>
      <c r="B164" s="1" t="n">
        <v>44067</v>
      </c>
      <c r="C164" s="1" t="n">
        <v>45360</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39982-2020</t>
        </is>
      </c>
      <c r="B165" s="1" t="n">
        <v>44067</v>
      </c>
      <c r="C165" s="1" t="n">
        <v>45360</v>
      </c>
      <c r="D165" t="inlineStr">
        <is>
          <t>VÄSTMANLANDS LÄN</t>
        </is>
      </c>
      <c r="E165" t="inlineStr">
        <is>
          <t>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40486-2020</t>
        </is>
      </c>
      <c r="B166" s="1" t="n">
        <v>44069</v>
      </c>
      <c r="C166" s="1" t="n">
        <v>45360</v>
      </c>
      <c r="D166" t="inlineStr">
        <is>
          <t>VÄSTMANLANDS LÄN</t>
        </is>
      </c>
      <c r="E166" t="inlineStr">
        <is>
          <t>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40547-2020</t>
        </is>
      </c>
      <c r="B167" s="1" t="n">
        <v>44069</v>
      </c>
      <c r="C167" s="1" t="n">
        <v>45360</v>
      </c>
      <c r="D167" t="inlineStr">
        <is>
          <t>VÄSTMANLANDS LÄN</t>
        </is>
      </c>
      <c r="E167" t="inlineStr">
        <is>
          <t>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40671-2020</t>
        </is>
      </c>
      <c r="B168" s="1" t="n">
        <v>44069</v>
      </c>
      <c r="C168" s="1" t="n">
        <v>45360</v>
      </c>
      <c r="D168" t="inlineStr">
        <is>
          <t>VÄSTMANLANDS LÄN</t>
        </is>
      </c>
      <c r="E168" t="inlineStr">
        <is>
          <t>KÖPING</t>
        </is>
      </c>
      <c r="G168" t="n">
        <v>5.6</v>
      </c>
      <c r="H168" t="n">
        <v>0</v>
      </c>
      <c r="I168" t="n">
        <v>0</v>
      </c>
      <c r="J168" t="n">
        <v>0</v>
      </c>
      <c r="K168" t="n">
        <v>0</v>
      </c>
      <c r="L168" t="n">
        <v>0</v>
      </c>
      <c r="M168" t="n">
        <v>0</v>
      </c>
      <c r="N168" t="n">
        <v>0</v>
      </c>
      <c r="O168" t="n">
        <v>0</v>
      </c>
      <c r="P168" t="n">
        <v>0</v>
      </c>
      <c r="Q168" t="n">
        <v>0</v>
      </c>
      <c r="R168" s="2" t="inlineStr"/>
    </row>
    <row r="169" ht="15" customHeight="1">
      <c r="A169" t="inlineStr">
        <is>
          <t>A 41464-2020</t>
        </is>
      </c>
      <c r="B169" s="1" t="n">
        <v>44069</v>
      </c>
      <c r="C169" s="1" t="n">
        <v>45360</v>
      </c>
      <c r="D169" t="inlineStr">
        <is>
          <t>VÄSTMANLANDS LÄN</t>
        </is>
      </c>
      <c r="E169" t="inlineStr">
        <is>
          <t>KÖPING</t>
        </is>
      </c>
      <c r="G169" t="n">
        <v>8.1</v>
      </c>
      <c r="H169" t="n">
        <v>0</v>
      </c>
      <c r="I169" t="n">
        <v>0</v>
      </c>
      <c r="J169" t="n">
        <v>0</v>
      </c>
      <c r="K169" t="n">
        <v>0</v>
      </c>
      <c r="L169" t="n">
        <v>0</v>
      </c>
      <c r="M169" t="n">
        <v>0</v>
      </c>
      <c r="N169" t="n">
        <v>0</v>
      </c>
      <c r="O169" t="n">
        <v>0</v>
      </c>
      <c r="P169" t="n">
        <v>0</v>
      </c>
      <c r="Q169" t="n">
        <v>0</v>
      </c>
      <c r="R169" s="2" t="inlineStr"/>
    </row>
    <row r="170" ht="15" customHeight="1">
      <c r="A170" t="inlineStr">
        <is>
          <t>A 41568-2020</t>
        </is>
      </c>
      <c r="B170" s="1" t="n">
        <v>44069</v>
      </c>
      <c r="C170" s="1" t="n">
        <v>45360</v>
      </c>
      <c r="D170" t="inlineStr">
        <is>
          <t>VÄSTMANLANDS LÄN</t>
        </is>
      </c>
      <c r="E170" t="inlineStr">
        <is>
          <t>KÖPING</t>
        </is>
      </c>
      <c r="G170" t="n">
        <v>4.2</v>
      </c>
      <c r="H170" t="n">
        <v>0</v>
      </c>
      <c r="I170" t="n">
        <v>0</v>
      </c>
      <c r="J170" t="n">
        <v>0</v>
      </c>
      <c r="K170" t="n">
        <v>0</v>
      </c>
      <c r="L170" t="n">
        <v>0</v>
      </c>
      <c r="M170" t="n">
        <v>0</v>
      </c>
      <c r="N170" t="n">
        <v>0</v>
      </c>
      <c r="O170" t="n">
        <v>0</v>
      </c>
      <c r="P170" t="n">
        <v>0</v>
      </c>
      <c r="Q170" t="n">
        <v>0</v>
      </c>
      <c r="R170" s="2" t="inlineStr"/>
    </row>
    <row r="171" ht="15" customHeight="1">
      <c r="A171" t="inlineStr">
        <is>
          <t>A 41074-2020</t>
        </is>
      </c>
      <c r="B171" s="1" t="n">
        <v>44071</v>
      </c>
      <c r="C171" s="1" t="n">
        <v>45360</v>
      </c>
      <c r="D171" t="inlineStr">
        <is>
          <t>VÄSTMANLANDS LÄN</t>
        </is>
      </c>
      <c r="E171" t="inlineStr">
        <is>
          <t>KÖPING</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42309-2020</t>
        </is>
      </c>
      <c r="B172" s="1" t="n">
        <v>44076</v>
      </c>
      <c r="C172" s="1" t="n">
        <v>45360</v>
      </c>
      <c r="D172" t="inlineStr">
        <is>
          <t>VÄSTMANLANDS LÄN</t>
        </is>
      </c>
      <c r="E172" t="inlineStr">
        <is>
          <t>KÖPING</t>
        </is>
      </c>
      <c r="F172" t="inlineStr">
        <is>
          <t>Allmännings- och besparingsskogar</t>
        </is>
      </c>
      <c r="G172" t="n">
        <v>5.4</v>
      </c>
      <c r="H172" t="n">
        <v>0</v>
      </c>
      <c r="I172" t="n">
        <v>0</v>
      </c>
      <c r="J172" t="n">
        <v>0</v>
      </c>
      <c r="K172" t="n">
        <v>0</v>
      </c>
      <c r="L172" t="n">
        <v>0</v>
      </c>
      <c r="M172" t="n">
        <v>0</v>
      </c>
      <c r="N172" t="n">
        <v>0</v>
      </c>
      <c r="O172" t="n">
        <v>0</v>
      </c>
      <c r="P172" t="n">
        <v>0</v>
      </c>
      <c r="Q172" t="n">
        <v>0</v>
      </c>
      <c r="R172" s="2" t="inlineStr"/>
    </row>
    <row r="173" ht="15" customHeight="1">
      <c r="A173" t="inlineStr">
        <is>
          <t>A 43244-2020</t>
        </is>
      </c>
      <c r="B173" s="1" t="n">
        <v>44081</v>
      </c>
      <c r="C173" s="1" t="n">
        <v>45360</v>
      </c>
      <c r="D173" t="inlineStr">
        <is>
          <t>VÄSTMANLANDS LÄN</t>
        </is>
      </c>
      <c r="E173" t="inlineStr">
        <is>
          <t>KÖPING</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44969-2020</t>
        </is>
      </c>
      <c r="B174" s="1" t="n">
        <v>44088</v>
      </c>
      <c r="C174" s="1" t="n">
        <v>45360</v>
      </c>
      <c r="D174" t="inlineStr">
        <is>
          <t>VÄSTMANLANDS LÄN</t>
        </is>
      </c>
      <c r="E174" t="inlineStr">
        <is>
          <t>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47048-2020</t>
        </is>
      </c>
      <c r="B175" s="1" t="n">
        <v>44096</v>
      </c>
      <c r="C175" s="1" t="n">
        <v>45360</v>
      </c>
      <c r="D175" t="inlineStr">
        <is>
          <t>VÄSTMANLANDS LÄN</t>
        </is>
      </c>
      <c r="E175" t="inlineStr">
        <is>
          <t>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47944-2020</t>
        </is>
      </c>
      <c r="B176" s="1" t="n">
        <v>44099</v>
      </c>
      <c r="C176" s="1" t="n">
        <v>45360</v>
      </c>
      <c r="D176" t="inlineStr">
        <is>
          <t>VÄSTMANLANDS LÄN</t>
        </is>
      </c>
      <c r="E176" t="inlineStr">
        <is>
          <t>KÖPING</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50357-2020</t>
        </is>
      </c>
      <c r="B177" s="1" t="n">
        <v>44110</v>
      </c>
      <c r="C177" s="1" t="n">
        <v>45360</v>
      </c>
      <c r="D177" t="inlineStr">
        <is>
          <t>VÄSTMANLANDS LÄN</t>
        </is>
      </c>
      <c r="E177" t="inlineStr">
        <is>
          <t>KÖPING</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50360-2020</t>
        </is>
      </c>
      <c r="B178" s="1" t="n">
        <v>44110</v>
      </c>
      <c r="C178" s="1" t="n">
        <v>45360</v>
      </c>
      <c r="D178" t="inlineStr">
        <is>
          <t>VÄSTMANLANDS LÄN</t>
        </is>
      </c>
      <c r="E178" t="inlineStr">
        <is>
          <t>KÖPING</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51349-2020</t>
        </is>
      </c>
      <c r="B179" s="1" t="n">
        <v>44112</v>
      </c>
      <c r="C179" s="1" t="n">
        <v>45360</v>
      </c>
      <c r="D179" t="inlineStr">
        <is>
          <t>VÄSTMANLANDS LÄN</t>
        </is>
      </c>
      <c r="E179" t="inlineStr">
        <is>
          <t>KÖPING</t>
        </is>
      </c>
      <c r="F179" t="inlineStr">
        <is>
          <t>Sveaskog</t>
        </is>
      </c>
      <c r="G179" t="n">
        <v>0.5</v>
      </c>
      <c r="H179" t="n">
        <v>0</v>
      </c>
      <c r="I179" t="n">
        <v>0</v>
      </c>
      <c r="J179" t="n">
        <v>0</v>
      </c>
      <c r="K179" t="n">
        <v>0</v>
      </c>
      <c r="L179" t="n">
        <v>0</v>
      </c>
      <c r="M179" t="n">
        <v>0</v>
      </c>
      <c r="N179" t="n">
        <v>0</v>
      </c>
      <c r="O179" t="n">
        <v>0</v>
      </c>
      <c r="P179" t="n">
        <v>0</v>
      </c>
      <c r="Q179" t="n">
        <v>0</v>
      </c>
      <c r="R179" s="2" t="inlineStr"/>
    </row>
    <row r="180" ht="15" customHeight="1">
      <c r="A180" t="inlineStr">
        <is>
          <t>A 51350-2020</t>
        </is>
      </c>
      <c r="B180" s="1" t="n">
        <v>44112</v>
      </c>
      <c r="C180" s="1" t="n">
        <v>45360</v>
      </c>
      <c r="D180" t="inlineStr">
        <is>
          <t>VÄSTMANLANDS LÄN</t>
        </is>
      </c>
      <c r="E180" t="inlineStr">
        <is>
          <t>KÖPING</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51607-2020</t>
        </is>
      </c>
      <c r="B181" s="1" t="n">
        <v>44113</v>
      </c>
      <c r="C181" s="1" t="n">
        <v>45360</v>
      </c>
      <c r="D181" t="inlineStr">
        <is>
          <t>VÄSTMANLANDS LÄN</t>
        </is>
      </c>
      <c r="E181" t="inlineStr">
        <is>
          <t>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52289-2020</t>
        </is>
      </c>
      <c r="B182" s="1" t="n">
        <v>44117</v>
      </c>
      <c r="C182" s="1" t="n">
        <v>45360</v>
      </c>
      <c r="D182" t="inlineStr">
        <is>
          <t>VÄSTMANLANDS LÄN</t>
        </is>
      </c>
      <c r="E182" t="inlineStr">
        <is>
          <t>KÖPING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53306-2020</t>
        </is>
      </c>
      <c r="B183" s="1" t="n">
        <v>44123</v>
      </c>
      <c r="C183" s="1" t="n">
        <v>45360</v>
      </c>
      <c r="D183" t="inlineStr">
        <is>
          <t>VÄSTMANLANDS LÄN</t>
        </is>
      </c>
      <c r="E183" t="inlineStr">
        <is>
          <t>KÖPING</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54117-2020</t>
        </is>
      </c>
      <c r="B184" s="1" t="n">
        <v>44123</v>
      </c>
      <c r="C184" s="1" t="n">
        <v>45360</v>
      </c>
      <c r="D184" t="inlineStr">
        <is>
          <t>VÄSTMANLANDS LÄN</t>
        </is>
      </c>
      <c r="E184" t="inlineStr">
        <is>
          <t>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54276-2020</t>
        </is>
      </c>
      <c r="B185" s="1" t="n">
        <v>44126</v>
      </c>
      <c r="C185" s="1" t="n">
        <v>45360</v>
      </c>
      <c r="D185" t="inlineStr">
        <is>
          <t>VÄSTMANLANDS LÄN</t>
        </is>
      </c>
      <c r="E185" t="inlineStr">
        <is>
          <t>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54769-2020</t>
        </is>
      </c>
      <c r="B186" s="1" t="n">
        <v>44127</v>
      </c>
      <c r="C186" s="1" t="n">
        <v>45360</v>
      </c>
      <c r="D186" t="inlineStr">
        <is>
          <t>VÄSTMANLANDS LÄN</t>
        </is>
      </c>
      <c r="E186" t="inlineStr">
        <is>
          <t>KÖPING</t>
        </is>
      </c>
      <c r="F186" t="inlineStr">
        <is>
          <t>Allmännings- och besparingsskogar</t>
        </is>
      </c>
      <c r="G186" t="n">
        <v>23.2</v>
      </c>
      <c r="H186" t="n">
        <v>0</v>
      </c>
      <c r="I186" t="n">
        <v>0</v>
      </c>
      <c r="J186" t="n">
        <v>0</v>
      </c>
      <c r="K186" t="n">
        <v>0</v>
      </c>
      <c r="L186" t="n">
        <v>0</v>
      </c>
      <c r="M186" t="n">
        <v>0</v>
      </c>
      <c r="N186" t="n">
        <v>0</v>
      </c>
      <c r="O186" t="n">
        <v>0</v>
      </c>
      <c r="P186" t="n">
        <v>0</v>
      </c>
      <c r="Q186" t="n">
        <v>0</v>
      </c>
      <c r="R186" s="2" t="inlineStr"/>
    </row>
    <row r="187" ht="15" customHeight="1">
      <c r="A187" t="inlineStr">
        <is>
          <t>A 57629-2020</t>
        </is>
      </c>
      <c r="B187" s="1" t="n">
        <v>44140</v>
      </c>
      <c r="C187" s="1" t="n">
        <v>45360</v>
      </c>
      <c r="D187" t="inlineStr">
        <is>
          <t>VÄSTMANLANDS LÄN</t>
        </is>
      </c>
      <c r="E187" t="inlineStr">
        <is>
          <t>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57979-2020</t>
        </is>
      </c>
      <c r="B188" s="1" t="n">
        <v>44143</v>
      </c>
      <c r="C188" s="1" t="n">
        <v>45360</v>
      </c>
      <c r="D188" t="inlineStr">
        <is>
          <t>VÄSTMANLANDS LÄN</t>
        </is>
      </c>
      <c r="E188" t="inlineStr">
        <is>
          <t>KÖPING</t>
        </is>
      </c>
      <c r="G188" t="n">
        <v>5</v>
      </c>
      <c r="H188" t="n">
        <v>0</v>
      </c>
      <c r="I188" t="n">
        <v>0</v>
      </c>
      <c r="J188" t="n">
        <v>0</v>
      </c>
      <c r="K188" t="n">
        <v>0</v>
      </c>
      <c r="L188" t="n">
        <v>0</v>
      </c>
      <c r="M188" t="n">
        <v>0</v>
      </c>
      <c r="N188" t="n">
        <v>0</v>
      </c>
      <c r="O188" t="n">
        <v>0</v>
      </c>
      <c r="P188" t="n">
        <v>0</v>
      </c>
      <c r="Q188" t="n">
        <v>0</v>
      </c>
      <c r="R188" s="2" t="inlineStr"/>
    </row>
    <row r="189" ht="15" customHeight="1">
      <c r="A189" t="inlineStr">
        <is>
          <t>A 61201-2020</t>
        </is>
      </c>
      <c r="B189" s="1" t="n">
        <v>44155</v>
      </c>
      <c r="C189" s="1" t="n">
        <v>45360</v>
      </c>
      <c r="D189" t="inlineStr">
        <is>
          <t>VÄSTMANLANDS LÄN</t>
        </is>
      </c>
      <c r="E189" t="inlineStr">
        <is>
          <t>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61202-2020</t>
        </is>
      </c>
      <c r="B190" s="1" t="n">
        <v>44155</v>
      </c>
      <c r="C190" s="1" t="n">
        <v>45360</v>
      </c>
      <c r="D190" t="inlineStr">
        <is>
          <t>VÄSTMANLANDS LÄN</t>
        </is>
      </c>
      <c r="E190" t="inlineStr">
        <is>
          <t>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64317-2020</t>
        </is>
      </c>
      <c r="B191" s="1" t="n">
        <v>44167</v>
      </c>
      <c r="C191" s="1" t="n">
        <v>45360</v>
      </c>
      <c r="D191" t="inlineStr">
        <is>
          <t>VÄSTMANLANDS LÄN</t>
        </is>
      </c>
      <c r="E191" t="inlineStr">
        <is>
          <t>KÖPING</t>
        </is>
      </c>
      <c r="G191" t="n">
        <v>6.8</v>
      </c>
      <c r="H191" t="n">
        <v>0</v>
      </c>
      <c r="I191" t="n">
        <v>0</v>
      </c>
      <c r="J191" t="n">
        <v>0</v>
      </c>
      <c r="K191" t="n">
        <v>0</v>
      </c>
      <c r="L191" t="n">
        <v>0</v>
      </c>
      <c r="M191" t="n">
        <v>0</v>
      </c>
      <c r="N191" t="n">
        <v>0</v>
      </c>
      <c r="O191" t="n">
        <v>0</v>
      </c>
      <c r="P191" t="n">
        <v>0</v>
      </c>
      <c r="Q191" t="n">
        <v>0</v>
      </c>
      <c r="R191" s="2" t="inlineStr"/>
    </row>
    <row r="192" ht="15" customHeight="1">
      <c r="A192" t="inlineStr">
        <is>
          <t>A 65193-2020</t>
        </is>
      </c>
      <c r="B192" s="1" t="n">
        <v>44172</v>
      </c>
      <c r="C192" s="1" t="n">
        <v>45360</v>
      </c>
      <c r="D192" t="inlineStr">
        <is>
          <t>VÄSTMANLANDS LÄN</t>
        </is>
      </c>
      <c r="E192" t="inlineStr">
        <is>
          <t>KÖPING</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67005-2020</t>
        </is>
      </c>
      <c r="B193" s="1" t="n">
        <v>44180</v>
      </c>
      <c r="C193" s="1" t="n">
        <v>45360</v>
      </c>
      <c r="D193" t="inlineStr">
        <is>
          <t>VÄSTMANLANDS LÄN</t>
        </is>
      </c>
      <c r="E193" t="inlineStr">
        <is>
          <t>KÖPING</t>
        </is>
      </c>
      <c r="F193" t="inlineStr">
        <is>
          <t>Allmännings- och besparingsskogar</t>
        </is>
      </c>
      <c r="G193" t="n">
        <v>4.6</v>
      </c>
      <c r="H193" t="n">
        <v>0</v>
      </c>
      <c r="I193" t="n">
        <v>0</v>
      </c>
      <c r="J193" t="n">
        <v>0</v>
      </c>
      <c r="K193" t="n">
        <v>0</v>
      </c>
      <c r="L193" t="n">
        <v>0</v>
      </c>
      <c r="M193" t="n">
        <v>0</v>
      </c>
      <c r="N193" t="n">
        <v>0</v>
      </c>
      <c r="O193" t="n">
        <v>0</v>
      </c>
      <c r="P193" t="n">
        <v>0</v>
      </c>
      <c r="Q193" t="n">
        <v>0</v>
      </c>
      <c r="R193" s="2" t="inlineStr"/>
    </row>
    <row r="194" ht="15" customHeight="1">
      <c r="A194" t="inlineStr">
        <is>
          <t>A 68513-2020</t>
        </is>
      </c>
      <c r="B194" s="1" t="n">
        <v>44186</v>
      </c>
      <c r="C194" s="1" t="n">
        <v>45360</v>
      </c>
      <c r="D194" t="inlineStr">
        <is>
          <t>VÄSTMANLANDS LÄN</t>
        </is>
      </c>
      <c r="E194" t="inlineStr">
        <is>
          <t>KÖPING</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68531-2020</t>
        </is>
      </c>
      <c r="B195" s="1" t="n">
        <v>44186</v>
      </c>
      <c r="C195" s="1" t="n">
        <v>45360</v>
      </c>
      <c r="D195" t="inlineStr">
        <is>
          <t>VÄSTMANLANDS LÄN</t>
        </is>
      </c>
      <c r="E195" t="inlineStr">
        <is>
          <t>KÖPING</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263-2021</t>
        </is>
      </c>
      <c r="B196" s="1" t="n">
        <v>44200</v>
      </c>
      <c r="C196" s="1" t="n">
        <v>45360</v>
      </c>
      <c r="D196" t="inlineStr">
        <is>
          <t>VÄSTMANLANDS LÄN</t>
        </is>
      </c>
      <c r="E196" t="inlineStr">
        <is>
          <t>KÖPING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4508-2021</t>
        </is>
      </c>
      <c r="B197" s="1" t="n">
        <v>44224</v>
      </c>
      <c r="C197" s="1" t="n">
        <v>45360</v>
      </c>
      <c r="D197" t="inlineStr">
        <is>
          <t>VÄSTMANLANDS LÄN</t>
        </is>
      </c>
      <c r="E197" t="inlineStr">
        <is>
          <t>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6834-2021</t>
        </is>
      </c>
      <c r="B198" s="1" t="n">
        <v>44236</v>
      </c>
      <c r="C198" s="1" t="n">
        <v>45360</v>
      </c>
      <c r="D198" t="inlineStr">
        <is>
          <t>VÄSTMANLANDS LÄN</t>
        </is>
      </c>
      <c r="E198" t="inlineStr">
        <is>
          <t>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6830-2021</t>
        </is>
      </c>
      <c r="B199" s="1" t="n">
        <v>44236</v>
      </c>
      <c r="C199" s="1" t="n">
        <v>45360</v>
      </c>
      <c r="D199" t="inlineStr">
        <is>
          <t>VÄSTMANLANDS LÄN</t>
        </is>
      </c>
      <c r="E199" t="inlineStr">
        <is>
          <t>KÖPING</t>
        </is>
      </c>
      <c r="G199" t="n">
        <v>4.5</v>
      </c>
      <c r="H199" t="n">
        <v>0</v>
      </c>
      <c r="I199" t="n">
        <v>0</v>
      </c>
      <c r="J199" t="n">
        <v>0</v>
      </c>
      <c r="K199" t="n">
        <v>0</v>
      </c>
      <c r="L199" t="n">
        <v>0</v>
      </c>
      <c r="M199" t="n">
        <v>0</v>
      </c>
      <c r="N199" t="n">
        <v>0</v>
      </c>
      <c r="O199" t="n">
        <v>0</v>
      </c>
      <c r="P199" t="n">
        <v>0</v>
      </c>
      <c r="Q199" t="n">
        <v>0</v>
      </c>
      <c r="R199" s="2" t="inlineStr"/>
    </row>
    <row r="200" ht="15" customHeight="1">
      <c r="A200" t="inlineStr">
        <is>
          <t>A 6913-2021</t>
        </is>
      </c>
      <c r="B200" s="1" t="n">
        <v>44237</v>
      </c>
      <c r="C200" s="1" t="n">
        <v>45360</v>
      </c>
      <c r="D200" t="inlineStr">
        <is>
          <t>VÄSTMANLANDS LÄN</t>
        </is>
      </c>
      <c r="E200" t="inlineStr">
        <is>
          <t>KÖPING</t>
        </is>
      </c>
      <c r="G200" t="n">
        <v>5</v>
      </c>
      <c r="H200" t="n">
        <v>0</v>
      </c>
      <c r="I200" t="n">
        <v>0</v>
      </c>
      <c r="J200" t="n">
        <v>0</v>
      </c>
      <c r="K200" t="n">
        <v>0</v>
      </c>
      <c r="L200" t="n">
        <v>0</v>
      </c>
      <c r="M200" t="n">
        <v>0</v>
      </c>
      <c r="N200" t="n">
        <v>0</v>
      </c>
      <c r="O200" t="n">
        <v>0</v>
      </c>
      <c r="P200" t="n">
        <v>0</v>
      </c>
      <c r="Q200" t="n">
        <v>0</v>
      </c>
      <c r="R200" s="2" t="inlineStr"/>
    </row>
    <row r="201" ht="15" customHeight="1">
      <c r="A201" t="inlineStr">
        <is>
          <t>A 8731-2021</t>
        </is>
      </c>
      <c r="B201" s="1" t="n">
        <v>44246</v>
      </c>
      <c r="C201" s="1" t="n">
        <v>45360</v>
      </c>
      <c r="D201" t="inlineStr">
        <is>
          <t>VÄSTMANLANDS LÄN</t>
        </is>
      </c>
      <c r="E201" t="inlineStr">
        <is>
          <t>KÖPING</t>
        </is>
      </c>
      <c r="F201" t="inlineStr">
        <is>
          <t>Sveaskog</t>
        </is>
      </c>
      <c r="G201" t="n">
        <v>0.1</v>
      </c>
      <c r="H201" t="n">
        <v>0</v>
      </c>
      <c r="I201" t="n">
        <v>0</v>
      </c>
      <c r="J201" t="n">
        <v>0</v>
      </c>
      <c r="K201" t="n">
        <v>0</v>
      </c>
      <c r="L201" t="n">
        <v>0</v>
      </c>
      <c r="M201" t="n">
        <v>0</v>
      </c>
      <c r="N201" t="n">
        <v>0</v>
      </c>
      <c r="O201" t="n">
        <v>0</v>
      </c>
      <c r="P201" t="n">
        <v>0</v>
      </c>
      <c r="Q201" t="n">
        <v>0</v>
      </c>
      <c r="R201" s="2" t="inlineStr"/>
    </row>
    <row r="202" ht="15" customHeight="1">
      <c r="A202" t="inlineStr">
        <is>
          <t>A 8681-2021</t>
        </is>
      </c>
      <c r="B202" s="1" t="n">
        <v>44246</v>
      </c>
      <c r="C202" s="1" t="n">
        <v>45360</v>
      </c>
      <c r="D202" t="inlineStr">
        <is>
          <t>VÄSTMANLANDS LÄN</t>
        </is>
      </c>
      <c r="E202" t="inlineStr">
        <is>
          <t>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10435-2021</t>
        </is>
      </c>
      <c r="B203" s="1" t="n">
        <v>44257</v>
      </c>
      <c r="C203" s="1" t="n">
        <v>45360</v>
      </c>
      <c r="D203" t="inlineStr">
        <is>
          <t>VÄSTMANLANDS LÄN</t>
        </is>
      </c>
      <c r="E203" t="inlineStr">
        <is>
          <t>KÖPING</t>
        </is>
      </c>
      <c r="F203" t="inlineStr">
        <is>
          <t>Kyrkan</t>
        </is>
      </c>
      <c r="G203" t="n">
        <v>1.4</v>
      </c>
      <c r="H203" t="n">
        <v>0</v>
      </c>
      <c r="I203" t="n">
        <v>0</v>
      </c>
      <c r="J203" t="n">
        <v>0</v>
      </c>
      <c r="K203" t="n">
        <v>0</v>
      </c>
      <c r="L203" t="n">
        <v>0</v>
      </c>
      <c r="M203" t="n">
        <v>0</v>
      </c>
      <c r="N203" t="n">
        <v>0</v>
      </c>
      <c r="O203" t="n">
        <v>0</v>
      </c>
      <c r="P203" t="n">
        <v>0</v>
      </c>
      <c r="Q203" t="n">
        <v>0</v>
      </c>
      <c r="R203" s="2" t="inlineStr"/>
    </row>
    <row r="204" ht="15" customHeight="1">
      <c r="A204" t="inlineStr">
        <is>
          <t>A 10431-2021</t>
        </is>
      </c>
      <c r="B204" s="1" t="n">
        <v>44257</v>
      </c>
      <c r="C204" s="1" t="n">
        <v>45360</v>
      </c>
      <c r="D204" t="inlineStr">
        <is>
          <t>VÄSTMANLANDS LÄN</t>
        </is>
      </c>
      <c r="E204" t="inlineStr">
        <is>
          <t>KÖPING</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10972-2021</t>
        </is>
      </c>
      <c r="B205" s="1" t="n">
        <v>44260</v>
      </c>
      <c r="C205" s="1" t="n">
        <v>45360</v>
      </c>
      <c r="D205" t="inlineStr">
        <is>
          <t>VÄSTMANLANDS LÄN</t>
        </is>
      </c>
      <c r="E205" t="inlineStr">
        <is>
          <t>KÖPING</t>
        </is>
      </c>
      <c r="F205" t="inlineStr">
        <is>
          <t>Sveaskog</t>
        </is>
      </c>
      <c r="G205" t="n">
        <v>6</v>
      </c>
      <c r="H205" t="n">
        <v>0</v>
      </c>
      <c r="I205" t="n">
        <v>0</v>
      </c>
      <c r="J205" t="n">
        <v>0</v>
      </c>
      <c r="K205" t="n">
        <v>0</v>
      </c>
      <c r="L205" t="n">
        <v>0</v>
      </c>
      <c r="M205" t="n">
        <v>0</v>
      </c>
      <c r="N205" t="n">
        <v>0</v>
      </c>
      <c r="O205" t="n">
        <v>0</v>
      </c>
      <c r="P205" t="n">
        <v>0</v>
      </c>
      <c r="Q205" t="n">
        <v>0</v>
      </c>
      <c r="R205" s="2" t="inlineStr"/>
    </row>
    <row r="206" ht="15" customHeight="1">
      <c r="A206" t="inlineStr">
        <is>
          <t>A 11890-2021</t>
        </is>
      </c>
      <c r="B206" s="1" t="n">
        <v>44265</v>
      </c>
      <c r="C206" s="1" t="n">
        <v>45360</v>
      </c>
      <c r="D206" t="inlineStr">
        <is>
          <t>VÄSTMANLANDS LÄN</t>
        </is>
      </c>
      <c r="E206" t="inlineStr">
        <is>
          <t>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11922-2021</t>
        </is>
      </c>
      <c r="B207" s="1" t="n">
        <v>44266</v>
      </c>
      <c r="C207" s="1" t="n">
        <v>45360</v>
      </c>
      <c r="D207" t="inlineStr">
        <is>
          <t>VÄSTMANLANDS LÄN</t>
        </is>
      </c>
      <c r="E207" t="inlineStr">
        <is>
          <t>KÖPING</t>
        </is>
      </c>
      <c r="G207" t="n">
        <v>4.7</v>
      </c>
      <c r="H207" t="n">
        <v>0</v>
      </c>
      <c r="I207" t="n">
        <v>0</v>
      </c>
      <c r="J207" t="n">
        <v>0</v>
      </c>
      <c r="K207" t="n">
        <v>0</v>
      </c>
      <c r="L207" t="n">
        <v>0</v>
      </c>
      <c r="M207" t="n">
        <v>0</v>
      </c>
      <c r="N207" t="n">
        <v>0</v>
      </c>
      <c r="O207" t="n">
        <v>0</v>
      </c>
      <c r="P207" t="n">
        <v>0</v>
      </c>
      <c r="Q207" t="n">
        <v>0</v>
      </c>
      <c r="R207" s="2" t="inlineStr"/>
    </row>
    <row r="208" ht="15" customHeight="1">
      <c r="A208" t="inlineStr">
        <is>
          <t>A 12357-2021</t>
        </is>
      </c>
      <c r="B208" s="1" t="n">
        <v>44267</v>
      </c>
      <c r="C208" s="1" t="n">
        <v>45360</v>
      </c>
      <c r="D208" t="inlineStr">
        <is>
          <t>VÄSTMANLANDS LÄN</t>
        </is>
      </c>
      <c r="E208" t="inlineStr">
        <is>
          <t>KÖPING</t>
        </is>
      </c>
      <c r="G208" t="n">
        <v>4.2</v>
      </c>
      <c r="H208" t="n">
        <v>0</v>
      </c>
      <c r="I208" t="n">
        <v>0</v>
      </c>
      <c r="J208" t="n">
        <v>0</v>
      </c>
      <c r="K208" t="n">
        <v>0</v>
      </c>
      <c r="L208" t="n">
        <v>0</v>
      </c>
      <c r="M208" t="n">
        <v>0</v>
      </c>
      <c r="N208" t="n">
        <v>0</v>
      </c>
      <c r="O208" t="n">
        <v>0</v>
      </c>
      <c r="P208" t="n">
        <v>0</v>
      </c>
      <c r="Q208" t="n">
        <v>0</v>
      </c>
      <c r="R208" s="2" t="inlineStr"/>
    </row>
    <row r="209" ht="15" customHeight="1">
      <c r="A209" t="inlineStr">
        <is>
          <t>A 12655-2021</t>
        </is>
      </c>
      <c r="B209" s="1" t="n">
        <v>44267</v>
      </c>
      <c r="C209" s="1" t="n">
        <v>45360</v>
      </c>
      <c r="D209" t="inlineStr">
        <is>
          <t>VÄSTMANLANDS LÄN</t>
        </is>
      </c>
      <c r="E209" t="inlineStr">
        <is>
          <t>KÖPING</t>
        </is>
      </c>
      <c r="G209" t="n">
        <v>6.2</v>
      </c>
      <c r="H209" t="n">
        <v>0</v>
      </c>
      <c r="I209" t="n">
        <v>0</v>
      </c>
      <c r="J209" t="n">
        <v>0</v>
      </c>
      <c r="K209" t="n">
        <v>0</v>
      </c>
      <c r="L209" t="n">
        <v>0</v>
      </c>
      <c r="M209" t="n">
        <v>0</v>
      </c>
      <c r="N209" t="n">
        <v>0</v>
      </c>
      <c r="O209" t="n">
        <v>0</v>
      </c>
      <c r="P209" t="n">
        <v>0</v>
      </c>
      <c r="Q209" t="n">
        <v>0</v>
      </c>
      <c r="R209" s="2" t="inlineStr"/>
    </row>
    <row r="210" ht="15" customHeight="1">
      <c r="A210" t="inlineStr">
        <is>
          <t>A 12641-2021</t>
        </is>
      </c>
      <c r="B210" s="1" t="n">
        <v>44267</v>
      </c>
      <c r="C210" s="1" t="n">
        <v>45360</v>
      </c>
      <c r="D210" t="inlineStr">
        <is>
          <t>VÄSTMANLANDS LÄN</t>
        </is>
      </c>
      <c r="E210" t="inlineStr">
        <is>
          <t>KÖPING</t>
        </is>
      </c>
      <c r="G210" t="n">
        <v>10.7</v>
      </c>
      <c r="H210" t="n">
        <v>0</v>
      </c>
      <c r="I210" t="n">
        <v>0</v>
      </c>
      <c r="J210" t="n">
        <v>0</v>
      </c>
      <c r="K210" t="n">
        <v>0</v>
      </c>
      <c r="L210" t="n">
        <v>0</v>
      </c>
      <c r="M210" t="n">
        <v>0</v>
      </c>
      <c r="N210" t="n">
        <v>0</v>
      </c>
      <c r="O210" t="n">
        <v>0</v>
      </c>
      <c r="P210" t="n">
        <v>0</v>
      </c>
      <c r="Q210" t="n">
        <v>0</v>
      </c>
      <c r="R210" s="2" t="inlineStr"/>
    </row>
    <row r="211" ht="15" customHeight="1">
      <c r="A211" t="inlineStr">
        <is>
          <t>A 14314-2021</t>
        </is>
      </c>
      <c r="B211" s="1" t="n">
        <v>44278</v>
      </c>
      <c r="C211" s="1" t="n">
        <v>45360</v>
      </c>
      <c r="D211" t="inlineStr">
        <is>
          <t>VÄSTMANLANDS LÄN</t>
        </is>
      </c>
      <c r="E211" t="inlineStr">
        <is>
          <t>KÖPING</t>
        </is>
      </c>
      <c r="G211" t="n">
        <v>3.1</v>
      </c>
      <c r="H211" t="n">
        <v>0</v>
      </c>
      <c r="I211" t="n">
        <v>0</v>
      </c>
      <c r="J211" t="n">
        <v>0</v>
      </c>
      <c r="K211" t="n">
        <v>0</v>
      </c>
      <c r="L211" t="n">
        <v>0</v>
      </c>
      <c r="M211" t="n">
        <v>0</v>
      </c>
      <c r="N211" t="n">
        <v>0</v>
      </c>
      <c r="O211" t="n">
        <v>0</v>
      </c>
      <c r="P211" t="n">
        <v>0</v>
      </c>
      <c r="Q211" t="n">
        <v>0</v>
      </c>
      <c r="R211" s="2" t="inlineStr"/>
    </row>
    <row r="212" ht="15" customHeight="1">
      <c r="A212" t="inlineStr">
        <is>
          <t>A 14313-2021</t>
        </is>
      </c>
      <c r="B212" s="1" t="n">
        <v>44278</v>
      </c>
      <c r="C212" s="1" t="n">
        <v>45360</v>
      </c>
      <c r="D212" t="inlineStr">
        <is>
          <t>VÄSTMANLANDS LÄN</t>
        </is>
      </c>
      <c r="E212" t="inlineStr">
        <is>
          <t>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15575-2021</t>
        </is>
      </c>
      <c r="B213" s="1" t="n">
        <v>44285</v>
      </c>
      <c r="C213" s="1" t="n">
        <v>45360</v>
      </c>
      <c r="D213" t="inlineStr">
        <is>
          <t>VÄSTMANLANDS LÄN</t>
        </is>
      </c>
      <c r="E213" t="inlineStr">
        <is>
          <t>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15847-2021</t>
        </is>
      </c>
      <c r="B214" s="1" t="n">
        <v>44286</v>
      </c>
      <c r="C214" s="1" t="n">
        <v>45360</v>
      </c>
      <c r="D214" t="inlineStr">
        <is>
          <t>VÄSTMANLANDS LÄN</t>
        </is>
      </c>
      <c r="E214" t="inlineStr">
        <is>
          <t>KÖPING</t>
        </is>
      </c>
      <c r="G214" t="n">
        <v>6.6</v>
      </c>
      <c r="H214" t="n">
        <v>0</v>
      </c>
      <c r="I214" t="n">
        <v>0</v>
      </c>
      <c r="J214" t="n">
        <v>0</v>
      </c>
      <c r="K214" t="n">
        <v>0</v>
      </c>
      <c r="L214" t="n">
        <v>0</v>
      </c>
      <c r="M214" t="n">
        <v>0</v>
      </c>
      <c r="N214" t="n">
        <v>0</v>
      </c>
      <c r="O214" t="n">
        <v>0</v>
      </c>
      <c r="P214" t="n">
        <v>0</v>
      </c>
      <c r="Q214" t="n">
        <v>0</v>
      </c>
      <c r="R214" s="2" t="inlineStr"/>
    </row>
    <row r="215" ht="15" customHeight="1">
      <c r="A215" t="inlineStr">
        <is>
          <t>A 20871-2021</t>
        </is>
      </c>
      <c r="B215" s="1" t="n">
        <v>44316</v>
      </c>
      <c r="C215" s="1" t="n">
        <v>45360</v>
      </c>
      <c r="D215" t="inlineStr">
        <is>
          <t>VÄSTMANLANDS LÄN</t>
        </is>
      </c>
      <c r="E215" t="inlineStr">
        <is>
          <t>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21435-2021</t>
        </is>
      </c>
      <c r="B216" s="1" t="n">
        <v>44321</v>
      </c>
      <c r="C216" s="1" t="n">
        <v>45360</v>
      </c>
      <c r="D216" t="inlineStr">
        <is>
          <t>VÄSTMANLANDS LÄN</t>
        </is>
      </c>
      <c r="E216" t="inlineStr">
        <is>
          <t>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21595-2021</t>
        </is>
      </c>
      <c r="B217" s="1" t="n">
        <v>44321</v>
      </c>
      <c r="C217" s="1" t="n">
        <v>45360</v>
      </c>
      <c r="D217" t="inlineStr">
        <is>
          <t>VÄSTMANLANDS LÄN</t>
        </is>
      </c>
      <c r="E217" t="inlineStr">
        <is>
          <t>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23592-2021</t>
        </is>
      </c>
      <c r="B218" s="1" t="n">
        <v>44333</v>
      </c>
      <c r="C218" s="1" t="n">
        <v>45360</v>
      </c>
      <c r="D218" t="inlineStr">
        <is>
          <t>VÄSTMANLANDS LÄN</t>
        </is>
      </c>
      <c r="E218" t="inlineStr">
        <is>
          <t>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23596-2021</t>
        </is>
      </c>
      <c r="B219" s="1" t="n">
        <v>44333</v>
      </c>
      <c r="C219" s="1" t="n">
        <v>45360</v>
      </c>
      <c r="D219" t="inlineStr">
        <is>
          <t>VÄSTMANLANDS LÄN</t>
        </is>
      </c>
      <c r="E219" t="inlineStr">
        <is>
          <t>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27212-2021</t>
        </is>
      </c>
      <c r="B220" s="1" t="n">
        <v>44350</v>
      </c>
      <c r="C220" s="1" t="n">
        <v>45360</v>
      </c>
      <c r="D220" t="inlineStr">
        <is>
          <t>VÄSTMANLANDS LÄN</t>
        </is>
      </c>
      <c r="E220" t="inlineStr">
        <is>
          <t>KÖPING</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27065-2021</t>
        </is>
      </c>
      <c r="B221" s="1" t="n">
        <v>44350</v>
      </c>
      <c r="C221" s="1" t="n">
        <v>45360</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27209-2021</t>
        </is>
      </c>
      <c r="B222" s="1" t="n">
        <v>44350</v>
      </c>
      <c r="C222" s="1" t="n">
        <v>45360</v>
      </c>
      <c r="D222" t="inlineStr">
        <is>
          <t>VÄSTMANLANDS LÄN</t>
        </is>
      </c>
      <c r="E222" t="inlineStr">
        <is>
          <t>KÖPING</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27402-2021</t>
        </is>
      </c>
      <c r="B223" s="1" t="n">
        <v>44351</v>
      </c>
      <c r="C223" s="1" t="n">
        <v>45360</v>
      </c>
      <c r="D223" t="inlineStr">
        <is>
          <t>VÄSTMANLANDS LÄN</t>
        </is>
      </c>
      <c r="E223" t="inlineStr">
        <is>
          <t>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27604-2021</t>
        </is>
      </c>
      <c r="B224" s="1" t="n">
        <v>44351</v>
      </c>
      <c r="C224" s="1" t="n">
        <v>45360</v>
      </c>
      <c r="D224" t="inlineStr">
        <is>
          <t>VÄSTMANLANDS LÄN</t>
        </is>
      </c>
      <c r="E224" t="inlineStr">
        <is>
          <t>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27911-2021</t>
        </is>
      </c>
      <c r="B225" s="1" t="n">
        <v>44354</v>
      </c>
      <c r="C225" s="1" t="n">
        <v>45360</v>
      </c>
      <c r="D225" t="inlineStr">
        <is>
          <t>VÄSTMANLANDS LÄN</t>
        </is>
      </c>
      <c r="E225" t="inlineStr">
        <is>
          <t>KÖPING</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28232-2021</t>
        </is>
      </c>
      <c r="B226" s="1" t="n">
        <v>44355</v>
      </c>
      <c r="C226" s="1" t="n">
        <v>45360</v>
      </c>
      <c r="D226" t="inlineStr">
        <is>
          <t>VÄSTMANLANDS LÄN</t>
        </is>
      </c>
      <c r="E226" t="inlineStr">
        <is>
          <t>KÖPING</t>
        </is>
      </c>
      <c r="G226" t="n">
        <v>9.9</v>
      </c>
      <c r="H226" t="n">
        <v>0</v>
      </c>
      <c r="I226" t="n">
        <v>0</v>
      </c>
      <c r="J226" t="n">
        <v>0</v>
      </c>
      <c r="K226" t="n">
        <v>0</v>
      </c>
      <c r="L226" t="n">
        <v>0</v>
      </c>
      <c r="M226" t="n">
        <v>0</v>
      </c>
      <c r="N226" t="n">
        <v>0</v>
      </c>
      <c r="O226" t="n">
        <v>0</v>
      </c>
      <c r="P226" t="n">
        <v>0</v>
      </c>
      <c r="Q226" t="n">
        <v>0</v>
      </c>
      <c r="R226" s="2" t="inlineStr"/>
    </row>
    <row r="227" ht="15" customHeight="1">
      <c r="A227" t="inlineStr">
        <is>
          <t>A 29894-2021</t>
        </is>
      </c>
      <c r="B227" s="1" t="n">
        <v>44362</v>
      </c>
      <c r="C227" s="1" t="n">
        <v>45360</v>
      </c>
      <c r="D227" t="inlineStr">
        <is>
          <t>VÄSTMANLANDS LÄN</t>
        </is>
      </c>
      <c r="E227" t="inlineStr">
        <is>
          <t>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30087-2021</t>
        </is>
      </c>
      <c r="B228" s="1" t="n">
        <v>44363</v>
      </c>
      <c r="C228" s="1" t="n">
        <v>45360</v>
      </c>
      <c r="D228" t="inlineStr">
        <is>
          <t>VÄSTMANLANDS LÄN</t>
        </is>
      </c>
      <c r="E228" t="inlineStr">
        <is>
          <t>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30482-2021</t>
        </is>
      </c>
      <c r="B229" s="1" t="n">
        <v>44364</v>
      </c>
      <c r="C229" s="1" t="n">
        <v>45360</v>
      </c>
      <c r="D229" t="inlineStr">
        <is>
          <t>VÄSTMANLANDS LÄN</t>
        </is>
      </c>
      <c r="E229" t="inlineStr">
        <is>
          <t>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31918-2021</t>
        </is>
      </c>
      <c r="B230" s="1" t="n">
        <v>44370</v>
      </c>
      <c r="C230" s="1" t="n">
        <v>45360</v>
      </c>
      <c r="D230" t="inlineStr">
        <is>
          <t>VÄSTMANLANDS LÄN</t>
        </is>
      </c>
      <c r="E230" t="inlineStr">
        <is>
          <t>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34215-2021</t>
        </is>
      </c>
      <c r="B231" s="1" t="n">
        <v>44379</v>
      </c>
      <c r="C231" s="1" t="n">
        <v>45360</v>
      </c>
      <c r="D231" t="inlineStr">
        <is>
          <t>VÄSTMANLANDS LÄN</t>
        </is>
      </c>
      <c r="E231" t="inlineStr">
        <is>
          <t>KÖPING</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36866-2021</t>
        </is>
      </c>
      <c r="B232" s="1" t="n">
        <v>44393</v>
      </c>
      <c r="C232" s="1" t="n">
        <v>45360</v>
      </c>
      <c r="D232" t="inlineStr">
        <is>
          <t>VÄSTMANLANDS LÄN</t>
        </is>
      </c>
      <c r="E232" t="inlineStr">
        <is>
          <t>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42621-2021</t>
        </is>
      </c>
      <c r="B233" s="1" t="n">
        <v>44428</v>
      </c>
      <c r="C233" s="1" t="n">
        <v>45360</v>
      </c>
      <c r="D233" t="inlineStr">
        <is>
          <t>VÄSTMANLANDS LÄN</t>
        </is>
      </c>
      <c r="E233" t="inlineStr">
        <is>
          <t>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42650-2021</t>
        </is>
      </c>
      <c r="B234" s="1" t="n">
        <v>44428</v>
      </c>
      <c r="C234" s="1" t="n">
        <v>45360</v>
      </c>
      <c r="D234" t="inlineStr">
        <is>
          <t>VÄSTMANLANDS LÄN</t>
        </is>
      </c>
      <c r="E234" t="inlineStr">
        <is>
          <t>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42645-2021</t>
        </is>
      </c>
      <c r="B235" s="1" t="n">
        <v>44428</v>
      </c>
      <c r="C235" s="1" t="n">
        <v>45360</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43973-2021</t>
        </is>
      </c>
      <c r="B236" s="1" t="n">
        <v>44434</v>
      </c>
      <c r="C236" s="1" t="n">
        <v>45360</v>
      </c>
      <c r="D236" t="inlineStr">
        <is>
          <t>VÄSTMANLANDS LÄN</t>
        </is>
      </c>
      <c r="E236" t="inlineStr">
        <is>
          <t>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44749-2021</t>
        </is>
      </c>
      <c r="B237" s="1" t="n">
        <v>44438</v>
      </c>
      <c r="C237" s="1" t="n">
        <v>45360</v>
      </c>
      <c r="D237" t="inlineStr">
        <is>
          <t>VÄSTMANLANDS LÄN</t>
        </is>
      </c>
      <c r="E237" t="inlineStr">
        <is>
          <t>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45714-2021</t>
        </is>
      </c>
      <c r="B238" s="1" t="n">
        <v>44441</v>
      </c>
      <c r="C238" s="1" t="n">
        <v>45360</v>
      </c>
      <c r="D238" t="inlineStr">
        <is>
          <t>VÄSTMANLANDS LÄN</t>
        </is>
      </c>
      <c r="E238" t="inlineStr">
        <is>
          <t>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45904-2021</t>
        </is>
      </c>
      <c r="B239" s="1" t="n">
        <v>44441</v>
      </c>
      <c r="C239" s="1" t="n">
        <v>45360</v>
      </c>
      <c r="D239" t="inlineStr">
        <is>
          <t>VÄSTMANLANDS LÄN</t>
        </is>
      </c>
      <c r="E239" t="inlineStr">
        <is>
          <t>KÖPING</t>
        </is>
      </c>
      <c r="G239" t="n">
        <v>3.2</v>
      </c>
      <c r="H239" t="n">
        <v>0</v>
      </c>
      <c r="I239" t="n">
        <v>0</v>
      </c>
      <c r="J239" t="n">
        <v>0</v>
      </c>
      <c r="K239" t="n">
        <v>0</v>
      </c>
      <c r="L239" t="n">
        <v>0</v>
      </c>
      <c r="M239" t="n">
        <v>0</v>
      </c>
      <c r="N239" t="n">
        <v>0</v>
      </c>
      <c r="O239" t="n">
        <v>0</v>
      </c>
      <c r="P239" t="n">
        <v>0</v>
      </c>
      <c r="Q239" t="n">
        <v>0</v>
      </c>
      <c r="R239" s="2" t="inlineStr"/>
    </row>
    <row r="240" ht="15" customHeight="1">
      <c r="A240" t="inlineStr">
        <is>
          <t>A 45910-2021</t>
        </is>
      </c>
      <c r="B240" s="1" t="n">
        <v>44441</v>
      </c>
      <c r="C240" s="1" t="n">
        <v>45360</v>
      </c>
      <c r="D240" t="inlineStr">
        <is>
          <t>VÄSTMANLANDS LÄN</t>
        </is>
      </c>
      <c r="E240" t="inlineStr">
        <is>
          <t>KÖPING</t>
        </is>
      </c>
      <c r="G240" t="n">
        <v>5</v>
      </c>
      <c r="H240" t="n">
        <v>0</v>
      </c>
      <c r="I240" t="n">
        <v>0</v>
      </c>
      <c r="J240" t="n">
        <v>0</v>
      </c>
      <c r="K240" t="n">
        <v>0</v>
      </c>
      <c r="L240" t="n">
        <v>0</v>
      </c>
      <c r="M240" t="n">
        <v>0</v>
      </c>
      <c r="N240" t="n">
        <v>0</v>
      </c>
      <c r="O240" t="n">
        <v>0</v>
      </c>
      <c r="P240" t="n">
        <v>0</v>
      </c>
      <c r="Q240" t="n">
        <v>0</v>
      </c>
      <c r="R240" s="2" t="inlineStr"/>
    </row>
    <row r="241" ht="15" customHeight="1">
      <c r="A241" t="inlineStr">
        <is>
          <t>A 46343-2021</t>
        </is>
      </c>
      <c r="B241" s="1" t="n">
        <v>44442</v>
      </c>
      <c r="C241" s="1" t="n">
        <v>45360</v>
      </c>
      <c r="D241" t="inlineStr">
        <is>
          <t>VÄSTMANLANDS LÄN</t>
        </is>
      </c>
      <c r="E241" t="inlineStr">
        <is>
          <t>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46616-2021</t>
        </is>
      </c>
      <c r="B242" s="1" t="n">
        <v>44445</v>
      </c>
      <c r="C242" s="1" t="n">
        <v>45360</v>
      </c>
      <c r="D242" t="inlineStr">
        <is>
          <t>VÄSTMANLANDS LÄN</t>
        </is>
      </c>
      <c r="E242" t="inlineStr">
        <is>
          <t>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46661-2021</t>
        </is>
      </c>
      <c r="B243" s="1" t="n">
        <v>44445</v>
      </c>
      <c r="C243" s="1" t="n">
        <v>45360</v>
      </c>
      <c r="D243" t="inlineStr">
        <is>
          <t>VÄSTMANLANDS LÄN</t>
        </is>
      </c>
      <c r="E243" t="inlineStr">
        <is>
          <t>KÖPING</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46658-2021</t>
        </is>
      </c>
      <c r="B244" s="1" t="n">
        <v>44445</v>
      </c>
      <c r="C244" s="1" t="n">
        <v>45360</v>
      </c>
      <c r="D244" t="inlineStr">
        <is>
          <t>VÄSTMANLANDS LÄN</t>
        </is>
      </c>
      <c r="E244" t="inlineStr">
        <is>
          <t>KÖPING</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49717-2021</t>
        </is>
      </c>
      <c r="B245" s="1" t="n">
        <v>44455</v>
      </c>
      <c r="C245" s="1" t="n">
        <v>45360</v>
      </c>
      <c r="D245" t="inlineStr">
        <is>
          <t>VÄSTMANLANDS LÄN</t>
        </is>
      </c>
      <c r="E245" t="inlineStr">
        <is>
          <t>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51112-2021</t>
        </is>
      </c>
      <c r="B246" s="1" t="n">
        <v>44461</v>
      </c>
      <c r="C246" s="1" t="n">
        <v>45360</v>
      </c>
      <c r="D246" t="inlineStr">
        <is>
          <t>VÄSTMANLANDS LÄN</t>
        </is>
      </c>
      <c r="E246" t="inlineStr">
        <is>
          <t>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52799-2021</t>
        </is>
      </c>
      <c r="B247" s="1" t="n">
        <v>44467</v>
      </c>
      <c r="C247" s="1" t="n">
        <v>45360</v>
      </c>
      <c r="D247" t="inlineStr">
        <is>
          <t>VÄSTMANLANDS LÄN</t>
        </is>
      </c>
      <c r="E247" t="inlineStr">
        <is>
          <t>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53148-2021</t>
        </is>
      </c>
      <c r="B248" s="1" t="n">
        <v>44468</v>
      </c>
      <c r="C248" s="1" t="n">
        <v>45360</v>
      </c>
      <c r="D248" t="inlineStr">
        <is>
          <t>VÄSTMANLANDS LÄN</t>
        </is>
      </c>
      <c r="E248" t="inlineStr">
        <is>
          <t>KÖPING</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53996-2021</t>
        </is>
      </c>
      <c r="B249" s="1" t="n">
        <v>44470</v>
      </c>
      <c r="C249" s="1" t="n">
        <v>45360</v>
      </c>
      <c r="D249" t="inlineStr">
        <is>
          <t>VÄSTMANLANDS LÄN</t>
        </is>
      </c>
      <c r="E249" t="inlineStr">
        <is>
          <t>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54301-2021</t>
        </is>
      </c>
      <c r="B250" s="1" t="n">
        <v>44472</v>
      </c>
      <c r="C250" s="1" t="n">
        <v>45360</v>
      </c>
      <c r="D250" t="inlineStr">
        <is>
          <t>VÄSTMANLANDS LÄN</t>
        </is>
      </c>
      <c r="E250" t="inlineStr">
        <is>
          <t>KÖPING</t>
        </is>
      </c>
      <c r="G250" t="n">
        <v>2.6</v>
      </c>
      <c r="H250" t="n">
        <v>0</v>
      </c>
      <c r="I250" t="n">
        <v>0</v>
      </c>
      <c r="J250" t="n">
        <v>0</v>
      </c>
      <c r="K250" t="n">
        <v>0</v>
      </c>
      <c r="L250" t="n">
        <v>0</v>
      </c>
      <c r="M250" t="n">
        <v>0</v>
      </c>
      <c r="N250" t="n">
        <v>0</v>
      </c>
      <c r="O250" t="n">
        <v>0</v>
      </c>
      <c r="P250" t="n">
        <v>0</v>
      </c>
      <c r="Q250" t="n">
        <v>0</v>
      </c>
      <c r="R250" s="2" t="inlineStr"/>
    </row>
    <row r="251" ht="15" customHeight="1">
      <c r="A251" t="inlineStr">
        <is>
          <t>A 55835-2021</t>
        </is>
      </c>
      <c r="B251" s="1" t="n">
        <v>44476</v>
      </c>
      <c r="C251" s="1" t="n">
        <v>45360</v>
      </c>
      <c r="D251" t="inlineStr">
        <is>
          <t>VÄSTMANLANDS LÄN</t>
        </is>
      </c>
      <c r="E251" t="inlineStr">
        <is>
          <t>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56249-2021</t>
        </is>
      </c>
      <c r="B252" s="1" t="n">
        <v>44479</v>
      </c>
      <c r="C252" s="1" t="n">
        <v>45360</v>
      </c>
      <c r="D252" t="inlineStr">
        <is>
          <t>VÄSTMANLANDS LÄN</t>
        </is>
      </c>
      <c r="E252" t="inlineStr">
        <is>
          <t>KÖPING</t>
        </is>
      </c>
      <c r="G252" t="n">
        <v>0.2</v>
      </c>
      <c r="H252" t="n">
        <v>0</v>
      </c>
      <c r="I252" t="n">
        <v>0</v>
      </c>
      <c r="J252" t="n">
        <v>0</v>
      </c>
      <c r="K252" t="n">
        <v>0</v>
      </c>
      <c r="L252" t="n">
        <v>0</v>
      </c>
      <c r="M252" t="n">
        <v>0</v>
      </c>
      <c r="N252" t="n">
        <v>0</v>
      </c>
      <c r="O252" t="n">
        <v>0</v>
      </c>
      <c r="P252" t="n">
        <v>0</v>
      </c>
      <c r="Q252" t="n">
        <v>0</v>
      </c>
      <c r="R252" s="2" t="inlineStr"/>
    </row>
    <row r="253" ht="15" customHeight="1">
      <c r="A253" t="inlineStr">
        <is>
          <t>A 57769-2021</t>
        </is>
      </c>
      <c r="B253" s="1" t="n">
        <v>44484</v>
      </c>
      <c r="C253" s="1" t="n">
        <v>45360</v>
      </c>
      <c r="D253" t="inlineStr">
        <is>
          <t>VÄSTMANLANDS LÄN</t>
        </is>
      </c>
      <c r="E253" t="inlineStr">
        <is>
          <t>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57788-2021</t>
        </is>
      </c>
      <c r="B254" s="1" t="n">
        <v>44484</v>
      </c>
      <c r="C254" s="1" t="n">
        <v>45360</v>
      </c>
      <c r="D254" t="inlineStr">
        <is>
          <t>VÄSTMANLANDS LÄN</t>
        </is>
      </c>
      <c r="E254" t="inlineStr">
        <is>
          <t>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57789-2021</t>
        </is>
      </c>
      <c r="B255" s="1" t="n">
        <v>44484</v>
      </c>
      <c r="C255" s="1" t="n">
        <v>45360</v>
      </c>
      <c r="D255" t="inlineStr">
        <is>
          <t>VÄSTMANLANDS LÄN</t>
        </is>
      </c>
      <c r="E255" t="inlineStr">
        <is>
          <t>KÖPING</t>
        </is>
      </c>
      <c r="G255" t="n">
        <v>2.6</v>
      </c>
      <c r="H255" t="n">
        <v>0</v>
      </c>
      <c r="I255" t="n">
        <v>0</v>
      </c>
      <c r="J255" t="n">
        <v>0</v>
      </c>
      <c r="K255" t="n">
        <v>0</v>
      </c>
      <c r="L255" t="n">
        <v>0</v>
      </c>
      <c r="M255" t="n">
        <v>0</v>
      </c>
      <c r="N255" t="n">
        <v>0</v>
      </c>
      <c r="O255" t="n">
        <v>0</v>
      </c>
      <c r="P255" t="n">
        <v>0</v>
      </c>
      <c r="Q255" t="n">
        <v>0</v>
      </c>
      <c r="R255" s="2" t="inlineStr"/>
    </row>
    <row r="256" ht="15" customHeight="1">
      <c r="A256" t="inlineStr">
        <is>
          <t>A 58366-2021</t>
        </is>
      </c>
      <c r="B256" s="1" t="n">
        <v>44488</v>
      </c>
      <c r="C256" s="1" t="n">
        <v>45360</v>
      </c>
      <c r="D256" t="inlineStr">
        <is>
          <t>VÄSTMANLANDS LÄN</t>
        </is>
      </c>
      <c r="E256" t="inlineStr">
        <is>
          <t>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58371-2021</t>
        </is>
      </c>
      <c r="B257" s="1" t="n">
        <v>44488</v>
      </c>
      <c r="C257" s="1" t="n">
        <v>45360</v>
      </c>
      <c r="D257" t="inlineStr">
        <is>
          <t>VÄSTMANLANDS LÄN</t>
        </is>
      </c>
      <c r="E257" t="inlineStr">
        <is>
          <t>KÖPING</t>
        </is>
      </c>
      <c r="G257" t="n">
        <v>0.3</v>
      </c>
      <c r="H257" t="n">
        <v>0</v>
      </c>
      <c r="I257" t="n">
        <v>0</v>
      </c>
      <c r="J257" t="n">
        <v>0</v>
      </c>
      <c r="K257" t="n">
        <v>0</v>
      </c>
      <c r="L257" t="n">
        <v>0</v>
      </c>
      <c r="M257" t="n">
        <v>0</v>
      </c>
      <c r="N257" t="n">
        <v>0</v>
      </c>
      <c r="O257" t="n">
        <v>0</v>
      </c>
      <c r="P257" t="n">
        <v>0</v>
      </c>
      <c r="Q257" t="n">
        <v>0</v>
      </c>
      <c r="R257" s="2" t="inlineStr"/>
    </row>
    <row r="258" ht="15" customHeight="1">
      <c r="A258" t="inlineStr">
        <is>
          <t>A 58551-2021</t>
        </is>
      </c>
      <c r="B258" s="1" t="n">
        <v>44488</v>
      </c>
      <c r="C258" s="1" t="n">
        <v>45360</v>
      </c>
      <c r="D258" t="inlineStr">
        <is>
          <t>VÄSTMANLANDS LÄN</t>
        </is>
      </c>
      <c r="E258" t="inlineStr">
        <is>
          <t>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60627-2021</t>
        </is>
      </c>
      <c r="B259" s="1" t="n">
        <v>44496</v>
      </c>
      <c r="C259" s="1" t="n">
        <v>45360</v>
      </c>
      <c r="D259" t="inlineStr">
        <is>
          <t>VÄSTMANLANDS LÄN</t>
        </is>
      </c>
      <c r="E259" t="inlineStr">
        <is>
          <t>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61389-2021</t>
        </is>
      </c>
      <c r="B260" s="1" t="n">
        <v>44500</v>
      </c>
      <c r="C260" s="1" t="n">
        <v>45360</v>
      </c>
      <c r="D260" t="inlineStr">
        <is>
          <t>VÄSTMANLANDS LÄN</t>
        </is>
      </c>
      <c r="E260" t="inlineStr">
        <is>
          <t>KÖPING</t>
        </is>
      </c>
      <c r="G260" t="n">
        <v>1.5</v>
      </c>
      <c r="H260" t="n">
        <v>0</v>
      </c>
      <c r="I260" t="n">
        <v>0</v>
      </c>
      <c r="J260" t="n">
        <v>0</v>
      </c>
      <c r="K260" t="n">
        <v>0</v>
      </c>
      <c r="L260" t="n">
        <v>0</v>
      </c>
      <c r="M260" t="n">
        <v>0</v>
      </c>
      <c r="N260" t="n">
        <v>0</v>
      </c>
      <c r="O260" t="n">
        <v>0</v>
      </c>
      <c r="P260" t="n">
        <v>0</v>
      </c>
      <c r="Q260" t="n">
        <v>0</v>
      </c>
      <c r="R260" s="2" t="inlineStr"/>
    </row>
    <row r="261" ht="15" customHeight="1">
      <c r="A261" t="inlineStr">
        <is>
          <t>A 62150-2021</t>
        </is>
      </c>
      <c r="B261" s="1" t="n">
        <v>44502</v>
      </c>
      <c r="C261" s="1" t="n">
        <v>45360</v>
      </c>
      <c r="D261" t="inlineStr">
        <is>
          <t>VÄSTMANLANDS LÄN</t>
        </is>
      </c>
      <c r="E261" t="inlineStr">
        <is>
          <t>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63561-2021</t>
        </is>
      </c>
      <c r="B262" s="1" t="n">
        <v>44508</v>
      </c>
      <c r="C262" s="1" t="n">
        <v>45360</v>
      </c>
      <c r="D262" t="inlineStr">
        <is>
          <t>VÄSTMANLANDS LÄN</t>
        </is>
      </c>
      <c r="E262" t="inlineStr">
        <is>
          <t>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64341-2021</t>
        </is>
      </c>
      <c r="B263" s="1" t="n">
        <v>44511</v>
      </c>
      <c r="C263" s="1" t="n">
        <v>45360</v>
      </c>
      <c r="D263" t="inlineStr">
        <is>
          <t>VÄSTMANLANDS LÄN</t>
        </is>
      </c>
      <c r="E263" t="inlineStr">
        <is>
          <t>KÖPING</t>
        </is>
      </c>
      <c r="G263" t="n">
        <v>4.1</v>
      </c>
      <c r="H263" t="n">
        <v>0</v>
      </c>
      <c r="I263" t="n">
        <v>0</v>
      </c>
      <c r="J263" t="n">
        <v>0</v>
      </c>
      <c r="K263" t="n">
        <v>0</v>
      </c>
      <c r="L263" t="n">
        <v>0</v>
      </c>
      <c r="M263" t="n">
        <v>0</v>
      </c>
      <c r="N263" t="n">
        <v>0</v>
      </c>
      <c r="O263" t="n">
        <v>0</v>
      </c>
      <c r="P263" t="n">
        <v>0</v>
      </c>
      <c r="Q263" t="n">
        <v>0</v>
      </c>
      <c r="R263" s="2" t="inlineStr"/>
    </row>
    <row r="264" ht="15" customHeight="1">
      <c r="A264" t="inlineStr">
        <is>
          <t>A 65023-2021</t>
        </is>
      </c>
      <c r="B264" s="1" t="n">
        <v>44512</v>
      </c>
      <c r="C264" s="1" t="n">
        <v>45360</v>
      </c>
      <c r="D264" t="inlineStr">
        <is>
          <t>VÄSTMANLANDS LÄN</t>
        </is>
      </c>
      <c r="E264" t="inlineStr">
        <is>
          <t>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65582-2021</t>
        </is>
      </c>
      <c r="B265" s="1" t="n">
        <v>44516</v>
      </c>
      <c r="C265" s="1" t="n">
        <v>45360</v>
      </c>
      <c r="D265" t="inlineStr">
        <is>
          <t>VÄSTMANLANDS LÄN</t>
        </is>
      </c>
      <c r="E265" t="inlineStr">
        <is>
          <t>KÖPING</t>
        </is>
      </c>
      <c r="G265" t="n">
        <v>7.7</v>
      </c>
      <c r="H265" t="n">
        <v>0</v>
      </c>
      <c r="I265" t="n">
        <v>0</v>
      </c>
      <c r="J265" t="n">
        <v>0</v>
      </c>
      <c r="K265" t="n">
        <v>0</v>
      </c>
      <c r="L265" t="n">
        <v>0</v>
      </c>
      <c r="M265" t="n">
        <v>0</v>
      </c>
      <c r="N265" t="n">
        <v>0</v>
      </c>
      <c r="O265" t="n">
        <v>0</v>
      </c>
      <c r="P265" t="n">
        <v>0</v>
      </c>
      <c r="Q265" t="n">
        <v>0</v>
      </c>
      <c r="R265" s="2" t="inlineStr"/>
    </row>
    <row r="266" ht="15" customHeight="1">
      <c r="A266" t="inlineStr">
        <is>
          <t>A 65740-2021</t>
        </is>
      </c>
      <c r="B266" s="1" t="n">
        <v>44516</v>
      </c>
      <c r="C266" s="1" t="n">
        <v>45360</v>
      </c>
      <c r="D266" t="inlineStr">
        <is>
          <t>VÄSTMANLANDS LÄN</t>
        </is>
      </c>
      <c r="E266" t="inlineStr">
        <is>
          <t>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66997-2021</t>
        </is>
      </c>
      <c r="B267" s="1" t="n">
        <v>44522</v>
      </c>
      <c r="C267" s="1" t="n">
        <v>45360</v>
      </c>
      <c r="D267" t="inlineStr">
        <is>
          <t>VÄSTMANLANDS LÄN</t>
        </is>
      </c>
      <c r="E267" t="inlineStr">
        <is>
          <t>KÖPING</t>
        </is>
      </c>
      <c r="G267" t="n">
        <v>7.2</v>
      </c>
      <c r="H267" t="n">
        <v>0</v>
      </c>
      <c r="I267" t="n">
        <v>0</v>
      </c>
      <c r="J267" t="n">
        <v>0</v>
      </c>
      <c r="K267" t="n">
        <v>0</v>
      </c>
      <c r="L267" t="n">
        <v>0</v>
      </c>
      <c r="M267" t="n">
        <v>0</v>
      </c>
      <c r="N267" t="n">
        <v>0</v>
      </c>
      <c r="O267" t="n">
        <v>0</v>
      </c>
      <c r="P267" t="n">
        <v>0</v>
      </c>
      <c r="Q267" t="n">
        <v>0</v>
      </c>
      <c r="R267" s="2" t="inlineStr"/>
    </row>
    <row r="268" ht="15" customHeight="1">
      <c r="A268" t="inlineStr">
        <is>
          <t>A 67946-2021</t>
        </is>
      </c>
      <c r="B268" s="1" t="n">
        <v>44525</v>
      </c>
      <c r="C268" s="1" t="n">
        <v>45360</v>
      </c>
      <c r="D268" t="inlineStr">
        <is>
          <t>VÄSTMANLANDS LÄN</t>
        </is>
      </c>
      <c r="E268" t="inlineStr">
        <is>
          <t>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68714-2021</t>
        </is>
      </c>
      <c r="B269" s="1" t="n">
        <v>44529</v>
      </c>
      <c r="C269" s="1" t="n">
        <v>45360</v>
      </c>
      <c r="D269" t="inlineStr">
        <is>
          <t>VÄSTMANLANDS LÄN</t>
        </is>
      </c>
      <c r="E269" t="inlineStr">
        <is>
          <t>KÖPING</t>
        </is>
      </c>
      <c r="G269" t="n">
        <v>6.4</v>
      </c>
      <c r="H269" t="n">
        <v>0</v>
      </c>
      <c r="I269" t="n">
        <v>0</v>
      </c>
      <c r="J269" t="n">
        <v>0</v>
      </c>
      <c r="K269" t="n">
        <v>0</v>
      </c>
      <c r="L269" t="n">
        <v>0</v>
      </c>
      <c r="M269" t="n">
        <v>0</v>
      </c>
      <c r="N269" t="n">
        <v>0</v>
      </c>
      <c r="O269" t="n">
        <v>0</v>
      </c>
      <c r="P269" t="n">
        <v>0</v>
      </c>
      <c r="Q269" t="n">
        <v>0</v>
      </c>
      <c r="R269" s="2" t="inlineStr"/>
    </row>
    <row r="270" ht="15" customHeight="1">
      <c r="A270" t="inlineStr">
        <is>
          <t>A 68976-2021</t>
        </is>
      </c>
      <c r="B270" s="1" t="n">
        <v>44530</v>
      </c>
      <c r="C270" s="1" t="n">
        <v>45360</v>
      </c>
      <c r="D270" t="inlineStr">
        <is>
          <t>VÄSTMANLANDS LÄN</t>
        </is>
      </c>
      <c r="E270" t="inlineStr">
        <is>
          <t>KÖPING</t>
        </is>
      </c>
      <c r="G270" t="n">
        <v>13.1</v>
      </c>
      <c r="H270" t="n">
        <v>0</v>
      </c>
      <c r="I270" t="n">
        <v>0</v>
      </c>
      <c r="J270" t="n">
        <v>0</v>
      </c>
      <c r="K270" t="n">
        <v>0</v>
      </c>
      <c r="L270" t="n">
        <v>0</v>
      </c>
      <c r="M270" t="n">
        <v>0</v>
      </c>
      <c r="N270" t="n">
        <v>0</v>
      </c>
      <c r="O270" t="n">
        <v>0</v>
      </c>
      <c r="P270" t="n">
        <v>0</v>
      </c>
      <c r="Q270" t="n">
        <v>0</v>
      </c>
      <c r="R270" s="2" t="inlineStr"/>
    </row>
    <row r="271" ht="15" customHeight="1">
      <c r="A271" t="inlineStr">
        <is>
          <t>A 68954-2021</t>
        </is>
      </c>
      <c r="B271" s="1" t="n">
        <v>44530</v>
      </c>
      <c r="C271" s="1" t="n">
        <v>45360</v>
      </c>
      <c r="D271" t="inlineStr">
        <is>
          <t>VÄSTMANLANDS LÄN</t>
        </is>
      </c>
      <c r="E271" t="inlineStr">
        <is>
          <t>KÖPING</t>
        </is>
      </c>
      <c r="G271" t="n">
        <v>6.8</v>
      </c>
      <c r="H271" t="n">
        <v>0</v>
      </c>
      <c r="I271" t="n">
        <v>0</v>
      </c>
      <c r="J271" t="n">
        <v>0</v>
      </c>
      <c r="K271" t="n">
        <v>0</v>
      </c>
      <c r="L271" t="n">
        <v>0</v>
      </c>
      <c r="M271" t="n">
        <v>0</v>
      </c>
      <c r="N271" t="n">
        <v>0</v>
      </c>
      <c r="O271" t="n">
        <v>0</v>
      </c>
      <c r="P271" t="n">
        <v>0</v>
      </c>
      <c r="Q271" t="n">
        <v>0</v>
      </c>
      <c r="R271" s="2" t="inlineStr"/>
    </row>
    <row r="272" ht="15" customHeight="1">
      <c r="A272" t="inlineStr">
        <is>
          <t>A 69645-2021</t>
        </is>
      </c>
      <c r="B272" s="1" t="n">
        <v>44532</v>
      </c>
      <c r="C272" s="1" t="n">
        <v>45360</v>
      </c>
      <c r="D272" t="inlineStr">
        <is>
          <t>VÄSTMANLANDS LÄN</t>
        </is>
      </c>
      <c r="E272" t="inlineStr">
        <is>
          <t>KÖPING</t>
        </is>
      </c>
      <c r="G272" t="n">
        <v>4.6</v>
      </c>
      <c r="H272" t="n">
        <v>0</v>
      </c>
      <c r="I272" t="n">
        <v>0</v>
      </c>
      <c r="J272" t="n">
        <v>0</v>
      </c>
      <c r="K272" t="n">
        <v>0</v>
      </c>
      <c r="L272" t="n">
        <v>0</v>
      </c>
      <c r="M272" t="n">
        <v>0</v>
      </c>
      <c r="N272" t="n">
        <v>0</v>
      </c>
      <c r="O272" t="n">
        <v>0</v>
      </c>
      <c r="P272" t="n">
        <v>0</v>
      </c>
      <c r="Q272" t="n">
        <v>0</v>
      </c>
      <c r="R272" s="2" t="inlineStr"/>
    </row>
    <row r="273" ht="15" customHeight="1">
      <c r="A273" t="inlineStr">
        <is>
          <t>A 69656-2021</t>
        </is>
      </c>
      <c r="B273" s="1" t="n">
        <v>44532</v>
      </c>
      <c r="C273" s="1" t="n">
        <v>45360</v>
      </c>
      <c r="D273" t="inlineStr">
        <is>
          <t>VÄSTMANLANDS LÄN</t>
        </is>
      </c>
      <c r="E273" t="inlineStr">
        <is>
          <t>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70909-2021</t>
        </is>
      </c>
      <c r="B274" s="1" t="n">
        <v>44538</v>
      </c>
      <c r="C274" s="1" t="n">
        <v>45360</v>
      </c>
      <c r="D274" t="inlineStr">
        <is>
          <t>VÄSTMANLANDS LÄN</t>
        </is>
      </c>
      <c r="E274" t="inlineStr">
        <is>
          <t>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71717-2021</t>
        </is>
      </c>
      <c r="B275" s="1" t="n">
        <v>44539</v>
      </c>
      <c r="C275" s="1" t="n">
        <v>45360</v>
      </c>
      <c r="D275" t="inlineStr">
        <is>
          <t>VÄSTMANLANDS LÄN</t>
        </is>
      </c>
      <c r="E275" t="inlineStr">
        <is>
          <t>KÖPING</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71735-2021</t>
        </is>
      </c>
      <c r="B276" s="1" t="n">
        <v>44539</v>
      </c>
      <c r="C276" s="1" t="n">
        <v>45360</v>
      </c>
      <c r="D276" t="inlineStr">
        <is>
          <t>VÄSTMANLANDS LÄN</t>
        </is>
      </c>
      <c r="E276" t="inlineStr">
        <is>
          <t>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72460-2021</t>
        </is>
      </c>
      <c r="B277" s="1" t="n">
        <v>44545</v>
      </c>
      <c r="C277" s="1" t="n">
        <v>45360</v>
      </c>
      <c r="D277" t="inlineStr">
        <is>
          <t>VÄSTMANLANDS LÄN</t>
        </is>
      </c>
      <c r="E277" t="inlineStr">
        <is>
          <t>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72463-2021</t>
        </is>
      </c>
      <c r="B278" s="1" t="n">
        <v>44545</v>
      </c>
      <c r="C278" s="1" t="n">
        <v>45360</v>
      </c>
      <c r="D278" t="inlineStr">
        <is>
          <t>VÄSTMANLANDS LÄN</t>
        </is>
      </c>
      <c r="E278" t="inlineStr">
        <is>
          <t>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73293-2021</t>
        </is>
      </c>
      <c r="B279" s="1" t="n">
        <v>44550</v>
      </c>
      <c r="C279" s="1" t="n">
        <v>45360</v>
      </c>
      <c r="D279" t="inlineStr">
        <is>
          <t>VÄSTMANLANDS LÄN</t>
        </is>
      </c>
      <c r="E279" t="inlineStr">
        <is>
          <t>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73569-2021</t>
        </is>
      </c>
      <c r="B280" s="1" t="n">
        <v>44552</v>
      </c>
      <c r="C280" s="1" t="n">
        <v>45360</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73890-2021</t>
        </is>
      </c>
      <c r="B281" s="1" t="n">
        <v>44553</v>
      </c>
      <c r="C281" s="1" t="n">
        <v>45360</v>
      </c>
      <c r="D281" t="inlineStr">
        <is>
          <t>VÄSTMANLANDS LÄN</t>
        </is>
      </c>
      <c r="E281" t="inlineStr">
        <is>
          <t>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73888-2021</t>
        </is>
      </c>
      <c r="B282" s="1" t="n">
        <v>44553</v>
      </c>
      <c r="C282" s="1" t="n">
        <v>45360</v>
      </c>
      <c r="D282" t="inlineStr">
        <is>
          <t>VÄSTMANLANDS LÄN</t>
        </is>
      </c>
      <c r="E282" t="inlineStr">
        <is>
          <t>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74279-2021</t>
        </is>
      </c>
      <c r="B283" s="1" t="n">
        <v>44558</v>
      </c>
      <c r="C283" s="1" t="n">
        <v>45360</v>
      </c>
      <c r="D283" t="inlineStr">
        <is>
          <t>VÄSTMANLANDS LÄN</t>
        </is>
      </c>
      <c r="E283" t="inlineStr">
        <is>
          <t>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1812-2022</t>
        </is>
      </c>
      <c r="B284" s="1" t="n">
        <v>44574</v>
      </c>
      <c r="C284" s="1" t="n">
        <v>45360</v>
      </c>
      <c r="D284" t="inlineStr">
        <is>
          <t>VÄSTMANLANDS LÄN</t>
        </is>
      </c>
      <c r="E284" t="inlineStr">
        <is>
          <t>KÖPING</t>
        </is>
      </c>
      <c r="G284" t="n">
        <v>4.4</v>
      </c>
      <c r="H284" t="n">
        <v>0</v>
      </c>
      <c r="I284" t="n">
        <v>0</v>
      </c>
      <c r="J284" t="n">
        <v>0</v>
      </c>
      <c r="K284" t="n">
        <v>0</v>
      </c>
      <c r="L284" t="n">
        <v>0</v>
      </c>
      <c r="M284" t="n">
        <v>0</v>
      </c>
      <c r="N284" t="n">
        <v>0</v>
      </c>
      <c r="O284" t="n">
        <v>0</v>
      </c>
      <c r="P284" t="n">
        <v>0</v>
      </c>
      <c r="Q284" t="n">
        <v>0</v>
      </c>
      <c r="R284" s="2" t="inlineStr"/>
    </row>
    <row r="285" ht="15" customHeight="1">
      <c r="A285" t="inlineStr">
        <is>
          <t>A 2854-2022</t>
        </is>
      </c>
      <c r="B285" s="1" t="n">
        <v>44581</v>
      </c>
      <c r="C285" s="1" t="n">
        <v>45360</v>
      </c>
      <c r="D285" t="inlineStr">
        <is>
          <t>VÄSTMANLANDS LÄN</t>
        </is>
      </c>
      <c r="E285" t="inlineStr">
        <is>
          <t>KÖPING</t>
        </is>
      </c>
      <c r="G285" t="n">
        <v>7.1</v>
      </c>
      <c r="H285" t="n">
        <v>0</v>
      </c>
      <c r="I285" t="n">
        <v>0</v>
      </c>
      <c r="J285" t="n">
        <v>0</v>
      </c>
      <c r="K285" t="n">
        <v>0</v>
      </c>
      <c r="L285" t="n">
        <v>0</v>
      </c>
      <c r="M285" t="n">
        <v>0</v>
      </c>
      <c r="N285" t="n">
        <v>0</v>
      </c>
      <c r="O285" t="n">
        <v>0</v>
      </c>
      <c r="P285" t="n">
        <v>0</v>
      </c>
      <c r="Q285" t="n">
        <v>0</v>
      </c>
      <c r="R285" s="2" t="inlineStr"/>
    </row>
    <row r="286" ht="15" customHeight="1">
      <c r="A286" t="inlineStr">
        <is>
          <t>A 3196-2022</t>
        </is>
      </c>
      <c r="B286" s="1" t="n">
        <v>44582</v>
      </c>
      <c r="C286" s="1" t="n">
        <v>45360</v>
      </c>
      <c r="D286" t="inlineStr">
        <is>
          <t>VÄSTMANLANDS LÄN</t>
        </is>
      </c>
      <c r="E286" t="inlineStr">
        <is>
          <t>KÖPING</t>
        </is>
      </c>
      <c r="G286" t="n">
        <v>3.7</v>
      </c>
      <c r="H286" t="n">
        <v>0</v>
      </c>
      <c r="I286" t="n">
        <v>0</v>
      </c>
      <c r="J286" t="n">
        <v>0</v>
      </c>
      <c r="K286" t="n">
        <v>0</v>
      </c>
      <c r="L286" t="n">
        <v>0</v>
      </c>
      <c r="M286" t="n">
        <v>0</v>
      </c>
      <c r="N286" t="n">
        <v>0</v>
      </c>
      <c r="O286" t="n">
        <v>0</v>
      </c>
      <c r="P286" t="n">
        <v>0</v>
      </c>
      <c r="Q286" t="n">
        <v>0</v>
      </c>
      <c r="R286" s="2" t="inlineStr"/>
    </row>
    <row r="287" ht="15" customHeight="1">
      <c r="A287" t="inlineStr">
        <is>
          <t>A 7370-2022</t>
        </is>
      </c>
      <c r="B287" s="1" t="n">
        <v>44606</v>
      </c>
      <c r="C287" s="1" t="n">
        <v>45360</v>
      </c>
      <c r="D287" t="inlineStr">
        <is>
          <t>VÄSTMANLANDS LÄN</t>
        </is>
      </c>
      <c r="E287" t="inlineStr">
        <is>
          <t>KÖPING</t>
        </is>
      </c>
      <c r="G287" t="n">
        <v>14.4</v>
      </c>
      <c r="H287" t="n">
        <v>0</v>
      </c>
      <c r="I287" t="n">
        <v>0</v>
      </c>
      <c r="J287" t="n">
        <v>0</v>
      </c>
      <c r="K287" t="n">
        <v>0</v>
      </c>
      <c r="L287" t="n">
        <v>0</v>
      </c>
      <c r="M287" t="n">
        <v>0</v>
      </c>
      <c r="N287" t="n">
        <v>0</v>
      </c>
      <c r="O287" t="n">
        <v>0</v>
      </c>
      <c r="P287" t="n">
        <v>0</v>
      </c>
      <c r="Q287" t="n">
        <v>0</v>
      </c>
      <c r="R287" s="2" t="inlineStr"/>
    </row>
    <row r="288" ht="15" customHeight="1">
      <c r="A288" t="inlineStr">
        <is>
          <t>A 8687-2022</t>
        </is>
      </c>
      <c r="B288" s="1" t="n">
        <v>44613</v>
      </c>
      <c r="C288" s="1" t="n">
        <v>45360</v>
      </c>
      <c r="D288" t="inlineStr">
        <is>
          <t>VÄSTMANLANDS LÄN</t>
        </is>
      </c>
      <c r="E288" t="inlineStr">
        <is>
          <t>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8845-2022</t>
        </is>
      </c>
      <c r="B289" s="1" t="n">
        <v>44614</v>
      </c>
      <c r="C289" s="1" t="n">
        <v>45360</v>
      </c>
      <c r="D289" t="inlineStr">
        <is>
          <t>VÄSTMANLANDS LÄN</t>
        </is>
      </c>
      <c r="E289" t="inlineStr">
        <is>
          <t>KÖPING</t>
        </is>
      </c>
      <c r="G289" t="n">
        <v>5.4</v>
      </c>
      <c r="H289" t="n">
        <v>0</v>
      </c>
      <c r="I289" t="n">
        <v>0</v>
      </c>
      <c r="J289" t="n">
        <v>0</v>
      </c>
      <c r="K289" t="n">
        <v>0</v>
      </c>
      <c r="L289" t="n">
        <v>0</v>
      </c>
      <c r="M289" t="n">
        <v>0</v>
      </c>
      <c r="N289" t="n">
        <v>0</v>
      </c>
      <c r="O289" t="n">
        <v>0</v>
      </c>
      <c r="P289" t="n">
        <v>0</v>
      </c>
      <c r="Q289" t="n">
        <v>0</v>
      </c>
      <c r="R289" s="2" t="inlineStr"/>
    </row>
    <row r="290" ht="15" customHeight="1">
      <c r="A290" t="inlineStr">
        <is>
          <t>A 9260-2022</t>
        </is>
      </c>
      <c r="B290" s="1" t="n">
        <v>44614</v>
      </c>
      <c r="C290" s="1" t="n">
        <v>45360</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9032-2022</t>
        </is>
      </c>
      <c r="B291" s="1" t="n">
        <v>44615</v>
      </c>
      <c r="C291" s="1" t="n">
        <v>45360</v>
      </c>
      <c r="D291" t="inlineStr">
        <is>
          <t>VÄSTMANLANDS LÄN</t>
        </is>
      </c>
      <c r="E291" t="inlineStr">
        <is>
          <t>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10478-2022</t>
        </is>
      </c>
      <c r="B292" s="1" t="n">
        <v>44623</v>
      </c>
      <c r="C292" s="1" t="n">
        <v>45360</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10512-2022</t>
        </is>
      </c>
      <c r="B293" s="1" t="n">
        <v>44623</v>
      </c>
      <c r="C293" s="1" t="n">
        <v>45360</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10761-2022</t>
        </is>
      </c>
      <c r="B294" s="1" t="n">
        <v>44627</v>
      </c>
      <c r="C294" s="1" t="n">
        <v>45360</v>
      </c>
      <c r="D294" t="inlineStr">
        <is>
          <t>VÄSTMANLANDS LÄN</t>
        </is>
      </c>
      <c r="E294" t="inlineStr">
        <is>
          <t>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11034-2022</t>
        </is>
      </c>
      <c r="B295" s="1" t="n">
        <v>44628</v>
      </c>
      <c r="C295" s="1" t="n">
        <v>45360</v>
      </c>
      <c r="D295" t="inlineStr">
        <is>
          <t>VÄSTMANLANDS LÄN</t>
        </is>
      </c>
      <c r="E295" t="inlineStr">
        <is>
          <t>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11044-2022</t>
        </is>
      </c>
      <c r="B296" s="1" t="n">
        <v>44628</v>
      </c>
      <c r="C296" s="1" t="n">
        <v>45360</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14667-2022</t>
        </is>
      </c>
      <c r="B297" s="1" t="n">
        <v>44655</v>
      </c>
      <c r="C297" s="1" t="n">
        <v>45360</v>
      </c>
      <c r="D297" t="inlineStr">
        <is>
          <t>VÄSTMANLANDS LÄN</t>
        </is>
      </c>
      <c r="E297" t="inlineStr">
        <is>
          <t>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14662-2022</t>
        </is>
      </c>
      <c r="B298" s="1" t="n">
        <v>44655</v>
      </c>
      <c r="C298" s="1" t="n">
        <v>45360</v>
      </c>
      <c r="D298" t="inlineStr">
        <is>
          <t>VÄSTMANLANDS LÄN</t>
        </is>
      </c>
      <c r="E298" t="inlineStr">
        <is>
          <t>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14663-2022</t>
        </is>
      </c>
      <c r="B299" s="1" t="n">
        <v>44655</v>
      </c>
      <c r="C299" s="1" t="n">
        <v>45360</v>
      </c>
      <c r="D299" t="inlineStr">
        <is>
          <t>VÄSTMANLANDS LÄN</t>
        </is>
      </c>
      <c r="E299" t="inlineStr">
        <is>
          <t>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14664-2022</t>
        </is>
      </c>
      <c r="B300" s="1" t="n">
        <v>44655</v>
      </c>
      <c r="C300" s="1" t="n">
        <v>45360</v>
      </c>
      <c r="D300" t="inlineStr">
        <is>
          <t>VÄSTMANLANDS LÄN</t>
        </is>
      </c>
      <c r="E300" t="inlineStr">
        <is>
          <t>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15165-2022</t>
        </is>
      </c>
      <c r="B301" s="1" t="n">
        <v>44658</v>
      </c>
      <c r="C301" s="1" t="n">
        <v>45360</v>
      </c>
      <c r="D301" t="inlineStr">
        <is>
          <t>VÄSTMANLANDS LÄN</t>
        </is>
      </c>
      <c r="E301" t="inlineStr">
        <is>
          <t>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15160-2022</t>
        </is>
      </c>
      <c r="B302" s="1" t="n">
        <v>44658</v>
      </c>
      <c r="C302" s="1" t="n">
        <v>45360</v>
      </c>
      <c r="D302" t="inlineStr">
        <is>
          <t>VÄSTMANLANDS LÄN</t>
        </is>
      </c>
      <c r="E302" t="inlineStr">
        <is>
          <t>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15158-2022</t>
        </is>
      </c>
      <c r="B303" s="1" t="n">
        <v>44658</v>
      </c>
      <c r="C303" s="1" t="n">
        <v>45360</v>
      </c>
      <c r="D303" t="inlineStr">
        <is>
          <t>VÄSTMANLANDS LÄN</t>
        </is>
      </c>
      <c r="E303" t="inlineStr">
        <is>
          <t>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15162-2022</t>
        </is>
      </c>
      <c r="B304" s="1" t="n">
        <v>44658</v>
      </c>
      <c r="C304" s="1" t="n">
        <v>45360</v>
      </c>
      <c r="D304" t="inlineStr">
        <is>
          <t>VÄSTMANLANDS LÄN</t>
        </is>
      </c>
      <c r="E304" t="inlineStr">
        <is>
          <t>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15716-2022</t>
        </is>
      </c>
      <c r="B305" s="1" t="n">
        <v>44663</v>
      </c>
      <c r="C305" s="1" t="n">
        <v>45360</v>
      </c>
      <c r="D305" t="inlineStr">
        <is>
          <t>VÄSTMANLANDS LÄN</t>
        </is>
      </c>
      <c r="E305" t="inlineStr">
        <is>
          <t>KÖPING</t>
        </is>
      </c>
      <c r="G305" t="n">
        <v>7</v>
      </c>
      <c r="H305" t="n">
        <v>0</v>
      </c>
      <c r="I305" t="n">
        <v>0</v>
      </c>
      <c r="J305" t="n">
        <v>0</v>
      </c>
      <c r="K305" t="n">
        <v>0</v>
      </c>
      <c r="L305" t="n">
        <v>0</v>
      </c>
      <c r="M305" t="n">
        <v>0</v>
      </c>
      <c r="N305" t="n">
        <v>0</v>
      </c>
      <c r="O305" t="n">
        <v>0</v>
      </c>
      <c r="P305" t="n">
        <v>0</v>
      </c>
      <c r="Q305" t="n">
        <v>0</v>
      </c>
      <c r="R305" s="2" t="inlineStr"/>
    </row>
    <row r="306" ht="15" customHeight="1">
      <c r="A306" t="inlineStr">
        <is>
          <t>A 16430-2022</t>
        </is>
      </c>
      <c r="B306" s="1" t="n">
        <v>44671</v>
      </c>
      <c r="C306" s="1" t="n">
        <v>45360</v>
      </c>
      <c r="D306" t="inlineStr">
        <is>
          <t>VÄSTMANLANDS LÄN</t>
        </is>
      </c>
      <c r="E306" t="inlineStr">
        <is>
          <t>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16693-2022</t>
        </is>
      </c>
      <c r="B307" s="1" t="n">
        <v>44673</v>
      </c>
      <c r="C307" s="1" t="n">
        <v>45360</v>
      </c>
      <c r="D307" t="inlineStr">
        <is>
          <t>VÄSTMANLANDS LÄN</t>
        </is>
      </c>
      <c r="E307" t="inlineStr">
        <is>
          <t>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17398-2022</t>
        </is>
      </c>
      <c r="B308" s="1" t="n">
        <v>44678</v>
      </c>
      <c r="C308" s="1" t="n">
        <v>45360</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17345-2022</t>
        </is>
      </c>
      <c r="B309" s="1" t="n">
        <v>44678</v>
      </c>
      <c r="C309" s="1" t="n">
        <v>45360</v>
      </c>
      <c r="D309" t="inlineStr">
        <is>
          <t>VÄSTMANLANDS LÄN</t>
        </is>
      </c>
      <c r="E309" t="inlineStr">
        <is>
          <t>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17810-2022</t>
        </is>
      </c>
      <c r="B310" s="1" t="n">
        <v>44683</v>
      </c>
      <c r="C310" s="1" t="n">
        <v>45360</v>
      </c>
      <c r="D310" t="inlineStr">
        <is>
          <t>VÄSTMANLANDS LÄN</t>
        </is>
      </c>
      <c r="E310" t="inlineStr">
        <is>
          <t>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20798-2022</t>
        </is>
      </c>
      <c r="B311" s="1" t="n">
        <v>44701</v>
      </c>
      <c r="C311" s="1" t="n">
        <v>45360</v>
      </c>
      <c r="D311" t="inlineStr">
        <is>
          <t>VÄSTMANLANDS LÄN</t>
        </is>
      </c>
      <c r="E311" t="inlineStr">
        <is>
          <t>KÖPING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20898-2022</t>
        </is>
      </c>
      <c r="B312" s="1" t="n">
        <v>44701</v>
      </c>
      <c r="C312" s="1" t="n">
        <v>45360</v>
      </c>
      <c r="D312" t="inlineStr">
        <is>
          <t>VÄSTMANLANDS LÄN</t>
        </is>
      </c>
      <c r="E312" t="inlineStr">
        <is>
          <t>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22182-2022</t>
        </is>
      </c>
      <c r="B313" s="1" t="n">
        <v>44712</v>
      </c>
      <c r="C313" s="1" t="n">
        <v>45360</v>
      </c>
      <c r="D313" t="inlineStr">
        <is>
          <t>VÄSTMANLANDS LÄN</t>
        </is>
      </c>
      <c r="E313" t="inlineStr">
        <is>
          <t>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23624-2022</t>
        </is>
      </c>
      <c r="B314" s="1" t="n">
        <v>44721</v>
      </c>
      <c r="C314" s="1" t="n">
        <v>45360</v>
      </c>
      <c r="D314" t="inlineStr">
        <is>
          <t>VÄSTMANLANDS LÄN</t>
        </is>
      </c>
      <c r="E314" t="inlineStr">
        <is>
          <t>KÖPING</t>
        </is>
      </c>
      <c r="G314" t="n">
        <v>14.1</v>
      </c>
      <c r="H314" t="n">
        <v>0</v>
      </c>
      <c r="I314" t="n">
        <v>0</v>
      </c>
      <c r="J314" t="n">
        <v>0</v>
      </c>
      <c r="K314" t="n">
        <v>0</v>
      </c>
      <c r="L314" t="n">
        <v>0</v>
      </c>
      <c r="M314" t="n">
        <v>0</v>
      </c>
      <c r="N314" t="n">
        <v>0</v>
      </c>
      <c r="O314" t="n">
        <v>0</v>
      </c>
      <c r="P314" t="n">
        <v>0</v>
      </c>
      <c r="Q314" t="n">
        <v>0</v>
      </c>
      <c r="R314" s="2" t="inlineStr"/>
    </row>
    <row r="315" ht="15" customHeight="1">
      <c r="A315" t="inlineStr">
        <is>
          <t>A 23791-2022</t>
        </is>
      </c>
      <c r="B315" s="1" t="n">
        <v>44722</v>
      </c>
      <c r="C315" s="1" t="n">
        <v>45360</v>
      </c>
      <c r="D315" t="inlineStr">
        <is>
          <t>VÄSTMANLANDS LÄN</t>
        </is>
      </c>
      <c r="E315" t="inlineStr">
        <is>
          <t>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23907-2022</t>
        </is>
      </c>
      <c r="B316" s="1" t="n">
        <v>44722</v>
      </c>
      <c r="C316" s="1" t="n">
        <v>45360</v>
      </c>
      <c r="D316" t="inlineStr">
        <is>
          <t>VÄSTMANLANDS LÄN</t>
        </is>
      </c>
      <c r="E316" t="inlineStr">
        <is>
          <t>KÖPING</t>
        </is>
      </c>
      <c r="G316" t="n">
        <v>3.1</v>
      </c>
      <c r="H316" t="n">
        <v>0</v>
      </c>
      <c r="I316" t="n">
        <v>0</v>
      </c>
      <c r="J316" t="n">
        <v>0</v>
      </c>
      <c r="K316" t="n">
        <v>0</v>
      </c>
      <c r="L316" t="n">
        <v>0</v>
      </c>
      <c r="M316" t="n">
        <v>0</v>
      </c>
      <c r="N316" t="n">
        <v>0</v>
      </c>
      <c r="O316" t="n">
        <v>0</v>
      </c>
      <c r="P316" t="n">
        <v>0</v>
      </c>
      <c r="Q316" t="n">
        <v>0</v>
      </c>
      <c r="R316" s="2" t="inlineStr"/>
    </row>
    <row r="317" ht="15" customHeight="1">
      <c r="A317" t="inlineStr">
        <is>
          <t>A 24073-2022</t>
        </is>
      </c>
      <c r="B317" s="1" t="n">
        <v>44725</v>
      </c>
      <c r="C317" s="1" t="n">
        <v>45360</v>
      </c>
      <c r="D317" t="inlineStr">
        <is>
          <t>VÄSTMANLANDS LÄN</t>
        </is>
      </c>
      <c r="E317" t="inlineStr">
        <is>
          <t>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24195-2022</t>
        </is>
      </c>
      <c r="B318" s="1" t="n">
        <v>44725</v>
      </c>
      <c r="C318" s="1" t="n">
        <v>45360</v>
      </c>
      <c r="D318" t="inlineStr">
        <is>
          <t>VÄSTMANLANDS LÄN</t>
        </is>
      </c>
      <c r="E318" t="inlineStr">
        <is>
          <t>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25322-2022</t>
        </is>
      </c>
      <c r="B319" s="1" t="n">
        <v>44731</v>
      </c>
      <c r="C319" s="1" t="n">
        <v>45360</v>
      </c>
      <c r="D319" t="inlineStr">
        <is>
          <t>VÄSTMANLANDS LÄN</t>
        </is>
      </c>
      <c r="E319" t="inlineStr">
        <is>
          <t>KÖPING</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25804-2022</t>
        </is>
      </c>
      <c r="B320" s="1" t="n">
        <v>44733</v>
      </c>
      <c r="C320" s="1" t="n">
        <v>45360</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25789-2022</t>
        </is>
      </c>
      <c r="B321" s="1" t="n">
        <v>44733</v>
      </c>
      <c r="C321" s="1" t="n">
        <v>45360</v>
      </c>
      <c r="D321" t="inlineStr">
        <is>
          <t>VÄSTMANLANDS LÄN</t>
        </is>
      </c>
      <c r="E321" t="inlineStr">
        <is>
          <t>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25944-2022</t>
        </is>
      </c>
      <c r="B322" s="1" t="n">
        <v>44734</v>
      </c>
      <c r="C322" s="1" t="n">
        <v>45360</v>
      </c>
      <c r="D322" t="inlineStr">
        <is>
          <t>VÄSTMANLANDS LÄN</t>
        </is>
      </c>
      <c r="E322" t="inlineStr">
        <is>
          <t>KÖPING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25971-2022</t>
        </is>
      </c>
      <c r="B323" s="1" t="n">
        <v>44734</v>
      </c>
      <c r="C323" s="1" t="n">
        <v>45360</v>
      </c>
      <c r="D323" t="inlineStr">
        <is>
          <t>VÄSTMANLANDS LÄN</t>
        </is>
      </c>
      <c r="E323" t="inlineStr">
        <is>
          <t>KÖPING</t>
        </is>
      </c>
      <c r="G323" t="n">
        <v>2.4</v>
      </c>
      <c r="H323" t="n">
        <v>0</v>
      </c>
      <c r="I323" t="n">
        <v>0</v>
      </c>
      <c r="J323" t="n">
        <v>0</v>
      </c>
      <c r="K323" t="n">
        <v>0</v>
      </c>
      <c r="L323" t="n">
        <v>0</v>
      </c>
      <c r="M323" t="n">
        <v>0</v>
      </c>
      <c r="N323" t="n">
        <v>0</v>
      </c>
      <c r="O323" t="n">
        <v>0</v>
      </c>
      <c r="P323" t="n">
        <v>0</v>
      </c>
      <c r="Q323" t="n">
        <v>0</v>
      </c>
      <c r="R323" s="2" t="inlineStr"/>
    </row>
    <row r="324" ht="15" customHeight="1">
      <c r="A324" t="inlineStr">
        <is>
          <t>A 27260-2022</t>
        </is>
      </c>
      <c r="B324" s="1" t="n">
        <v>44741</v>
      </c>
      <c r="C324" s="1" t="n">
        <v>45360</v>
      </c>
      <c r="D324" t="inlineStr">
        <is>
          <t>VÄSTMANLANDS LÄN</t>
        </is>
      </c>
      <c r="E324" t="inlineStr">
        <is>
          <t>KÖPING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27261-2022</t>
        </is>
      </c>
      <c r="B325" s="1" t="n">
        <v>44741</v>
      </c>
      <c r="C325" s="1" t="n">
        <v>45360</v>
      </c>
      <c r="D325" t="inlineStr">
        <is>
          <t>VÄSTMANLANDS LÄN</t>
        </is>
      </c>
      <c r="E325" t="inlineStr">
        <is>
          <t>KÖPING</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27381-2022</t>
        </is>
      </c>
      <c r="B326" s="1" t="n">
        <v>44742</v>
      </c>
      <c r="C326" s="1" t="n">
        <v>45360</v>
      </c>
      <c r="D326" t="inlineStr">
        <is>
          <t>VÄSTMANLANDS LÄN</t>
        </is>
      </c>
      <c r="E326" t="inlineStr">
        <is>
          <t>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27749-2022</t>
        </is>
      </c>
      <c r="B327" s="1" t="n">
        <v>44743</v>
      </c>
      <c r="C327" s="1" t="n">
        <v>45360</v>
      </c>
      <c r="D327" t="inlineStr">
        <is>
          <t>VÄSTMANLANDS LÄN</t>
        </is>
      </c>
      <c r="E327" t="inlineStr">
        <is>
          <t>KÖPING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29317-2022</t>
        </is>
      </c>
      <c r="B328" s="1" t="n">
        <v>44751</v>
      </c>
      <c r="C328" s="1" t="n">
        <v>45360</v>
      </c>
      <c r="D328" t="inlineStr">
        <is>
          <t>VÄSTMANLANDS LÄN</t>
        </is>
      </c>
      <c r="E328" t="inlineStr">
        <is>
          <t>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29448-2022</t>
        </is>
      </c>
      <c r="B329" s="1" t="n">
        <v>44753</v>
      </c>
      <c r="C329" s="1" t="n">
        <v>45360</v>
      </c>
      <c r="D329" t="inlineStr">
        <is>
          <t>VÄSTMANLANDS LÄN</t>
        </is>
      </c>
      <c r="E329" t="inlineStr">
        <is>
          <t>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29446-2022</t>
        </is>
      </c>
      <c r="B330" s="1" t="n">
        <v>44753</v>
      </c>
      <c r="C330" s="1" t="n">
        <v>45360</v>
      </c>
      <c r="D330" t="inlineStr">
        <is>
          <t>VÄSTMANLANDS LÄN</t>
        </is>
      </c>
      <c r="E330" t="inlineStr">
        <is>
          <t>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29445-2022</t>
        </is>
      </c>
      <c r="B331" s="1" t="n">
        <v>44753</v>
      </c>
      <c r="C331" s="1" t="n">
        <v>45360</v>
      </c>
      <c r="D331" t="inlineStr">
        <is>
          <t>VÄSTMANLANDS LÄN</t>
        </is>
      </c>
      <c r="E331" t="inlineStr">
        <is>
          <t>KÖPING</t>
        </is>
      </c>
      <c r="G331" t="n">
        <v>3.4</v>
      </c>
      <c r="H331" t="n">
        <v>0</v>
      </c>
      <c r="I331" t="n">
        <v>0</v>
      </c>
      <c r="J331" t="n">
        <v>0</v>
      </c>
      <c r="K331" t="n">
        <v>0</v>
      </c>
      <c r="L331" t="n">
        <v>0</v>
      </c>
      <c r="M331" t="n">
        <v>0</v>
      </c>
      <c r="N331" t="n">
        <v>0</v>
      </c>
      <c r="O331" t="n">
        <v>0</v>
      </c>
      <c r="P331" t="n">
        <v>0</v>
      </c>
      <c r="Q331" t="n">
        <v>0</v>
      </c>
      <c r="R331" s="2" t="inlineStr"/>
    </row>
    <row r="332" ht="15" customHeight="1">
      <c r="A332" t="inlineStr">
        <is>
          <t>A 29749-2022</t>
        </is>
      </c>
      <c r="B332" s="1" t="n">
        <v>44755</v>
      </c>
      <c r="C332" s="1" t="n">
        <v>45360</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29752-2022</t>
        </is>
      </c>
      <c r="B333" s="1" t="n">
        <v>44755</v>
      </c>
      <c r="C333" s="1" t="n">
        <v>45360</v>
      </c>
      <c r="D333" t="inlineStr">
        <is>
          <t>VÄSTMANLANDS LÄN</t>
        </is>
      </c>
      <c r="E333" t="inlineStr">
        <is>
          <t>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29934-2022</t>
        </is>
      </c>
      <c r="B334" s="1" t="n">
        <v>44757</v>
      </c>
      <c r="C334" s="1" t="n">
        <v>45360</v>
      </c>
      <c r="D334" t="inlineStr">
        <is>
          <t>VÄSTMANLANDS LÄN</t>
        </is>
      </c>
      <c r="E334" t="inlineStr">
        <is>
          <t>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30079-2022</t>
        </is>
      </c>
      <c r="B335" s="1" t="n">
        <v>44757</v>
      </c>
      <c r="C335" s="1" t="n">
        <v>45360</v>
      </c>
      <c r="D335" t="inlineStr">
        <is>
          <t>VÄSTMANLANDS LÄN</t>
        </is>
      </c>
      <c r="E335" t="inlineStr">
        <is>
          <t>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30141-2022</t>
        </is>
      </c>
      <c r="B336" s="1" t="n">
        <v>44757</v>
      </c>
      <c r="C336" s="1" t="n">
        <v>45360</v>
      </c>
      <c r="D336" t="inlineStr">
        <is>
          <t>VÄSTMANLANDS LÄN</t>
        </is>
      </c>
      <c r="E336" t="inlineStr">
        <is>
          <t>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30147-2022</t>
        </is>
      </c>
      <c r="B337" s="1" t="n">
        <v>44757</v>
      </c>
      <c r="C337" s="1" t="n">
        <v>45360</v>
      </c>
      <c r="D337" t="inlineStr">
        <is>
          <t>VÄSTMANLANDS LÄN</t>
        </is>
      </c>
      <c r="E337" t="inlineStr">
        <is>
          <t>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31161-2022</t>
        </is>
      </c>
      <c r="B338" s="1" t="n">
        <v>44770</v>
      </c>
      <c r="C338" s="1" t="n">
        <v>45360</v>
      </c>
      <c r="D338" t="inlineStr">
        <is>
          <t>VÄSTMANLANDS LÄN</t>
        </is>
      </c>
      <c r="E338" t="inlineStr">
        <is>
          <t>KÖPING</t>
        </is>
      </c>
      <c r="G338" t="n">
        <v>6.1</v>
      </c>
      <c r="H338" t="n">
        <v>0</v>
      </c>
      <c r="I338" t="n">
        <v>0</v>
      </c>
      <c r="J338" t="n">
        <v>0</v>
      </c>
      <c r="K338" t="n">
        <v>0</v>
      </c>
      <c r="L338" t="n">
        <v>0</v>
      </c>
      <c r="M338" t="n">
        <v>0</v>
      </c>
      <c r="N338" t="n">
        <v>0</v>
      </c>
      <c r="O338" t="n">
        <v>0</v>
      </c>
      <c r="P338" t="n">
        <v>0</v>
      </c>
      <c r="Q338" t="n">
        <v>0</v>
      </c>
      <c r="R338" s="2" t="inlineStr"/>
    </row>
    <row r="339" ht="15" customHeight="1">
      <c r="A339" t="inlineStr">
        <is>
          <t>A 31193-2022</t>
        </is>
      </c>
      <c r="B339" s="1" t="n">
        <v>44770</v>
      </c>
      <c r="C339" s="1" t="n">
        <v>45360</v>
      </c>
      <c r="D339" t="inlineStr">
        <is>
          <t>VÄSTMANLANDS LÄN</t>
        </is>
      </c>
      <c r="E339" t="inlineStr">
        <is>
          <t>KÖPING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31319-2022</t>
        </is>
      </c>
      <c r="B340" s="1" t="n">
        <v>44774</v>
      </c>
      <c r="C340" s="1" t="n">
        <v>45360</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33156-2022</t>
        </is>
      </c>
      <c r="B341" s="1" t="n">
        <v>44785</v>
      </c>
      <c r="C341" s="1" t="n">
        <v>45360</v>
      </c>
      <c r="D341" t="inlineStr">
        <is>
          <t>VÄSTMANLANDS LÄN</t>
        </is>
      </c>
      <c r="E341" t="inlineStr">
        <is>
          <t>KÖPING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33433-2022</t>
        </is>
      </c>
      <c r="B342" s="1" t="n">
        <v>44788</v>
      </c>
      <c r="C342" s="1" t="n">
        <v>45360</v>
      </c>
      <c r="D342" t="inlineStr">
        <is>
          <t>VÄSTMANLANDS LÄN</t>
        </is>
      </c>
      <c r="E342" t="inlineStr">
        <is>
          <t>KÖPING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35108-2022</t>
        </is>
      </c>
      <c r="B343" s="1" t="n">
        <v>44797</v>
      </c>
      <c r="C343" s="1" t="n">
        <v>45360</v>
      </c>
      <c r="D343" t="inlineStr">
        <is>
          <t>VÄSTMANLANDS LÄN</t>
        </is>
      </c>
      <c r="E343" t="inlineStr">
        <is>
          <t>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35144-2022</t>
        </is>
      </c>
      <c r="B344" s="1" t="n">
        <v>44797</v>
      </c>
      <c r="C344" s="1" t="n">
        <v>45360</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36504-2022</t>
        </is>
      </c>
      <c r="B345" s="1" t="n">
        <v>44804</v>
      </c>
      <c r="C345" s="1" t="n">
        <v>45360</v>
      </c>
      <c r="D345" t="inlineStr">
        <is>
          <t>VÄSTMANLANDS LÄN</t>
        </is>
      </c>
      <c r="E345" t="inlineStr">
        <is>
          <t>KÖPING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37447-2022</t>
        </is>
      </c>
      <c r="B346" s="1" t="n">
        <v>44809</v>
      </c>
      <c r="C346" s="1" t="n">
        <v>45360</v>
      </c>
      <c r="D346" t="inlineStr">
        <is>
          <t>VÄSTMANLANDS LÄN</t>
        </is>
      </c>
      <c r="E346" t="inlineStr">
        <is>
          <t>KÖPING</t>
        </is>
      </c>
      <c r="G346" t="n">
        <v>7.2</v>
      </c>
      <c r="H346" t="n">
        <v>0</v>
      </c>
      <c r="I346" t="n">
        <v>0</v>
      </c>
      <c r="J346" t="n">
        <v>0</v>
      </c>
      <c r="K346" t="n">
        <v>0</v>
      </c>
      <c r="L346" t="n">
        <v>0</v>
      </c>
      <c r="M346" t="n">
        <v>0</v>
      </c>
      <c r="N346" t="n">
        <v>0</v>
      </c>
      <c r="O346" t="n">
        <v>0</v>
      </c>
      <c r="P346" t="n">
        <v>0</v>
      </c>
      <c r="Q346" t="n">
        <v>0</v>
      </c>
      <c r="R346" s="2" t="inlineStr"/>
    </row>
    <row r="347" ht="15" customHeight="1">
      <c r="A347" t="inlineStr">
        <is>
          <t>A 37660-2022</t>
        </is>
      </c>
      <c r="B347" s="1" t="n">
        <v>44810</v>
      </c>
      <c r="C347" s="1" t="n">
        <v>45360</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37730-2022</t>
        </is>
      </c>
      <c r="B348" s="1" t="n">
        <v>44810</v>
      </c>
      <c r="C348" s="1" t="n">
        <v>45360</v>
      </c>
      <c r="D348" t="inlineStr">
        <is>
          <t>VÄSTMANLANDS LÄN</t>
        </is>
      </c>
      <c r="E348" t="inlineStr">
        <is>
          <t>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37751-2022</t>
        </is>
      </c>
      <c r="B349" s="1" t="n">
        <v>44810</v>
      </c>
      <c r="C349" s="1" t="n">
        <v>45360</v>
      </c>
      <c r="D349" t="inlineStr">
        <is>
          <t>VÄSTMANLANDS LÄN</t>
        </is>
      </c>
      <c r="E349" t="inlineStr">
        <is>
          <t>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37776-2022</t>
        </is>
      </c>
      <c r="B350" s="1" t="n">
        <v>44810</v>
      </c>
      <c r="C350" s="1" t="n">
        <v>45360</v>
      </c>
      <c r="D350" t="inlineStr">
        <is>
          <t>VÄSTMANLANDS LÄN</t>
        </is>
      </c>
      <c r="E350" t="inlineStr">
        <is>
          <t>KÖPING</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41059-2022</t>
        </is>
      </c>
      <c r="B351" s="1" t="n">
        <v>44825</v>
      </c>
      <c r="C351" s="1" t="n">
        <v>45360</v>
      </c>
      <c r="D351" t="inlineStr">
        <is>
          <t>VÄSTMANLANDS LÄN</t>
        </is>
      </c>
      <c r="E351" t="inlineStr">
        <is>
          <t>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41032-2022</t>
        </is>
      </c>
      <c r="B352" s="1" t="n">
        <v>44825</v>
      </c>
      <c r="C352" s="1" t="n">
        <v>45360</v>
      </c>
      <c r="D352" t="inlineStr">
        <is>
          <t>VÄSTMANLANDS LÄN</t>
        </is>
      </c>
      <c r="E352" t="inlineStr">
        <is>
          <t>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41052-2022</t>
        </is>
      </c>
      <c r="B353" s="1" t="n">
        <v>44825</v>
      </c>
      <c r="C353" s="1" t="n">
        <v>45360</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41064-2022</t>
        </is>
      </c>
      <c r="B354" s="1" t="n">
        <v>44825</v>
      </c>
      <c r="C354" s="1" t="n">
        <v>45360</v>
      </c>
      <c r="D354" t="inlineStr">
        <is>
          <t>VÄSTMANLANDS LÄN</t>
        </is>
      </c>
      <c r="E354" t="inlineStr">
        <is>
          <t>KÖPING</t>
        </is>
      </c>
      <c r="G354" t="n">
        <v>5.6</v>
      </c>
      <c r="H354" t="n">
        <v>0</v>
      </c>
      <c r="I354" t="n">
        <v>0</v>
      </c>
      <c r="J354" t="n">
        <v>0</v>
      </c>
      <c r="K354" t="n">
        <v>0</v>
      </c>
      <c r="L354" t="n">
        <v>0</v>
      </c>
      <c r="M354" t="n">
        <v>0</v>
      </c>
      <c r="N354" t="n">
        <v>0</v>
      </c>
      <c r="O354" t="n">
        <v>0</v>
      </c>
      <c r="P354" t="n">
        <v>0</v>
      </c>
      <c r="Q354" t="n">
        <v>0</v>
      </c>
      <c r="R354" s="2" t="inlineStr"/>
    </row>
    <row r="355" ht="15" customHeight="1">
      <c r="A355" t="inlineStr">
        <is>
          <t>A 41160-2022</t>
        </is>
      </c>
      <c r="B355" s="1" t="n">
        <v>44825</v>
      </c>
      <c r="C355" s="1" t="n">
        <v>45360</v>
      </c>
      <c r="D355" t="inlineStr">
        <is>
          <t>VÄSTMANLANDS LÄN</t>
        </is>
      </c>
      <c r="E355" t="inlineStr">
        <is>
          <t>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41583-2022</t>
        </is>
      </c>
      <c r="B356" s="1" t="n">
        <v>44827</v>
      </c>
      <c r="C356" s="1" t="n">
        <v>45360</v>
      </c>
      <c r="D356" t="inlineStr">
        <is>
          <t>VÄSTMANLANDS LÄN</t>
        </is>
      </c>
      <c r="E356" t="inlineStr">
        <is>
          <t>KÖPING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42491-2022</t>
        </is>
      </c>
      <c r="B357" s="1" t="n">
        <v>44831</v>
      </c>
      <c r="C357" s="1" t="n">
        <v>45360</v>
      </c>
      <c r="D357" t="inlineStr">
        <is>
          <t>VÄSTMANLANDS LÄN</t>
        </is>
      </c>
      <c r="E357" t="inlineStr">
        <is>
          <t>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43303-2022</t>
        </is>
      </c>
      <c r="B358" s="1" t="n">
        <v>44834</v>
      </c>
      <c r="C358" s="1" t="n">
        <v>45360</v>
      </c>
      <c r="D358" t="inlineStr">
        <is>
          <t>VÄSTMANLANDS LÄN</t>
        </is>
      </c>
      <c r="E358" t="inlineStr">
        <is>
          <t>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43567-2022</t>
        </is>
      </c>
      <c r="B359" s="1" t="n">
        <v>44837</v>
      </c>
      <c r="C359" s="1" t="n">
        <v>45360</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44408-2022</t>
        </is>
      </c>
      <c r="B360" s="1" t="n">
        <v>44839</v>
      </c>
      <c r="C360" s="1" t="n">
        <v>45360</v>
      </c>
      <c r="D360" t="inlineStr">
        <is>
          <t>VÄSTMANLANDS LÄN</t>
        </is>
      </c>
      <c r="E360" t="inlineStr">
        <is>
          <t>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44370-2022</t>
        </is>
      </c>
      <c r="B361" s="1" t="n">
        <v>44839</v>
      </c>
      <c r="C361" s="1" t="n">
        <v>45360</v>
      </c>
      <c r="D361" t="inlineStr">
        <is>
          <t>VÄSTMANLANDS LÄN</t>
        </is>
      </c>
      <c r="E361" t="inlineStr">
        <is>
          <t>KÖPING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44906-2022</t>
        </is>
      </c>
      <c r="B362" s="1" t="n">
        <v>44840</v>
      </c>
      <c r="C362" s="1" t="n">
        <v>45360</v>
      </c>
      <c r="D362" t="inlineStr">
        <is>
          <t>VÄSTMANLANDS LÄN</t>
        </is>
      </c>
      <c r="E362" t="inlineStr">
        <is>
          <t>KÖPING</t>
        </is>
      </c>
      <c r="G362" t="n">
        <v>3.6</v>
      </c>
      <c r="H362" t="n">
        <v>0</v>
      </c>
      <c r="I362" t="n">
        <v>0</v>
      </c>
      <c r="J362" t="n">
        <v>0</v>
      </c>
      <c r="K362" t="n">
        <v>0</v>
      </c>
      <c r="L362" t="n">
        <v>0</v>
      </c>
      <c r="M362" t="n">
        <v>0</v>
      </c>
      <c r="N362" t="n">
        <v>0</v>
      </c>
      <c r="O362" t="n">
        <v>0</v>
      </c>
      <c r="P362" t="n">
        <v>0</v>
      </c>
      <c r="Q362" t="n">
        <v>0</v>
      </c>
      <c r="R362" s="2" t="inlineStr"/>
    </row>
    <row r="363" ht="15" customHeight="1">
      <c r="A363" t="inlineStr">
        <is>
          <t>A 46123-2022</t>
        </is>
      </c>
      <c r="B363" s="1" t="n">
        <v>44847</v>
      </c>
      <c r="C363" s="1" t="n">
        <v>45360</v>
      </c>
      <c r="D363" t="inlineStr">
        <is>
          <t>VÄSTMANLANDS LÄN</t>
        </is>
      </c>
      <c r="E363" t="inlineStr">
        <is>
          <t>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46114-2022</t>
        </is>
      </c>
      <c r="B364" s="1" t="n">
        <v>44847</v>
      </c>
      <c r="C364" s="1" t="n">
        <v>45360</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46124-2022</t>
        </is>
      </c>
      <c r="B365" s="1" t="n">
        <v>44847</v>
      </c>
      <c r="C365" s="1" t="n">
        <v>45360</v>
      </c>
      <c r="D365" t="inlineStr">
        <is>
          <t>VÄSTMANLANDS LÄN</t>
        </is>
      </c>
      <c r="E365" t="inlineStr">
        <is>
          <t>KÖPING</t>
        </is>
      </c>
      <c r="G365" t="n">
        <v>8</v>
      </c>
      <c r="H365" t="n">
        <v>0</v>
      </c>
      <c r="I365" t="n">
        <v>0</v>
      </c>
      <c r="J365" t="n">
        <v>0</v>
      </c>
      <c r="K365" t="n">
        <v>0</v>
      </c>
      <c r="L365" t="n">
        <v>0</v>
      </c>
      <c r="M365" t="n">
        <v>0</v>
      </c>
      <c r="N365" t="n">
        <v>0</v>
      </c>
      <c r="O365" t="n">
        <v>0</v>
      </c>
      <c r="P365" t="n">
        <v>0</v>
      </c>
      <c r="Q365" t="n">
        <v>0</v>
      </c>
      <c r="R365" s="2" t="inlineStr"/>
    </row>
    <row r="366" ht="15" customHeight="1">
      <c r="A366" t="inlineStr">
        <is>
          <t>A 46126-2022</t>
        </is>
      </c>
      <c r="B366" s="1" t="n">
        <v>44847</v>
      </c>
      <c r="C366" s="1" t="n">
        <v>45360</v>
      </c>
      <c r="D366" t="inlineStr">
        <is>
          <t>VÄSTMANLANDS LÄN</t>
        </is>
      </c>
      <c r="E366" t="inlineStr">
        <is>
          <t>KÖPING</t>
        </is>
      </c>
      <c r="G366" t="n">
        <v>17.5</v>
      </c>
      <c r="H366" t="n">
        <v>0</v>
      </c>
      <c r="I366" t="n">
        <v>0</v>
      </c>
      <c r="J366" t="n">
        <v>0</v>
      </c>
      <c r="K366" t="n">
        <v>0</v>
      </c>
      <c r="L366" t="n">
        <v>0</v>
      </c>
      <c r="M366" t="n">
        <v>0</v>
      </c>
      <c r="N366" t="n">
        <v>0</v>
      </c>
      <c r="O366" t="n">
        <v>0</v>
      </c>
      <c r="P366" t="n">
        <v>0</v>
      </c>
      <c r="Q366" t="n">
        <v>0</v>
      </c>
      <c r="R366" s="2" t="inlineStr"/>
    </row>
    <row r="367" ht="15" customHeight="1">
      <c r="A367" t="inlineStr">
        <is>
          <t>A 47923-2022</t>
        </is>
      </c>
      <c r="B367" s="1" t="n">
        <v>44855</v>
      </c>
      <c r="C367" s="1" t="n">
        <v>45360</v>
      </c>
      <c r="D367" t="inlineStr">
        <is>
          <t>VÄSTMANLANDS LÄN</t>
        </is>
      </c>
      <c r="E367" t="inlineStr">
        <is>
          <t>KÖPING</t>
        </is>
      </c>
      <c r="G367" t="n">
        <v>4.8</v>
      </c>
      <c r="H367" t="n">
        <v>0</v>
      </c>
      <c r="I367" t="n">
        <v>0</v>
      </c>
      <c r="J367" t="n">
        <v>0</v>
      </c>
      <c r="K367" t="n">
        <v>0</v>
      </c>
      <c r="L367" t="n">
        <v>0</v>
      </c>
      <c r="M367" t="n">
        <v>0</v>
      </c>
      <c r="N367" t="n">
        <v>0</v>
      </c>
      <c r="O367" t="n">
        <v>0</v>
      </c>
      <c r="P367" t="n">
        <v>0</v>
      </c>
      <c r="Q367" t="n">
        <v>0</v>
      </c>
      <c r="R367" s="2" t="inlineStr"/>
    </row>
    <row r="368" ht="15" customHeight="1">
      <c r="A368" t="inlineStr">
        <is>
          <t>A 51339-2022</t>
        </is>
      </c>
      <c r="B368" s="1" t="n">
        <v>44866</v>
      </c>
      <c r="C368" s="1" t="n">
        <v>45360</v>
      </c>
      <c r="D368" t="inlineStr">
        <is>
          <t>VÄSTMANLANDS LÄN</t>
        </is>
      </c>
      <c r="E368" t="inlineStr">
        <is>
          <t>KÖPING</t>
        </is>
      </c>
      <c r="G368" t="n">
        <v>3.7</v>
      </c>
      <c r="H368" t="n">
        <v>0</v>
      </c>
      <c r="I368" t="n">
        <v>0</v>
      </c>
      <c r="J368" t="n">
        <v>0</v>
      </c>
      <c r="K368" t="n">
        <v>0</v>
      </c>
      <c r="L368" t="n">
        <v>0</v>
      </c>
      <c r="M368" t="n">
        <v>0</v>
      </c>
      <c r="N368" t="n">
        <v>0</v>
      </c>
      <c r="O368" t="n">
        <v>0</v>
      </c>
      <c r="P368" t="n">
        <v>0</v>
      </c>
      <c r="Q368" t="n">
        <v>0</v>
      </c>
      <c r="R368" s="2" t="inlineStr"/>
    </row>
    <row r="369" ht="15" customHeight="1">
      <c r="A369" t="inlineStr">
        <is>
          <t>A 51203-2022</t>
        </is>
      </c>
      <c r="B369" s="1" t="n">
        <v>44868</v>
      </c>
      <c r="C369" s="1" t="n">
        <v>45360</v>
      </c>
      <c r="D369" t="inlineStr">
        <is>
          <t>VÄSTMANLANDS LÄN</t>
        </is>
      </c>
      <c r="E369" t="inlineStr">
        <is>
          <t>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54868-2022</t>
        </is>
      </c>
      <c r="B370" s="1" t="n">
        <v>44885</v>
      </c>
      <c r="C370" s="1" t="n">
        <v>45360</v>
      </c>
      <c r="D370" t="inlineStr">
        <is>
          <t>VÄSTMANLANDS LÄN</t>
        </is>
      </c>
      <c r="E370" t="inlineStr">
        <is>
          <t>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55389-2022</t>
        </is>
      </c>
      <c r="B371" s="1" t="n">
        <v>44887</v>
      </c>
      <c r="C371" s="1" t="n">
        <v>45360</v>
      </c>
      <c r="D371" t="inlineStr">
        <is>
          <t>VÄSTMANLANDS LÄN</t>
        </is>
      </c>
      <c r="E371" t="inlineStr">
        <is>
          <t>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55720-2022</t>
        </is>
      </c>
      <c r="B372" s="1" t="n">
        <v>44888</v>
      </c>
      <c r="C372" s="1" t="n">
        <v>45360</v>
      </c>
      <c r="D372" t="inlineStr">
        <is>
          <t>VÄSTMANLANDS LÄN</t>
        </is>
      </c>
      <c r="E372" t="inlineStr">
        <is>
          <t>KÖPING</t>
        </is>
      </c>
      <c r="G372" t="n">
        <v>3.2</v>
      </c>
      <c r="H372" t="n">
        <v>0</v>
      </c>
      <c r="I372" t="n">
        <v>0</v>
      </c>
      <c r="J372" t="n">
        <v>0</v>
      </c>
      <c r="K372" t="n">
        <v>0</v>
      </c>
      <c r="L372" t="n">
        <v>0</v>
      </c>
      <c r="M372" t="n">
        <v>0</v>
      </c>
      <c r="N372" t="n">
        <v>0</v>
      </c>
      <c r="O372" t="n">
        <v>0</v>
      </c>
      <c r="P372" t="n">
        <v>0</v>
      </c>
      <c r="Q372" t="n">
        <v>0</v>
      </c>
      <c r="R372" s="2" t="inlineStr"/>
    </row>
    <row r="373" ht="15" customHeight="1">
      <c r="A373" t="inlineStr">
        <is>
          <t>A 56292-2022</t>
        </is>
      </c>
      <c r="B373" s="1" t="n">
        <v>44890</v>
      </c>
      <c r="C373" s="1" t="n">
        <v>45360</v>
      </c>
      <c r="D373" t="inlineStr">
        <is>
          <t>VÄSTMANLANDS LÄN</t>
        </is>
      </c>
      <c r="E373" t="inlineStr">
        <is>
          <t>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56283-2022</t>
        </is>
      </c>
      <c r="B374" s="1" t="n">
        <v>44890</v>
      </c>
      <c r="C374" s="1" t="n">
        <v>45360</v>
      </c>
      <c r="D374" t="inlineStr">
        <is>
          <t>VÄSTMANLANDS LÄN</t>
        </is>
      </c>
      <c r="E374" t="inlineStr">
        <is>
          <t>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56823-2022</t>
        </is>
      </c>
      <c r="B375" s="1" t="n">
        <v>44894</v>
      </c>
      <c r="C375" s="1" t="n">
        <v>45360</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56809-2022</t>
        </is>
      </c>
      <c r="B376" s="1" t="n">
        <v>44894</v>
      </c>
      <c r="C376" s="1" t="n">
        <v>45360</v>
      </c>
      <c r="D376" t="inlineStr">
        <is>
          <t>VÄSTMANLANDS LÄN</t>
        </is>
      </c>
      <c r="E376" t="inlineStr">
        <is>
          <t>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56979-2022</t>
        </is>
      </c>
      <c r="B377" s="1" t="n">
        <v>44894</v>
      </c>
      <c r="C377" s="1" t="n">
        <v>45360</v>
      </c>
      <c r="D377" t="inlineStr">
        <is>
          <t>VÄSTMANLANDS LÄN</t>
        </is>
      </c>
      <c r="E377" t="inlineStr">
        <is>
          <t>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56846-2022</t>
        </is>
      </c>
      <c r="B378" s="1" t="n">
        <v>44894</v>
      </c>
      <c r="C378" s="1" t="n">
        <v>45360</v>
      </c>
      <c r="D378" t="inlineStr">
        <is>
          <t>VÄSTMANLANDS LÄN</t>
        </is>
      </c>
      <c r="E378" t="inlineStr">
        <is>
          <t>KÖPING</t>
        </is>
      </c>
      <c r="G378" t="n">
        <v>4.7</v>
      </c>
      <c r="H378" t="n">
        <v>0</v>
      </c>
      <c r="I378" t="n">
        <v>0</v>
      </c>
      <c r="J378" t="n">
        <v>0</v>
      </c>
      <c r="K378" t="n">
        <v>0</v>
      </c>
      <c r="L378" t="n">
        <v>0</v>
      </c>
      <c r="M378" t="n">
        <v>0</v>
      </c>
      <c r="N378" t="n">
        <v>0</v>
      </c>
      <c r="O378" t="n">
        <v>0</v>
      </c>
      <c r="P378" t="n">
        <v>0</v>
      </c>
      <c r="Q378" t="n">
        <v>0</v>
      </c>
      <c r="R378" s="2" t="inlineStr"/>
    </row>
    <row r="379" ht="15" customHeight="1">
      <c r="A379" t="inlineStr">
        <is>
          <t>A 57514-2022</t>
        </is>
      </c>
      <c r="B379" s="1" t="n">
        <v>44896</v>
      </c>
      <c r="C379" s="1" t="n">
        <v>45360</v>
      </c>
      <c r="D379" t="inlineStr">
        <is>
          <t>VÄSTMANLANDS LÄN</t>
        </is>
      </c>
      <c r="E379" t="inlineStr">
        <is>
          <t>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57760-2022</t>
        </is>
      </c>
      <c r="B380" s="1" t="n">
        <v>44897</v>
      </c>
      <c r="C380" s="1" t="n">
        <v>45360</v>
      </c>
      <c r="D380" t="inlineStr">
        <is>
          <t>VÄSTMANLANDS LÄN</t>
        </is>
      </c>
      <c r="E380" t="inlineStr">
        <is>
          <t>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57641-2022</t>
        </is>
      </c>
      <c r="B381" s="1" t="n">
        <v>44897</v>
      </c>
      <c r="C381" s="1" t="n">
        <v>45360</v>
      </c>
      <c r="D381" t="inlineStr">
        <is>
          <t>VÄSTMANLANDS LÄN</t>
        </is>
      </c>
      <c r="E381" t="inlineStr">
        <is>
          <t>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58105-2022</t>
        </is>
      </c>
      <c r="B382" s="1" t="n">
        <v>44900</v>
      </c>
      <c r="C382" s="1" t="n">
        <v>45360</v>
      </c>
      <c r="D382" t="inlineStr">
        <is>
          <t>VÄSTMANLANDS LÄN</t>
        </is>
      </c>
      <c r="E382" t="inlineStr">
        <is>
          <t>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58106-2022</t>
        </is>
      </c>
      <c r="B383" s="1" t="n">
        <v>44900</v>
      </c>
      <c r="C383" s="1" t="n">
        <v>45360</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59500-2022</t>
        </is>
      </c>
      <c r="B384" s="1" t="n">
        <v>44907</v>
      </c>
      <c r="C384" s="1" t="n">
        <v>45360</v>
      </c>
      <c r="D384" t="inlineStr">
        <is>
          <t>VÄSTMANLANDS LÄN</t>
        </is>
      </c>
      <c r="E384" t="inlineStr">
        <is>
          <t>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59735-2022</t>
        </is>
      </c>
      <c r="B385" s="1" t="n">
        <v>44908</v>
      </c>
      <c r="C385" s="1" t="n">
        <v>45360</v>
      </c>
      <c r="D385" t="inlineStr">
        <is>
          <t>VÄSTMANLANDS LÄN</t>
        </is>
      </c>
      <c r="E385" t="inlineStr">
        <is>
          <t>KÖPING</t>
        </is>
      </c>
      <c r="G385" t="n">
        <v>3.9</v>
      </c>
      <c r="H385" t="n">
        <v>0</v>
      </c>
      <c r="I385" t="n">
        <v>0</v>
      </c>
      <c r="J385" t="n">
        <v>0</v>
      </c>
      <c r="K385" t="n">
        <v>0</v>
      </c>
      <c r="L385" t="n">
        <v>0</v>
      </c>
      <c r="M385" t="n">
        <v>0</v>
      </c>
      <c r="N385" t="n">
        <v>0</v>
      </c>
      <c r="O385" t="n">
        <v>0</v>
      </c>
      <c r="P385" t="n">
        <v>0</v>
      </c>
      <c r="Q385" t="n">
        <v>0</v>
      </c>
      <c r="R385" s="2" t="inlineStr"/>
    </row>
    <row r="386" ht="15" customHeight="1">
      <c r="A386" t="inlineStr">
        <is>
          <t>A 60481-2022</t>
        </is>
      </c>
      <c r="B386" s="1" t="n">
        <v>44911</v>
      </c>
      <c r="C386" s="1" t="n">
        <v>45360</v>
      </c>
      <c r="D386" t="inlineStr">
        <is>
          <t>VÄSTMANLANDS LÄN</t>
        </is>
      </c>
      <c r="E386" t="inlineStr">
        <is>
          <t>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60485-2022</t>
        </is>
      </c>
      <c r="B387" s="1" t="n">
        <v>44911</v>
      </c>
      <c r="C387" s="1" t="n">
        <v>45360</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60479-2022</t>
        </is>
      </c>
      <c r="B388" s="1" t="n">
        <v>44911</v>
      </c>
      <c r="C388" s="1" t="n">
        <v>45360</v>
      </c>
      <c r="D388" t="inlineStr">
        <is>
          <t>VÄSTMANLANDS LÄN</t>
        </is>
      </c>
      <c r="E388" t="inlineStr">
        <is>
          <t>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60894-2022</t>
        </is>
      </c>
      <c r="B389" s="1" t="n">
        <v>44914</v>
      </c>
      <c r="C389" s="1" t="n">
        <v>45360</v>
      </c>
      <c r="D389" t="inlineStr">
        <is>
          <t>VÄSTMANLANDS LÄN</t>
        </is>
      </c>
      <c r="E389" t="inlineStr">
        <is>
          <t>KÖPING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61000-2022</t>
        </is>
      </c>
      <c r="B390" s="1" t="n">
        <v>44914</v>
      </c>
      <c r="C390" s="1" t="n">
        <v>45360</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60924-2022</t>
        </is>
      </c>
      <c r="B391" s="1" t="n">
        <v>44914</v>
      </c>
      <c r="C391" s="1" t="n">
        <v>45360</v>
      </c>
      <c r="D391" t="inlineStr">
        <is>
          <t>VÄSTMANLANDS LÄN</t>
        </is>
      </c>
      <c r="E391" t="inlineStr">
        <is>
          <t>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61083-2022</t>
        </is>
      </c>
      <c r="B392" s="1" t="n">
        <v>44915</v>
      </c>
      <c r="C392" s="1" t="n">
        <v>45360</v>
      </c>
      <c r="D392" t="inlineStr">
        <is>
          <t>VÄSTMANLANDS LÄN</t>
        </is>
      </c>
      <c r="E392" t="inlineStr">
        <is>
          <t>KÖPING</t>
        </is>
      </c>
      <c r="G392" t="n">
        <v>6.7</v>
      </c>
      <c r="H392" t="n">
        <v>0</v>
      </c>
      <c r="I392" t="n">
        <v>0</v>
      </c>
      <c r="J392" t="n">
        <v>0</v>
      </c>
      <c r="K392" t="n">
        <v>0</v>
      </c>
      <c r="L392" t="n">
        <v>0</v>
      </c>
      <c r="M392" t="n">
        <v>0</v>
      </c>
      <c r="N392" t="n">
        <v>0</v>
      </c>
      <c r="O392" t="n">
        <v>0</v>
      </c>
      <c r="P392" t="n">
        <v>0</v>
      </c>
      <c r="Q392" t="n">
        <v>0</v>
      </c>
      <c r="R392" s="2" t="inlineStr"/>
    </row>
    <row r="393" ht="15" customHeight="1">
      <c r="A393" t="inlineStr">
        <is>
          <t>A 61059-2022</t>
        </is>
      </c>
      <c r="B393" s="1" t="n">
        <v>44915</v>
      </c>
      <c r="C393" s="1" t="n">
        <v>45360</v>
      </c>
      <c r="D393" t="inlineStr">
        <is>
          <t>VÄSTMANLANDS LÄN</t>
        </is>
      </c>
      <c r="E393" t="inlineStr">
        <is>
          <t>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61070-2022</t>
        </is>
      </c>
      <c r="B394" s="1" t="n">
        <v>44915</v>
      </c>
      <c r="C394" s="1" t="n">
        <v>45360</v>
      </c>
      <c r="D394" t="inlineStr">
        <is>
          <t>VÄSTMANLANDS LÄN</t>
        </is>
      </c>
      <c r="E394" t="inlineStr">
        <is>
          <t>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61072-2022</t>
        </is>
      </c>
      <c r="B395" s="1" t="n">
        <v>44915</v>
      </c>
      <c r="C395" s="1" t="n">
        <v>45360</v>
      </c>
      <c r="D395" t="inlineStr">
        <is>
          <t>VÄSTMANLANDS LÄN</t>
        </is>
      </c>
      <c r="E395" t="inlineStr">
        <is>
          <t>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61897-2022</t>
        </is>
      </c>
      <c r="B396" s="1" t="n">
        <v>44917</v>
      </c>
      <c r="C396" s="1" t="n">
        <v>45360</v>
      </c>
      <c r="D396" t="inlineStr">
        <is>
          <t>VÄSTMANLANDS LÄN</t>
        </is>
      </c>
      <c r="E396" t="inlineStr">
        <is>
          <t>KÖPING</t>
        </is>
      </c>
      <c r="G396" t="n">
        <v>8.1</v>
      </c>
      <c r="H396" t="n">
        <v>0</v>
      </c>
      <c r="I396" t="n">
        <v>0</v>
      </c>
      <c r="J396" t="n">
        <v>0</v>
      </c>
      <c r="K396" t="n">
        <v>0</v>
      </c>
      <c r="L396" t="n">
        <v>0</v>
      </c>
      <c r="M396" t="n">
        <v>0</v>
      </c>
      <c r="N396" t="n">
        <v>0</v>
      </c>
      <c r="O396" t="n">
        <v>0</v>
      </c>
      <c r="P396" t="n">
        <v>0</v>
      </c>
      <c r="Q396" t="n">
        <v>0</v>
      </c>
      <c r="R396" s="2" t="inlineStr"/>
    </row>
    <row r="397" ht="15" customHeight="1">
      <c r="A397" t="inlineStr">
        <is>
          <t>A 71-2023</t>
        </is>
      </c>
      <c r="B397" s="1" t="n">
        <v>44928</v>
      </c>
      <c r="C397" s="1" t="n">
        <v>45360</v>
      </c>
      <c r="D397" t="inlineStr">
        <is>
          <t>VÄSTMANLANDS LÄN</t>
        </is>
      </c>
      <c r="E397" t="inlineStr">
        <is>
          <t>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1034-2023</t>
        </is>
      </c>
      <c r="B398" s="1" t="n">
        <v>44935</v>
      </c>
      <c r="C398" s="1" t="n">
        <v>45360</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1290-2023</t>
        </is>
      </c>
      <c r="B399" s="1" t="n">
        <v>44936</v>
      </c>
      <c r="C399" s="1" t="n">
        <v>45360</v>
      </c>
      <c r="D399" t="inlineStr">
        <is>
          <t>VÄSTMANLANDS LÄN</t>
        </is>
      </c>
      <c r="E399" t="inlineStr">
        <is>
          <t>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2868-2023</t>
        </is>
      </c>
      <c r="B400" s="1" t="n">
        <v>44945</v>
      </c>
      <c r="C400" s="1" t="n">
        <v>45360</v>
      </c>
      <c r="D400" t="inlineStr">
        <is>
          <t>VÄSTMANLANDS LÄN</t>
        </is>
      </c>
      <c r="E400" t="inlineStr">
        <is>
          <t>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4687-2023</t>
        </is>
      </c>
      <c r="B401" s="1" t="n">
        <v>44957</v>
      </c>
      <c r="C401" s="1" t="n">
        <v>45360</v>
      </c>
      <c r="D401" t="inlineStr">
        <is>
          <t>VÄSTMANLANDS LÄN</t>
        </is>
      </c>
      <c r="E401" t="inlineStr">
        <is>
          <t>KÖPING</t>
        </is>
      </c>
      <c r="G401" t="n">
        <v>4.6</v>
      </c>
      <c r="H401" t="n">
        <v>0</v>
      </c>
      <c r="I401" t="n">
        <v>0</v>
      </c>
      <c r="J401" t="n">
        <v>0</v>
      </c>
      <c r="K401" t="n">
        <v>0</v>
      </c>
      <c r="L401" t="n">
        <v>0</v>
      </c>
      <c r="M401" t="n">
        <v>0</v>
      </c>
      <c r="N401" t="n">
        <v>0</v>
      </c>
      <c r="O401" t="n">
        <v>0</v>
      </c>
      <c r="P401" t="n">
        <v>0</v>
      </c>
      <c r="Q401" t="n">
        <v>0</v>
      </c>
      <c r="R401" s="2" t="inlineStr"/>
    </row>
    <row r="402" ht="15" customHeight="1">
      <c r="A402" t="inlineStr">
        <is>
          <t>A 6051-2023</t>
        </is>
      </c>
      <c r="B402" s="1" t="n">
        <v>44964</v>
      </c>
      <c r="C402" s="1" t="n">
        <v>45360</v>
      </c>
      <c r="D402" t="inlineStr">
        <is>
          <t>VÄSTMANLANDS LÄN</t>
        </is>
      </c>
      <c r="E402" t="inlineStr">
        <is>
          <t>KÖPING</t>
        </is>
      </c>
      <c r="G402" t="n">
        <v>3.2</v>
      </c>
      <c r="H402" t="n">
        <v>0</v>
      </c>
      <c r="I402" t="n">
        <v>0</v>
      </c>
      <c r="J402" t="n">
        <v>0</v>
      </c>
      <c r="K402" t="n">
        <v>0</v>
      </c>
      <c r="L402" t="n">
        <v>0</v>
      </c>
      <c r="M402" t="n">
        <v>0</v>
      </c>
      <c r="N402" t="n">
        <v>0</v>
      </c>
      <c r="O402" t="n">
        <v>0</v>
      </c>
      <c r="P402" t="n">
        <v>0</v>
      </c>
      <c r="Q402" t="n">
        <v>0</v>
      </c>
      <c r="R402" s="2" t="inlineStr"/>
    </row>
    <row r="403" ht="15" customHeight="1">
      <c r="A403" t="inlineStr">
        <is>
          <t>A 6667-2023</t>
        </is>
      </c>
      <c r="B403" s="1" t="n">
        <v>44966</v>
      </c>
      <c r="C403" s="1" t="n">
        <v>45360</v>
      </c>
      <c r="D403" t="inlineStr">
        <is>
          <t>VÄSTMANLANDS LÄN</t>
        </is>
      </c>
      <c r="E403" t="inlineStr">
        <is>
          <t>KÖPING</t>
        </is>
      </c>
      <c r="G403" t="n">
        <v>11.9</v>
      </c>
      <c r="H403" t="n">
        <v>0</v>
      </c>
      <c r="I403" t="n">
        <v>0</v>
      </c>
      <c r="J403" t="n">
        <v>0</v>
      </c>
      <c r="K403" t="n">
        <v>0</v>
      </c>
      <c r="L403" t="n">
        <v>0</v>
      </c>
      <c r="M403" t="n">
        <v>0</v>
      </c>
      <c r="N403" t="n">
        <v>0</v>
      </c>
      <c r="O403" t="n">
        <v>0</v>
      </c>
      <c r="P403" t="n">
        <v>0</v>
      </c>
      <c r="Q403" t="n">
        <v>0</v>
      </c>
      <c r="R403" s="2" t="inlineStr"/>
    </row>
    <row r="404" ht="15" customHeight="1">
      <c r="A404" t="inlineStr">
        <is>
          <t>A 6946-2023</t>
        </is>
      </c>
      <c r="B404" s="1" t="n">
        <v>44967</v>
      </c>
      <c r="C404" s="1" t="n">
        <v>45360</v>
      </c>
      <c r="D404" t="inlineStr">
        <is>
          <t>VÄSTMANLANDS LÄN</t>
        </is>
      </c>
      <c r="E404" t="inlineStr">
        <is>
          <t>KÖPING</t>
        </is>
      </c>
      <c r="F404" t="inlineStr">
        <is>
          <t>Sveaskog</t>
        </is>
      </c>
      <c r="G404" t="n">
        <v>7.5</v>
      </c>
      <c r="H404" t="n">
        <v>0</v>
      </c>
      <c r="I404" t="n">
        <v>0</v>
      </c>
      <c r="J404" t="n">
        <v>0</v>
      </c>
      <c r="K404" t="n">
        <v>0</v>
      </c>
      <c r="L404" t="n">
        <v>0</v>
      </c>
      <c r="M404" t="n">
        <v>0</v>
      </c>
      <c r="N404" t="n">
        <v>0</v>
      </c>
      <c r="O404" t="n">
        <v>0</v>
      </c>
      <c r="P404" t="n">
        <v>0</v>
      </c>
      <c r="Q404" t="n">
        <v>0</v>
      </c>
      <c r="R404" s="2" t="inlineStr"/>
    </row>
    <row r="405" ht="15" customHeight="1">
      <c r="A405" t="inlineStr">
        <is>
          <t>A 6948-2023</t>
        </is>
      </c>
      <c r="B405" s="1" t="n">
        <v>44967</v>
      </c>
      <c r="C405" s="1" t="n">
        <v>45360</v>
      </c>
      <c r="D405" t="inlineStr">
        <is>
          <t>VÄSTMANLANDS LÄN</t>
        </is>
      </c>
      <c r="E405" t="inlineStr">
        <is>
          <t>KÖPING</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6949-2023</t>
        </is>
      </c>
      <c r="B406" s="1" t="n">
        <v>44967</v>
      </c>
      <c r="C406" s="1" t="n">
        <v>45360</v>
      </c>
      <c r="D406" t="inlineStr">
        <is>
          <t>VÄSTMANLANDS LÄN</t>
        </is>
      </c>
      <c r="E406" t="inlineStr">
        <is>
          <t>KÖPING</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7965-2023</t>
        </is>
      </c>
      <c r="B407" s="1" t="n">
        <v>44970</v>
      </c>
      <c r="C407" s="1" t="n">
        <v>45360</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8461-2023</t>
        </is>
      </c>
      <c r="B408" s="1" t="n">
        <v>44977</v>
      </c>
      <c r="C408" s="1" t="n">
        <v>45360</v>
      </c>
      <c r="D408" t="inlineStr">
        <is>
          <t>VÄSTMANLANDS LÄN</t>
        </is>
      </c>
      <c r="E408" t="inlineStr">
        <is>
          <t>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8476-2023</t>
        </is>
      </c>
      <c r="B409" s="1" t="n">
        <v>44977</v>
      </c>
      <c r="C409" s="1" t="n">
        <v>45360</v>
      </c>
      <c r="D409" t="inlineStr">
        <is>
          <t>VÄSTMANLANDS LÄN</t>
        </is>
      </c>
      <c r="E409" t="inlineStr">
        <is>
          <t>KÖPING</t>
        </is>
      </c>
      <c r="G409" t="n">
        <v>7.2</v>
      </c>
      <c r="H409" t="n">
        <v>0</v>
      </c>
      <c r="I409" t="n">
        <v>0</v>
      </c>
      <c r="J409" t="n">
        <v>0</v>
      </c>
      <c r="K409" t="n">
        <v>0</v>
      </c>
      <c r="L409" t="n">
        <v>0</v>
      </c>
      <c r="M409" t="n">
        <v>0</v>
      </c>
      <c r="N409" t="n">
        <v>0</v>
      </c>
      <c r="O409" t="n">
        <v>0</v>
      </c>
      <c r="P409" t="n">
        <v>0</v>
      </c>
      <c r="Q409" t="n">
        <v>0</v>
      </c>
      <c r="R409" s="2" t="inlineStr"/>
    </row>
    <row r="410" ht="15" customHeight="1">
      <c r="A410" t="inlineStr">
        <is>
          <t>A 10749-2023</t>
        </is>
      </c>
      <c r="B410" s="1" t="n">
        <v>44985</v>
      </c>
      <c r="C410" s="1" t="n">
        <v>45360</v>
      </c>
      <c r="D410" t="inlineStr">
        <is>
          <t>VÄSTMANLANDS LÄN</t>
        </is>
      </c>
      <c r="E410" t="inlineStr">
        <is>
          <t>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10750-2023</t>
        </is>
      </c>
      <c r="B411" s="1" t="n">
        <v>44985</v>
      </c>
      <c r="C411" s="1" t="n">
        <v>45360</v>
      </c>
      <c r="D411" t="inlineStr">
        <is>
          <t>VÄSTMANLANDS LÄN</t>
        </is>
      </c>
      <c r="E411" t="inlineStr">
        <is>
          <t>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11220-2023</t>
        </is>
      </c>
      <c r="B412" s="1" t="n">
        <v>44988</v>
      </c>
      <c r="C412" s="1" t="n">
        <v>45360</v>
      </c>
      <c r="D412" t="inlineStr">
        <is>
          <t>VÄSTMANLANDS LÄN</t>
        </is>
      </c>
      <c r="E412" t="inlineStr">
        <is>
          <t>KÖPING</t>
        </is>
      </c>
      <c r="G412" t="n">
        <v>7</v>
      </c>
      <c r="H412" t="n">
        <v>0</v>
      </c>
      <c r="I412" t="n">
        <v>0</v>
      </c>
      <c r="J412" t="n">
        <v>0</v>
      </c>
      <c r="K412" t="n">
        <v>0</v>
      </c>
      <c r="L412" t="n">
        <v>0</v>
      </c>
      <c r="M412" t="n">
        <v>0</v>
      </c>
      <c r="N412" t="n">
        <v>0</v>
      </c>
      <c r="O412" t="n">
        <v>0</v>
      </c>
      <c r="P412" t="n">
        <v>0</v>
      </c>
      <c r="Q412" t="n">
        <v>0</v>
      </c>
      <c r="R412" s="2" t="inlineStr"/>
    </row>
    <row r="413" ht="15" customHeight="1">
      <c r="A413" t="inlineStr">
        <is>
          <t>A 11384-2023</t>
        </is>
      </c>
      <c r="B413" s="1" t="n">
        <v>44988</v>
      </c>
      <c r="C413" s="1" t="n">
        <v>45360</v>
      </c>
      <c r="D413" t="inlineStr">
        <is>
          <t>VÄSTMANLANDS LÄN</t>
        </is>
      </c>
      <c r="E413" t="inlineStr">
        <is>
          <t>KÖPING</t>
        </is>
      </c>
      <c r="G413" t="n">
        <v>10</v>
      </c>
      <c r="H413" t="n">
        <v>0</v>
      </c>
      <c r="I413" t="n">
        <v>0</v>
      </c>
      <c r="J413" t="n">
        <v>0</v>
      </c>
      <c r="K413" t="n">
        <v>0</v>
      </c>
      <c r="L413" t="n">
        <v>0</v>
      </c>
      <c r="M413" t="n">
        <v>0</v>
      </c>
      <c r="N413" t="n">
        <v>0</v>
      </c>
      <c r="O413" t="n">
        <v>0</v>
      </c>
      <c r="P413" t="n">
        <v>0</v>
      </c>
      <c r="Q413" t="n">
        <v>0</v>
      </c>
      <c r="R413" s="2" t="inlineStr"/>
    </row>
    <row r="414" ht="15" customHeight="1">
      <c r="A414" t="inlineStr">
        <is>
          <t>A 12503-2023</t>
        </is>
      </c>
      <c r="B414" s="1" t="n">
        <v>44999</v>
      </c>
      <c r="C414" s="1" t="n">
        <v>45360</v>
      </c>
      <c r="D414" t="inlineStr">
        <is>
          <t>VÄSTMANLANDS LÄN</t>
        </is>
      </c>
      <c r="E414" t="inlineStr">
        <is>
          <t>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13414-2023</t>
        </is>
      </c>
      <c r="B415" s="1" t="n">
        <v>45005</v>
      </c>
      <c r="C415" s="1" t="n">
        <v>45360</v>
      </c>
      <c r="D415" t="inlineStr">
        <is>
          <t>VÄSTMANLANDS LÄN</t>
        </is>
      </c>
      <c r="E415" t="inlineStr">
        <is>
          <t>KÖPING</t>
        </is>
      </c>
      <c r="G415" t="n">
        <v>12.4</v>
      </c>
      <c r="H415" t="n">
        <v>0</v>
      </c>
      <c r="I415" t="n">
        <v>0</v>
      </c>
      <c r="J415" t="n">
        <v>0</v>
      </c>
      <c r="K415" t="n">
        <v>0</v>
      </c>
      <c r="L415" t="n">
        <v>0</v>
      </c>
      <c r="M415" t="n">
        <v>0</v>
      </c>
      <c r="N415" t="n">
        <v>0</v>
      </c>
      <c r="O415" t="n">
        <v>0</v>
      </c>
      <c r="P415" t="n">
        <v>0</v>
      </c>
      <c r="Q415" t="n">
        <v>0</v>
      </c>
      <c r="R415" s="2" t="inlineStr"/>
    </row>
    <row r="416" ht="15" customHeight="1">
      <c r="A416" t="inlineStr">
        <is>
          <t>A 13544-2023</t>
        </is>
      </c>
      <c r="B416" s="1" t="n">
        <v>45006</v>
      </c>
      <c r="C416" s="1" t="n">
        <v>45360</v>
      </c>
      <c r="D416" t="inlineStr">
        <is>
          <t>VÄSTMANLANDS LÄN</t>
        </is>
      </c>
      <c r="E416" t="inlineStr">
        <is>
          <t>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14230-2023</t>
        </is>
      </c>
      <c r="B417" s="1" t="n">
        <v>45009</v>
      </c>
      <c r="C417" s="1" t="n">
        <v>45360</v>
      </c>
      <c r="D417" t="inlineStr">
        <is>
          <t>VÄSTMANLANDS LÄN</t>
        </is>
      </c>
      <c r="E417" t="inlineStr">
        <is>
          <t>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15768-2023</t>
        </is>
      </c>
      <c r="B418" s="1" t="n">
        <v>45021</v>
      </c>
      <c r="C418" s="1" t="n">
        <v>45360</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15811-2023</t>
        </is>
      </c>
      <c r="B419" s="1" t="n">
        <v>45021</v>
      </c>
      <c r="C419" s="1" t="n">
        <v>45360</v>
      </c>
      <c r="D419" t="inlineStr">
        <is>
          <t>VÄSTMANLANDS LÄN</t>
        </is>
      </c>
      <c r="E419" t="inlineStr">
        <is>
          <t>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15657-2023</t>
        </is>
      </c>
      <c r="B420" s="1" t="n">
        <v>45021</v>
      </c>
      <c r="C420" s="1" t="n">
        <v>45360</v>
      </c>
      <c r="D420" t="inlineStr">
        <is>
          <t>VÄSTMANLANDS LÄN</t>
        </is>
      </c>
      <c r="E420" t="inlineStr">
        <is>
          <t>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17204-2023</t>
        </is>
      </c>
      <c r="B421" s="1" t="n">
        <v>45034</v>
      </c>
      <c r="C421" s="1" t="n">
        <v>45360</v>
      </c>
      <c r="D421" t="inlineStr">
        <is>
          <t>VÄSTMANLANDS LÄN</t>
        </is>
      </c>
      <c r="E421" t="inlineStr">
        <is>
          <t>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17302-2023</t>
        </is>
      </c>
      <c r="B422" s="1" t="n">
        <v>45035</v>
      </c>
      <c r="C422" s="1" t="n">
        <v>45360</v>
      </c>
      <c r="D422" t="inlineStr">
        <is>
          <t>VÄSTMANLANDS LÄN</t>
        </is>
      </c>
      <c r="E422" t="inlineStr">
        <is>
          <t>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17295-2023</t>
        </is>
      </c>
      <c r="B423" s="1" t="n">
        <v>45035</v>
      </c>
      <c r="C423" s="1" t="n">
        <v>45360</v>
      </c>
      <c r="D423" t="inlineStr">
        <is>
          <t>VÄSTMANLANDS LÄN</t>
        </is>
      </c>
      <c r="E423" t="inlineStr">
        <is>
          <t>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17402-2023</t>
        </is>
      </c>
      <c r="B424" s="1" t="n">
        <v>45035</v>
      </c>
      <c r="C424" s="1" t="n">
        <v>45360</v>
      </c>
      <c r="D424" t="inlineStr">
        <is>
          <t>VÄSTMANLANDS LÄN</t>
        </is>
      </c>
      <c r="E424" t="inlineStr">
        <is>
          <t>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17380-2023</t>
        </is>
      </c>
      <c r="B425" s="1" t="n">
        <v>45035</v>
      </c>
      <c r="C425" s="1" t="n">
        <v>45360</v>
      </c>
      <c r="D425" t="inlineStr">
        <is>
          <t>VÄSTMANLANDS LÄN</t>
        </is>
      </c>
      <c r="E425" t="inlineStr">
        <is>
          <t>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18077-2023</t>
        </is>
      </c>
      <c r="B426" s="1" t="n">
        <v>45040</v>
      </c>
      <c r="C426" s="1" t="n">
        <v>45360</v>
      </c>
      <c r="D426" t="inlineStr">
        <is>
          <t>VÄSTMANLANDS LÄN</t>
        </is>
      </c>
      <c r="E426" t="inlineStr">
        <is>
          <t>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19576-2023</t>
        </is>
      </c>
      <c r="B427" s="1" t="n">
        <v>45050</v>
      </c>
      <c r="C427" s="1" t="n">
        <v>45360</v>
      </c>
      <c r="D427" t="inlineStr">
        <is>
          <t>VÄSTMANLANDS LÄN</t>
        </is>
      </c>
      <c r="E427" t="inlineStr">
        <is>
          <t>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19563-2023</t>
        </is>
      </c>
      <c r="B428" s="1" t="n">
        <v>45050</v>
      </c>
      <c r="C428" s="1" t="n">
        <v>45360</v>
      </c>
      <c r="D428" t="inlineStr">
        <is>
          <t>VÄSTMANLANDS LÄN</t>
        </is>
      </c>
      <c r="E428" t="inlineStr">
        <is>
          <t>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19568-2023</t>
        </is>
      </c>
      <c r="B429" s="1" t="n">
        <v>45050</v>
      </c>
      <c r="C429" s="1" t="n">
        <v>45360</v>
      </c>
      <c r="D429" t="inlineStr">
        <is>
          <t>VÄSTMANLANDS LÄN</t>
        </is>
      </c>
      <c r="E429" t="inlineStr">
        <is>
          <t>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19575-2023</t>
        </is>
      </c>
      <c r="B430" s="1" t="n">
        <v>45050</v>
      </c>
      <c r="C430" s="1" t="n">
        <v>45360</v>
      </c>
      <c r="D430" t="inlineStr">
        <is>
          <t>VÄSTMANLANDS LÄN</t>
        </is>
      </c>
      <c r="E430" t="inlineStr">
        <is>
          <t>KÖPING</t>
        </is>
      </c>
      <c r="G430" t="n">
        <v>3.9</v>
      </c>
      <c r="H430" t="n">
        <v>0</v>
      </c>
      <c r="I430" t="n">
        <v>0</v>
      </c>
      <c r="J430" t="n">
        <v>0</v>
      </c>
      <c r="K430" t="n">
        <v>0</v>
      </c>
      <c r="L430" t="n">
        <v>0</v>
      </c>
      <c r="M430" t="n">
        <v>0</v>
      </c>
      <c r="N430" t="n">
        <v>0</v>
      </c>
      <c r="O430" t="n">
        <v>0</v>
      </c>
      <c r="P430" t="n">
        <v>0</v>
      </c>
      <c r="Q430" t="n">
        <v>0</v>
      </c>
      <c r="R430" s="2" t="inlineStr"/>
    </row>
    <row r="431" ht="15" customHeight="1">
      <c r="A431" t="inlineStr">
        <is>
          <t>A 19477-2023</t>
        </is>
      </c>
      <c r="B431" s="1" t="n">
        <v>45050</v>
      </c>
      <c r="C431" s="1" t="n">
        <v>45360</v>
      </c>
      <c r="D431" t="inlineStr">
        <is>
          <t>VÄSTMANLANDS LÄN</t>
        </is>
      </c>
      <c r="E431" t="inlineStr">
        <is>
          <t>KÖPING</t>
        </is>
      </c>
      <c r="G431" t="n">
        <v>5.1</v>
      </c>
      <c r="H431" t="n">
        <v>0</v>
      </c>
      <c r="I431" t="n">
        <v>0</v>
      </c>
      <c r="J431" t="n">
        <v>0</v>
      </c>
      <c r="K431" t="n">
        <v>0</v>
      </c>
      <c r="L431" t="n">
        <v>0</v>
      </c>
      <c r="M431" t="n">
        <v>0</v>
      </c>
      <c r="N431" t="n">
        <v>0</v>
      </c>
      <c r="O431" t="n">
        <v>0</v>
      </c>
      <c r="P431" t="n">
        <v>0</v>
      </c>
      <c r="Q431" t="n">
        <v>0</v>
      </c>
      <c r="R431" s="2" t="inlineStr"/>
    </row>
    <row r="432" ht="15" customHeight="1">
      <c r="A432" t="inlineStr">
        <is>
          <t>A 20148-2023</t>
        </is>
      </c>
      <c r="B432" s="1" t="n">
        <v>45051</v>
      </c>
      <c r="C432" s="1" t="n">
        <v>45360</v>
      </c>
      <c r="D432" t="inlineStr">
        <is>
          <t>VÄSTMANLANDS LÄN</t>
        </is>
      </c>
      <c r="E432" t="inlineStr">
        <is>
          <t>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20158-2023</t>
        </is>
      </c>
      <c r="B433" s="1" t="n">
        <v>45051</v>
      </c>
      <c r="C433" s="1" t="n">
        <v>45360</v>
      </c>
      <c r="D433" t="inlineStr">
        <is>
          <t>VÄSTMANLANDS LÄN</t>
        </is>
      </c>
      <c r="E433" t="inlineStr">
        <is>
          <t>KÖPING</t>
        </is>
      </c>
      <c r="G433" t="n">
        <v>3.1</v>
      </c>
      <c r="H433" t="n">
        <v>0</v>
      </c>
      <c r="I433" t="n">
        <v>0</v>
      </c>
      <c r="J433" t="n">
        <v>0</v>
      </c>
      <c r="K433" t="n">
        <v>0</v>
      </c>
      <c r="L433" t="n">
        <v>0</v>
      </c>
      <c r="M433" t="n">
        <v>0</v>
      </c>
      <c r="N433" t="n">
        <v>0</v>
      </c>
      <c r="O433" t="n">
        <v>0</v>
      </c>
      <c r="P433" t="n">
        <v>0</v>
      </c>
      <c r="Q433" t="n">
        <v>0</v>
      </c>
      <c r="R433" s="2" t="inlineStr"/>
    </row>
    <row r="434" ht="15" customHeight="1">
      <c r="A434" t="inlineStr">
        <is>
          <t>A 20151-2023</t>
        </is>
      </c>
      <c r="B434" s="1" t="n">
        <v>45051</v>
      </c>
      <c r="C434" s="1" t="n">
        <v>45360</v>
      </c>
      <c r="D434" t="inlineStr">
        <is>
          <t>VÄSTMANLANDS LÄN</t>
        </is>
      </c>
      <c r="E434" t="inlineStr">
        <is>
          <t>KÖPING</t>
        </is>
      </c>
      <c r="G434" t="n">
        <v>4.7</v>
      </c>
      <c r="H434" t="n">
        <v>0</v>
      </c>
      <c r="I434" t="n">
        <v>0</v>
      </c>
      <c r="J434" t="n">
        <v>0</v>
      </c>
      <c r="K434" t="n">
        <v>0</v>
      </c>
      <c r="L434" t="n">
        <v>0</v>
      </c>
      <c r="M434" t="n">
        <v>0</v>
      </c>
      <c r="N434" t="n">
        <v>0</v>
      </c>
      <c r="O434" t="n">
        <v>0</v>
      </c>
      <c r="P434" t="n">
        <v>0</v>
      </c>
      <c r="Q434" t="n">
        <v>0</v>
      </c>
      <c r="R434" s="2" t="inlineStr"/>
    </row>
    <row r="435" ht="15" customHeight="1">
      <c r="A435" t="inlineStr">
        <is>
          <t>A 20155-2023</t>
        </is>
      </c>
      <c r="B435" s="1" t="n">
        <v>45051</v>
      </c>
      <c r="C435" s="1" t="n">
        <v>45360</v>
      </c>
      <c r="D435" t="inlineStr">
        <is>
          <t>VÄSTMANLANDS LÄN</t>
        </is>
      </c>
      <c r="E435" t="inlineStr">
        <is>
          <t>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20812-2023</t>
        </is>
      </c>
      <c r="B436" s="1" t="n">
        <v>45058</v>
      </c>
      <c r="C436" s="1" t="n">
        <v>45360</v>
      </c>
      <c r="D436" t="inlineStr">
        <is>
          <t>VÄSTMANLANDS LÄN</t>
        </is>
      </c>
      <c r="E436" t="inlineStr">
        <is>
          <t>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21971-2023</t>
        </is>
      </c>
      <c r="B437" s="1" t="n">
        <v>45068</v>
      </c>
      <c r="C437" s="1" t="n">
        <v>45360</v>
      </c>
      <c r="D437" t="inlineStr">
        <is>
          <t>VÄSTMANLANDS LÄN</t>
        </is>
      </c>
      <c r="E437" t="inlineStr">
        <is>
          <t>KÖPING</t>
        </is>
      </c>
      <c r="G437" t="n">
        <v>3.3</v>
      </c>
      <c r="H437" t="n">
        <v>0</v>
      </c>
      <c r="I437" t="n">
        <v>0</v>
      </c>
      <c r="J437" t="n">
        <v>0</v>
      </c>
      <c r="K437" t="n">
        <v>0</v>
      </c>
      <c r="L437" t="n">
        <v>0</v>
      </c>
      <c r="M437" t="n">
        <v>0</v>
      </c>
      <c r="N437" t="n">
        <v>0</v>
      </c>
      <c r="O437" t="n">
        <v>0</v>
      </c>
      <c r="P437" t="n">
        <v>0</v>
      </c>
      <c r="Q437" t="n">
        <v>0</v>
      </c>
      <c r="R437" s="2" t="inlineStr"/>
    </row>
    <row r="438" ht="15" customHeight="1">
      <c r="A438" t="inlineStr">
        <is>
          <t>A 21903-2023</t>
        </is>
      </c>
      <c r="B438" s="1" t="n">
        <v>45068</v>
      </c>
      <c r="C438" s="1" t="n">
        <v>45360</v>
      </c>
      <c r="D438" t="inlineStr">
        <is>
          <t>VÄSTMANLANDS LÄN</t>
        </is>
      </c>
      <c r="E438" t="inlineStr">
        <is>
          <t>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22115-2023</t>
        </is>
      </c>
      <c r="B439" s="1" t="n">
        <v>45069</v>
      </c>
      <c r="C439" s="1" t="n">
        <v>45360</v>
      </c>
      <c r="D439" t="inlineStr">
        <is>
          <t>VÄSTMANLANDS LÄN</t>
        </is>
      </c>
      <c r="E439" t="inlineStr">
        <is>
          <t>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22118-2023</t>
        </is>
      </c>
      <c r="B440" s="1" t="n">
        <v>45069</v>
      </c>
      <c r="C440" s="1" t="n">
        <v>45360</v>
      </c>
      <c r="D440" t="inlineStr">
        <is>
          <t>VÄSTMANLANDS LÄN</t>
        </is>
      </c>
      <c r="E440" t="inlineStr">
        <is>
          <t>KÖPING</t>
        </is>
      </c>
      <c r="G440" t="n">
        <v>5.5</v>
      </c>
      <c r="H440" t="n">
        <v>0</v>
      </c>
      <c r="I440" t="n">
        <v>0</v>
      </c>
      <c r="J440" t="n">
        <v>0</v>
      </c>
      <c r="K440" t="n">
        <v>0</v>
      </c>
      <c r="L440" t="n">
        <v>0</v>
      </c>
      <c r="M440" t="n">
        <v>0</v>
      </c>
      <c r="N440" t="n">
        <v>0</v>
      </c>
      <c r="O440" t="n">
        <v>0</v>
      </c>
      <c r="P440" t="n">
        <v>0</v>
      </c>
      <c r="Q440" t="n">
        <v>0</v>
      </c>
      <c r="R440" s="2" t="inlineStr"/>
    </row>
    <row r="441" ht="15" customHeight="1">
      <c r="A441" t="inlineStr">
        <is>
          <t>A 23386-2023</t>
        </is>
      </c>
      <c r="B441" s="1" t="n">
        <v>45076</v>
      </c>
      <c r="C441" s="1" t="n">
        <v>45360</v>
      </c>
      <c r="D441" t="inlineStr">
        <is>
          <t>VÄSTMANLANDS LÄN</t>
        </is>
      </c>
      <c r="E441" t="inlineStr">
        <is>
          <t>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23390-2023</t>
        </is>
      </c>
      <c r="B442" s="1" t="n">
        <v>45076</v>
      </c>
      <c r="C442" s="1" t="n">
        <v>45360</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23387-2023</t>
        </is>
      </c>
      <c r="B443" s="1" t="n">
        <v>45076</v>
      </c>
      <c r="C443" s="1" t="n">
        <v>45360</v>
      </c>
      <c r="D443" t="inlineStr">
        <is>
          <t>VÄSTMANLANDS LÄN</t>
        </is>
      </c>
      <c r="E443" t="inlineStr">
        <is>
          <t>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23389-2023</t>
        </is>
      </c>
      <c r="B444" s="1" t="n">
        <v>45076</v>
      </c>
      <c r="C444" s="1" t="n">
        <v>45360</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23658-2023</t>
        </is>
      </c>
      <c r="B445" s="1" t="n">
        <v>45077</v>
      </c>
      <c r="C445" s="1" t="n">
        <v>45360</v>
      </c>
      <c r="D445" t="inlineStr">
        <is>
          <t>VÄSTMANLANDS LÄN</t>
        </is>
      </c>
      <c r="E445" t="inlineStr">
        <is>
          <t>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23656-2023</t>
        </is>
      </c>
      <c r="B446" s="1" t="n">
        <v>45077</v>
      </c>
      <c r="C446" s="1" t="n">
        <v>45360</v>
      </c>
      <c r="D446" t="inlineStr">
        <is>
          <t>VÄSTMANLANDS LÄN</t>
        </is>
      </c>
      <c r="E446" t="inlineStr">
        <is>
          <t>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23825-2023</t>
        </is>
      </c>
      <c r="B447" s="1" t="n">
        <v>45078</v>
      </c>
      <c r="C447" s="1" t="n">
        <v>45360</v>
      </c>
      <c r="D447" t="inlineStr">
        <is>
          <t>VÄSTMANLANDS LÄN</t>
        </is>
      </c>
      <c r="E447" t="inlineStr">
        <is>
          <t>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25804-2023</t>
        </is>
      </c>
      <c r="B448" s="1" t="n">
        <v>45090</v>
      </c>
      <c r="C448" s="1" t="n">
        <v>45360</v>
      </c>
      <c r="D448" t="inlineStr">
        <is>
          <t>VÄSTMANLANDS LÄN</t>
        </is>
      </c>
      <c r="E448" t="inlineStr">
        <is>
          <t>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27230-2023</t>
        </is>
      </c>
      <c r="B449" s="1" t="n">
        <v>45096</v>
      </c>
      <c r="C449" s="1" t="n">
        <v>45360</v>
      </c>
      <c r="D449" t="inlineStr">
        <is>
          <t>VÄSTMANLANDS LÄN</t>
        </is>
      </c>
      <c r="E449" t="inlineStr">
        <is>
          <t>KÖPING</t>
        </is>
      </c>
      <c r="G449" t="n">
        <v>4.7</v>
      </c>
      <c r="H449" t="n">
        <v>0</v>
      </c>
      <c r="I449" t="n">
        <v>0</v>
      </c>
      <c r="J449" t="n">
        <v>0</v>
      </c>
      <c r="K449" t="n">
        <v>0</v>
      </c>
      <c r="L449" t="n">
        <v>0</v>
      </c>
      <c r="M449" t="n">
        <v>0</v>
      </c>
      <c r="N449" t="n">
        <v>0</v>
      </c>
      <c r="O449" t="n">
        <v>0</v>
      </c>
      <c r="P449" t="n">
        <v>0</v>
      </c>
      <c r="Q449" t="n">
        <v>0</v>
      </c>
      <c r="R449" s="2" t="inlineStr"/>
    </row>
    <row r="450" ht="15" customHeight="1">
      <c r="A450" t="inlineStr">
        <is>
          <t>A 27891-2023</t>
        </is>
      </c>
      <c r="B450" s="1" t="n">
        <v>45098</v>
      </c>
      <c r="C450" s="1" t="n">
        <v>45360</v>
      </c>
      <c r="D450" t="inlineStr">
        <is>
          <t>VÄSTMANLANDS LÄN</t>
        </is>
      </c>
      <c r="E450" t="inlineStr">
        <is>
          <t>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28230-2023</t>
        </is>
      </c>
      <c r="B451" s="1" t="n">
        <v>45099</v>
      </c>
      <c r="C451" s="1" t="n">
        <v>45360</v>
      </c>
      <c r="D451" t="inlineStr">
        <is>
          <t>VÄSTMANLANDS LÄN</t>
        </is>
      </c>
      <c r="E451" t="inlineStr">
        <is>
          <t>KÖPING</t>
        </is>
      </c>
      <c r="G451" t="n">
        <v>6.7</v>
      </c>
      <c r="H451" t="n">
        <v>0</v>
      </c>
      <c r="I451" t="n">
        <v>0</v>
      </c>
      <c r="J451" t="n">
        <v>0</v>
      </c>
      <c r="K451" t="n">
        <v>0</v>
      </c>
      <c r="L451" t="n">
        <v>0</v>
      </c>
      <c r="M451" t="n">
        <v>0</v>
      </c>
      <c r="N451" t="n">
        <v>0</v>
      </c>
      <c r="O451" t="n">
        <v>0</v>
      </c>
      <c r="P451" t="n">
        <v>0</v>
      </c>
      <c r="Q451" t="n">
        <v>0</v>
      </c>
      <c r="R451" s="2" t="inlineStr"/>
    </row>
    <row r="452" ht="15" customHeight="1">
      <c r="A452" t="inlineStr">
        <is>
          <t>A 28237-2023</t>
        </is>
      </c>
      <c r="B452" s="1" t="n">
        <v>45099</v>
      </c>
      <c r="C452" s="1" t="n">
        <v>45360</v>
      </c>
      <c r="D452" t="inlineStr">
        <is>
          <t>VÄSTMANLANDS LÄN</t>
        </is>
      </c>
      <c r="E452" t="inlineStr">
        <is>
          <t>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29456-2023</t>
        </is>
      </c>
      <c r="B453" s="1" t="n">
        <v>45106</v>
      </c>
      <c r="C453" s="1" t="n">
        <v>45360</v>
      </c>
      <c r="D453" t="inlineStr">
        <is>
          <t>VÄSTMANLANDS LÄN</t>
        </is>
      </c>
      <c r="E453" t="inlineStr">
        <is>
          <t>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31169-2023</t>
        </is>
      </c>
      <c r="B454" s="1" t="n">
        <v>45113</v>
      </c>
      <c r="C454" s="1" t="n">
        <v>45360</v>
      </c>
      <c r="D454" t="inlineStr">
        <is>
          <t>VÄSTMANLANDS LÄN</t>
        </is>
      </c>
      <c r="E454" t="inlineStr">
        <is>
          <t>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31227-2023</t>
        </is>
      </c>
      <c r="B455" s="1" t="n">
        <v>45114</v>
      </c>
      <c r="C455" s="1" t="n">
        <v>45360</v>
      </c>
      <c r="D455" t="inlineStr">
        <is>
          <t>VÄSTMANLANDS LÄN</t>
        </is>
      </c>
      <c r="E455" t="inlineStr">
        <is>
          <t>KÖPING</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31231-2023</t>
        </is>
      </c>
      <c r="B456" s="1" t="n">
        <v>45114</v>
      </c>
      <c r="C456" s="1" t="n">
        <v>45360</v>
      </c>
      <c r="D456" t="inlineStr">
        <is>
          <t>VÄSTMANLANDS LÄN</t>
        </is>
      </c>
      <c r="E456" t="inlineStr">
        <is>
          <t>KÖPING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34290-2023</t>
        </is>
      </c>
      <c r="B457" s="1" t="n">
        <v>45138</v>
      </c>
      <c r="C457" s="1" t="n">
        <v>45360</v>
      </c>
      <c r="D457" t="inlineStr">
        <is>
          <t>VÄSTMANLANDS LÄN</t>
        </is>
      </c>
      <c r="E457" t="inlineStr">
        <is>
          <t>KÖPING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34291-2023</t>
        </is>
      </c>
      <c r="B458" s="1" t="n">
        <v>45138</v>
      </c>
      <c r="C458" s="1" t="n">
        <v>45360</v>
      </c>
      <c r="D458" t="inlineStr">
        <is>
          <t>VÄSTMANLANDS LÄN</t>
        </is>
      </c>
      <c r="E458" t="inlineStr">
        <is>
          <t>KÖPING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35716-2023</t>
        </is>
      </c>
      <c r="B459" s="1" t="n">
        <v>45147</v>
      </c>
      <c r="C459" s="1" t="n">
        <v>45360</v>
      </c>
      <c r="D459" t="inlineStr">
        <is>
          <t>VÄSTMANLANDS LÄN</t>
        </is>
      </c>
      <c r="E459" t="inlineStr">
        <is>
          <t>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36161-2023</t>
        </is>
      </c>
      <c r="B460" s="1" t="n">
        <v>45149</v>
      </c>
      <c r="C460" s="1" t="n">
        <v>45360</v>
      </c>
      <c r="D460" t="inlineStr">
        <is>
          <t>VÄSTMANLANDS LÄN</t>
        </is>
      </c>
      <c r="E460" t="inlineStr">
        <is>
          <t>KÖPING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36165-2023</t>
        </is>
      </c>
      <c r="B461" s="1" t="n">
        <v>45149</v>
      </c>
      <c r="C461" s="1" t="n">
        <v>45360</v>
      </c>
      <c r="D461" t="inlineStr">
        <is>
          <t>VÄSTMANLANDS LÄN</t>
        </is>
      </c>
      <c r="E461" t="inlineStr">
        <is>
          <t>KÖPING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36279-2023</t>
        </is>
      </c>
      <c r="B462" s="1" t="n">
        <v>45152</v>
      </c>
      <c r="C462" s="1" t="n">
        <v>45360</v>
      </c>
      <c r="D462" t="inlineStr">
        <is>
          <t>VÄSTMANLANDS LÄN</t>
        </is>
      </c>
      <c r="E462" t="inlineStr">
        <is>
          <t>KÖPING</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36405-2023</t>
        </is>
      </c>
      <c r="B463" s="1" t="n">
        <v>45152</v>
      </c>
      <c r="C463" s="1" t="n">
        <v>45360</v>
      </c>
      <c r="D463" t="inlineStr">
        <is>
          <t>VÄSTMANLANDS LÄN</t>
        </is>
      </c>
      <c r="E463" t="inlineStr">
        <is>
          <t>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36409-2023</t>
        </is>
      </c>
      <c r="B464" s="1" t="n">
        <v>45152</v>
      </c>
      <c r="C464" s="1" t="n">
        <v>45360</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36658-2023</t>
        </is>
      </c>
      <c r="B465" s="1" t="n">
        <v>45153</v>
      </c>
      <c r="C465" s="1" t="n">
        <v>45360</v>
      </c>
      <c r="D465" t="inlineStr">
        <is>
          <t>VÄSTMANLANDS LÄN</t>
        </is>
      </c>
      <c r="E465" t="inlineStr">
        <is>
          <t>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36712-2023</t>
        </is>
      </c>
      <c r="B466" s="1" t="n">
        <v>45153</v>
      </c>
      <c r="C466" s="1" t="n">
        <v>45360</v>
      </c>
      <c r="D466" t="inlineStr">
        <is>
          <t>VÄSTMANLANDS LÄN</t>
        </is>
      </c>
      <c r="E466" t="inlineStr">
        <is>
          <t>KÖPING</t>
        </is>
      </c>
      <c r="F466" t="inlineStr">
        <is>
          <t>Sveaskog</t>
        </is>
      </c>
      <c r="G466" t="n">
        <v>6.9</v>
      </c>
      <c r="H466" t="n">
        <v>0</v>
      </c>
      <c r="I466" t="n">
        <v>0</v>
      </c>
      <c r="J466" t="n">
        <v>0</v>
      </c>
      <c r="K466" t="n">
        <v>0</v>
      </c>
      <c r="L466" t="n">
        <v>0</v>
      </c>
      <c r="M466" t="n">
        <v>0</v>
      </c>
      <c r="N466" t="n">
        <v>0</v>
      </c>
      <c r="O466" t="n">
        <v>0</v>
      </c>
      <c r="P466" t="n">
        <v>0</v>
      </c>
      <c r="Q466" t="n">
        <v>0</v>
      </c>
      <c r="R466" s="2" t="inlineStr"/>
    </row>
    <row r="467" ht="15" customHeight="1">
      <c r="A467" t="inlineStr">
        <is>
          <t>A 36704-2023</t>
        </is>
      </c>
      <c r="B467" s="1" t="n">
        <v>45153</v>
      </c>
      <c r="C467" s="1" t="n">
        <v>45360</v>
      </c>
      <c r="D467" t="inlineStr">
        <is>
          <t>VÄSTMANLANDS LÄN</t>
        </is>
      </c>
      <c r="E467" t="inlineStr">
        <is>
          <t>KÖPING</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36709-2023</t>
        </is>
      </c>
      <c r="B468" s="1" t="n">
        <v>45153</v>
      </c>
      <c r="C468" s="1" t="n">
        <v>45360</v>
      </c>
      <c r="D468" t="inlineStr">
        <is>
          <t>VÄSTMANLANDS LÄN</t>
        </is>
      </c>
      <c r="E468" t="inlineStr">
        <is>
          <t>KÖPING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37669-2023</t>
        </is>
      </c>
      <c r="B469" s="1" t="n">
        <v>45159</v>
      </c>
      <c r="C469" s="1" t="n">
        <v>45360</v>
      </c>
      <c r="D469" t="inlineStr">
        <is>
          <t>VÄSTMANLANDS LÄN</t>
        </is>
      </c>
      <c r="E469" t="inlineStr">
        <is>
          <t>KÖPING</t>
        </is>
      </c>
      <c r="G469" t="n">
        <v>3</v>
      </c>
      <c r="H469" t="n">
        <v>0</v>
      </c>
      <c r="I469" t="n">
        <v>0</v>
      </c>
      <c r="J469" t="n">
        <v>0</v>
      </c>
      <c r="K469" t="n">
        <v>0</v>
      </c>
      <c r="L469" t="n">
        <v>0</v>
      </c>
      <c r="M469" t="n">
        <v>0</v>
      </c>
      <c r="N469" t="n">
        <v>0</v>
      </c>
      <c r="O469" t="n">
        <v>0</v>
      </c>
      <c r="P469" t="n">
        <v>0</v>
      </c>
      <c r="Q469" t="n">
        <v>0</v>
      </c>
      <c r="R469" s="2" t="inlineStr"/>
    </row>
    <row r="470" ht="15" customHeight="1">
      <c r="A470" t="inlineStr">
        <is>
          <t>A 37752-2023</t>
        </is>
      </c>
      <c r="B470" s="1" t="n">
        <v>45159</v>
      </c>
      <c r="C470" s="1" t="n">
        <v>45360</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38055-2023</t>
        </is>
      </c>
      <c r="B471" s="1" t="n">
        <v>45160</v>
      </c>
      <c r="C471" s="1" t="n">
        <v>45360</v>
      </c>
      <c r="D471" t="inlineStr">
        <is>
          <t>VÄSTMANLANDS LÄN</t>
        </is>
      </c>
      <c r="E471" t="inlineStr">
        <is>
          <t>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39646-2023</t>
        </is>
      </c>
      <c r="B472" s="1" t="n">
        <v>45166</v>
      </c>
      <c r="C472" s="1" t="n">
        <v>45360</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40690-2023</t>
        </is>
      </c>
      <c r="B473" s="1" t="n">
        <v>45170</v>
      </c>
      <c r="C473" s="1" t="n">
        <v>45360</v>
      </c>
      <c r="D473" t="inlineStr">
        <is>
          <t>VÄSTMANLANDS LÄN</t>
        </is>
      </c>
      <c r="E473" t="inlineStr">
        <is>
          <t>KÖPING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40693-2023</t>
        </is>
      </c>
      <c r="B474" s="1" t="n">
        <v>45170</v>
      </c>
      <c r="C474" s="1" t="n">
        <v>45360</v>
      </c>
      <c r="D474" t="inlineStr">
        <is>
          <t>VÄSTMANLANDS LÄN</t>
        </is>
      </c>
      <c r="E474" t="inlineStr">
        <is>
          <t>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41812-2023</t>
        </is>
      </c>
      <c r="B475" s="1" t="n">
        <v>45176</v>
      </c>
      <c r="C475" s="1" t="n">
        <v>45360</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41815-2023</t>
        </is>
      </c>
      <c r="B476" s="1" t="n">
        <v>45176</v>
      </c>
      <c r="C476" s="1" t="n">
        <v>45360</v>
      </c>
      <c r="D476" t="inlineStr">
        <is>
          <t>VÄSTMANLANDS LÄN</t>
        </is>
      </c>
      <c r="E476" t="inlineStr">
        <is>
          <t>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41818-2023</t>
        </is>
      </c>
      <c r="B477" s="1" t="n">
        <v>45176</v>
      </c>
      <c r="C477" s="1" t="n">
        <v>45360</v>
      </c>
      <c r="D477" t="inlineStr">
        <is>
          <t>VÄSTMANLANDS LÄN</t>
        </is>
      </c>
      <c r="E477" t="inlineStr">
        <is>
          <t>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44586-2023</t>
        </is>
      </c>
      <c r="B478" s="1" t="n">
        <v>45189</v>
      </c>
      <c r="C478" s="1" t="n">
        <v>45360</v>
      </c>
      <c r="D478" t="inlineStr">
        <is>
          <t>VÄSTMANLANDS LÄN</t>
        </is>
      </c>
      <c r="E478" t="inlineStr">
        <is>
          <t>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44604-2023</t>
        </is>
      </c>
      <c r="B479" s="1" t="n">
        <v>45189</v>
      </c>
      <c r="C479" s="1" t="n">
        <v>45360</v>
      </c>
      <c r="D479" t="inlineStr">
        <is>
          <t>VÄSTMANLANDS LÄN</t>
        </is>
      </c>
      <c r="E479" t="inlineStr">
        <is>
          <t>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44621-2023</t>
        </is>
      </c>
      <c r="B480" s="1" t="n">
        <v>45189</v>
      </c>
      <c r="C480" s="1" t="n">
        <v>45360</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44616-2023</t>
        </is>
      </c>
      <c r="B481" s="1" t="n">
        <v>45189</v>
      </c>
      <c r="C481" s="1" t="n">
        <v>45360</v>
      </c>
      <c r="D481" t="inlineStr">
        <is>
          <t>VÄSTMANLANDS LÄN</t>
        </is>
      </c>
      <c r="E481" t="inlineStr">
        <is>
          <t>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44582-2023</t>
        </is>
      </c>
      <c r="B482" s="1" t="n">
        <v>45189</v>
      </c>
      <c r="C482" s="1" t="n">
        <v>45360</v>
      </c>
      <c r="D482" t="inlineStr">
        <is>
          <t>VÄSTMANLANDS LÄN</t>
        </is>
      </c>
      <c r="E482" t="inlineStr">
        <is>
          <t>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44814-2023</t>
        </is>
      </c>
      <c r="B483" s="1" t="n">
        <v>45190</v>
      </c>
      <c r="C483" s="1" t="n">
        <v>45360</v>
      </c>
      <c r="D483" t="inlineStr">
        <is>
          <t>VÄSTMANLANDS LÄN</t>
        </is>
      </c>
      <c r="E483" t="inlineStr">
        <is>
          <t>KÖPING</t>
        </is>
      </c>
      <c r="G483" t="n">
        <v>24.2</v>
      </c>
      <c r="H483" t="n">
        <v>0</v>
      </c>
      <c r="I483" t="n">
        <v>0</v>
      </c>
      <c r="J483" t="n">
        <v>0</v>
      </c>
      <c r="K483" t="n">
        <v>0</v>
      </c>
      <c r="L483" t="n">
        <v>0</v>
      </c>
      <c r="M483" t="n">
        <v>0</v>
      </c>
      <c r="N483" t="n">
        <v>0</v>
      </c>
      <c r="O483" t="n">
        <v>0</v>
      </c>
      <c r="P483" t="n">
        <v>0</v>
      </c>
      <c r="Q483" t="n">
        <v>0</v>
      </c>
      <c r="R483" s="2" t="inlineStr"/>
    </row>
    <row r="484" ht="15" customHeight="1">
      <c r="A484" t="inlineStr">
        <is>
          <t>A 45308-2023</t>
        </is>
      </c>
      <c r="B484" s="1" t="n">
        <v>45191</v>
      </c>
      <c r="C484" s="1" t="n">
        <v>45360</v>
      </c>
      <c r="D484" t="inlineStr">
        <is>
          <t>VÄSTMANLANDS LÄN</t>
        </is>
      </c>
      <c r="E484" t="inlineStr">
        <is>
          <t>KÖPING</t>
        </is>
      </c>
      <c r="G484" t="n">
        <v>5</v>
      </c>
      <c r="H484" t="n">
        <v>0</v>
      </c>
      <c r="I484" t="n">
        <v>0</v>
      </c>
      <c r="J484" t="n">
        <v>0</v>
      </c>
      <c r="K484" t="n">
        <v>0</v>
      </c>
      <c r="L484" t="n">
        <v>0</v>
      </c>
      <c r="M484" t="n">
        <v>0</v>
      </c>
      <c r="N484" t="n">
        <v>0</v>
      </c>
      <c r="O484" t="n">
        <v>0</v>
      </c>
      <c r="P484" t="n">
        <v>0</v>
      </c>
      <c r="Q484" t="n">
        <v>0</v>
      </c>
      <c r="R484" s="2" t="inlineStr"/>
    </row>
    <row r="485" ht="15" customHeight="1">
      <c r="A485" t="inlineStr">
        <is>
          <t>A 46599-2023</t>
        </is>
      </c>
      <c r="B485" s="1" t="n">
        <v>45194</v>
      </c>
      <c r="C485" s="1" t="n">
        <v>45360</v>
      </c>
      <c r="D485" t="inlineStr">
        <is>
          <t>VÄSTMANLANDS LÄN</t>
        </is>
      </c>
      <c r="E485" t="inlineStr">
        <is>
          <t>KÖPING</t>
        </is>
      </c>
      <c r="G485" t="n">
        <v>6.8</v>
      </c>
      <c r="H485" t="n">
        <v>0</v>
      </c>
      <c r="I485" t="n">
        <v>0</v>
      </c>
      <c r="J485" t="n">
        <v>0</v>
      </c>
      <c r="K485" t="n">
        <v>0</v>
      </c>
      <c r="L485" t="n">
        <v>0</v>
      </c>
      <c r="M485" t="n">
        <v>0</v>
      </c>
      <c r="N485" t="n">
        <v>0</v>
      </c>
      <c r="O485" t="n">
        <v>0</v>
      </c>
      <c r="P485" t="n">
        <v>0</v>
      </c>
      <c r="Q485" t="n">
        <v>0</v>
      </c>
      <c r="R485" s="2" t="inlineStr"/>
    </row>
    <row r="486" ht="15" customHeight="1">
      <c r="A486" t="inlineStr">
        <is>
          <t>A 45901-2023</t>
        </is>
      </c>
      <c r="B486" s="1" t="n">
        <v>45195</v>
      </c>
      <c r="C486" s="1" t="n">
        <v>45360</v>
      </c>
      <c r="D486" t="inlineStr">
        <is>
          <t>VÄSTMANLANDS LÄN</t>
        </is>
      </c>
      <c r="E486" t="inlineStr">
        <is>
          <t>KÖPING</t>
        </is>
      </c>
      <c r="F486" t="inlineStr">
        <is>
          <t>Sveaskog</t>
        </is>
      </c>
      <c r="G486" t="n">
        <v>3.4</v>
      </c>
      <c r="H486" t="n">
        <v>0</v>
      </c>
      <c r="I486" t="n">
        <v>0</v>
      </c>
      <c r="J486" t="n">
        <v>0</v>
      </c>
      <c r="K486" t="n">
        <v>0</v>
      </c>
      <c r="L486" t="n">
        <v>0</v>
      </c>
      <c r="M486" t="n">
        <v>0</v>
      </c>
      <c r="N486" t="n">
        <v>0</v>
      </c>
      <c r="O486" t="n">
        <v>0</v>
      </c>
      <c r="P486" t="n">
        <v>0</v>
      </c>
      <c r="Q486" t="n">
        <v>0</v>
      </c>
      <c r="R486" s="2" t="inlineStr"/>
    </row>
    <row r="487" ht="15" customHeight="1">
      <c r="A487" t="inlineStr">
        <is>
          <t>A 45905-2023</t>
        </is>
      </c>
      <c r="B487" s="1" t="n">
        <v>45195</v>
      </c>
      <c r="C487" s="1" t="n">
        <v>45360</v>
      </c>
      <c r="D487" t="inlineStr">
        <is>
          <t>VÄSTMANLANDS LÄN</t>
        </is>
      </c>
      <c r="E487" t="inlineStr">
        <is>
          <t>KÖPING</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45902-2023</t>
        </is>
      </c>
      <c r="B488" s="1" t="n">
        <v>45195</v>
      </c>
      <c r="C488" s="1" t="n">
        <v>45360</v>
      </c>
      <c r="D488" t="inlineStr">
        <is>
          <t>VÄSTMANLANDS LÄN</t>
        </is>
      </c>
      <c r="E488" t="inlineStr">
        <is>
          <t>KÖPING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47282-2023</t>
        </is>
      </c>
      <c r="B489" s="1" t="n">
        <v>45202</v>
      </c>
      <c r="C489" s="1" t="n">
        <v>45360</v>
      </c>
      <c r="D489" t="inlineStr">
        <is>
          <t>VÄSTMANLANDS LÄN</t>
        </is>
      </c>
      <c r="E489" t="inlineStr">
        <is>
          <t>KÖPING</t>
        </is>
      </c>
      <c r="G489" t="n">
        <v>5</v>
      </c>
      <c r="H489" t="n">
        <v>0</v>
      </c>
      <c r="I489" t="n">
        <v>0</v>
      </c>
      <c r="J489" t="n">
        <v>0</v>
      </c>
      <c r="K489" t="n">
        <v>0</v>
      </c>
      <c r="L489" t="n">
        <v>0</v>
      </c>
      <c r="M489" t="n">
        <v>0</v>
      </c>
      <c r="N489" t="n">
        <v>0</v>
      </c>
      <c r="O489" t="n">
        <v>0</v>
      </c>
      <c r="P489" t="n">
        <v>0</v>
      </c>
      <c r="Q489" t="n">
        <v>0</v>
      </c>
      <c r="R489" s="2" t="inlineStr"/>
    </row>
    <row r="490" ht="15" customHeight="1">
      <c r="A490" t="inlineStr">
        <is>
          <t>A 48807-2023</t>
        </is>
      </c>
      <c r="B490" s="1" t="n">
        <v>45209</v>
      </c>
      <c r="C490" s="1" t="n">
        <v>45360</v>
      </c>
      <c r="D490" t="inlineStr">
        <is>
          <t>VÄSTMANLANDS LÄN</t>
        </is>
      </c>
      <c r="E490" t="inlineStr">
        <is>
          <t>KÖPING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48809-2023</t>
        </is>
      </c>
      <c r="B491" s="1" t="n">
        <v>45209</v>
      </c>
      <c r="C491" s="1" t="n">
        <v>45360</v>
      </c>
      <c r="D491" t="inlineStr">
        <is>
          <t>VÄSTMANLANDS LÄN</t>
        </is>
      </c>
      <c r="E491" t="inlineStr">
        <is>
          <t>KÖPING</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48810-2023</t>
        </is>
      </c>
      <c r="B492" s="1" t="n">
        <v>45209</v>
      </c>
      <c r="C492" s="1" t="n">
        <v>45360</v>
      </c>
      <c r="D492" t="inlineStr">
        <is>
          <t>VÄSTMANLANDS LÄN</t>
        </is>
      </c>
      <c r="E492" t="inlineStr">
        <is>
          <t>KÖPING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49822-2023</t>
        </is>
      </c>
      <c r="B493" s="1" t="n">
        <v>45212</v>
      </c>
      <c r="C493" s="1" t="n">
        <v>45360</v>
      </c>
      <c r="D493" t="inlineStr">
        <is>
          <t>VÄSTMANLANDS LÄN</t>
        </is>
      </c>
      <c r="E493" t="inlineStr">
        <is>
          <t>KÖPING</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49826-2023</t>
        </is>
      </c>
      <c r="B494" s="1" t="n">
        <v>45212</v>
      </c>
      <c r="C494" s="1" t="n">
        <v>45360</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49828-2023</t>
        </is>
      </c>
      <c r="B495" s="1" t="n">
        <v>45212</v>
      </c>
      <c r="C495" s="1" t="n">
        <v>45360</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49827-2023</t>
        </is>
      </c>
      <c r="B496" s="1" t="n">
        <v>45212</v>
      </c>
      <c r="C496" s="1" t="n">
        <v>45360</v>
      </c>
      <c r="D496" t="inlineStr">
        <is>
          <t>VÄSTMANLANDS LÄN</t>
        </is>
      </c>
      <c r="E496" t="inlineStr">
        <is>
          <t>KÖPING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51176-2023</t>
        </is>
      </c>
      <c r="B497" s="1" t="n">
        <v>45219</v>
      </c>
      <c r="C497" s="1" t="n">
        <v>45360</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51360-2023</t>
        </is>
      </c>
      <c r="B498" s="1" t="n">
        <v>45219</v>
      </c>
      <c r="C498" s="1" t="n">
        <v>45360</v>
      </c>
      <c r="D498" t="inlineStr">
        <is>
          <t>VÄSTMANLANDS LÄN</t>
        </is>
      </c>
      <c r="E498" t="inlineStr">
        <is>
          <t>KÖPING</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51363-2023</t>
        </is>
      </c>
      <c r="B499" s="1" t="n">
        <v>45219</v>
      </c>
      <c r="C499" s="1" t="n">
        <v>45360</v>
      </c>
      <c r="D499" t="inlineStr">
        <is>
          <t>VÄSTMANLANDS LÄN</t>
        </is>
      </c>
      <c r="E499" t="inlineStr">
        <is>
          <t>KÖPING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51407-2023</t>
        </is>
      </c>
      <c r="B500" s="1" t="n">
        <v>45219</v>
      </c>
      <c r="C500" s="1" t="n">
        <v>45360</v>
      </c>
      <c r="D500" t="inlineStr">
        <is>
          <t>VÄSTMANLANDS LÄN</t>
        </is>
      </c>
      <c r="E500" t="inlineStr">
        <is>
          <t>KÖPING</t>
        </is>
      </c>
      <c r="G500" t="n">
        <v>4</v>
      </c>
      <c r="H500" t="n">
        <v>0</v>
      </c>
      <c r="I500" t="n">
        <v>0</v>
      </c>
      <c r="J500" t="n">
        <v>0</v>
      </c>
      <c r="K500" t="n">
        <v>0</v>
      </c>
      <c r="L500" t="n">
        <v>0</v>
      </c>
      <c r="M500" t="n">
        <v>0</v>
      </c>
      <c r="N500" t="n">
        <v>0</v>
      </c>
      <c r="O500" t="n">
        <v>0</v>
      </c>
      <c r="P500" t="n">
        <v>0</v>
      </c>
      <c r="Q500" t="n">
        <v>0</v>
      </c>
      <c r="R500" s="2" t="inlineStr"/>
    </row>
    <row r="501" ht="15" customHeight="1">
      <c r="A501" t="inlineStr">
        <is>
          <t>A 51409-2023</t>
        </is>
      </c>
      <c r="B501" s="1" t="n">
        <v>45219</v>
      </c>
      <c r="C501" s="1" t="n">
        <v>45360</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51362-2023</t>
        </is>
      </c>
      <c r="B502" s="1" t="n">
        <v>45219</v>
      </c>
      <c r="C502" s="1" t="n">
        <v>45360</v>
      </c>
      <c r="D502" t="inlineStr">
        <is>
          <t>VÄSTMANLANDS LÄN</t>
        </is>
      </c>
      <c r="E502" t="inlineStr">
        <is>
          <t>KÖPING</t>
        </is>
      </c>
      <c r="F502" t="inlineStr">
        <is>
          <t>Sveaskog</t>
        </is>
      </c>
      <c r="G502" t="n">
        <v>13.1</v>
      </c>
      <c r="H502" t="n">
        <v>0</v>
      </c>
      <c r="I502" t="n">
        <v>0</v>
      </c>
      <c r="J502" t="n">
        <v>0</v>
      </c>
      <c r="K502" t="n">
        <v>0</v>
      </c>
      <c r="L502" t="n">
        <v>0</v>
      </c>
      <c r="M502" t="n">
        <v>0</v>
      </c>
      <c r="N502" t="n">
        <v>0</v>
      </c>
      <c r="O502" t="n">
        <v>0</v>
      </c>
      <c r="P502" t="n">
        <v>0</v>
      </c>
      <c r="Q502" t="n">
        <v>0</v>
      </c>
      <c r="R502" s="2" t="inlineStr"/>
    </row>
    <row r="503" ht="15" customHeight="1">
      <c r="A503" t="inlineStr">
        <is>
          <t>A 51412-2023</t>
        </is>
      </c>
      <c r="B503" s="1" t="n">
        <v>45219</v>
      </c>
      <c r="C503" s="1" t="n">
        <v>45360</v>
      </c>
      <c r="D503" t="inlineStr">
        <is>
          <t>VÄSTMANLANDS LÄN</t>
        </is>
      </c>
      <c r="E503" t="inlineStr">
        <is>
          <t>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51388-2023</t>
        </is>
      </c>
      <c r="B504" s="1" t="n">
        <v>45219</v>
      </c>
      <c r="C504" s="1" t="n">
        <v>45360</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51365-2023</t>
        </is>
      </c>
      <c r="B505" s="1" t="n">
        <v>45219</v>
      </c>
      <c r="C505" s="1" t="n">
        <v>45360</v>
      </c>
      <c r="D505" t="inlineStr">
        <is>
          <t>VÄSTMANLANDS LÄN</t>
        </is>
      </c>
      <c r="E505" t="inlineStr">
        <is>
          <t>KÖPING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51132-2023</t>
        </is>
      </c>
      <c r="B506" s="1" t="n">
        <v>45219</v>
      </c>
      <c r="C506" s="1" t="n">
        <v>45360</v>
      </c>
      <c r="D506" t="inlineStr">
        <is>
          <t>VÄSTMANLANDS LÄN</t>
        </is>
      </c>
      <c r="E506" t="inlineStr">
        <is>
          <t>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51119-2023</t>
        </is>
      </c>
      <c r="B507" s="1" t="n">
        <v>45219</v>
      </c>
      <c r="C507" s="1" t="n">
        <v>45360</v>
      </c>
      <c r="D507" t="inlineStr">
        <is>
          <t>VÄSTMANLANDS LÄN</t>
        </is>
      </c>
      <c r="E507" t="inlineStr">
        <is>
          <t>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51123-2023</t>
        </is>
      </c>
      <c r="B508" s="1" t="n">
        <v>45219</v>
      </c>
      <c r="C508" s="1" t="n">
        <v>45360</v>
      </c>
      <c r="D508" t="inlineStr">
        <is>
          <t>VÄSTMANLANDS LÄN</t>
        </is>
      </c>
      <c r="E508" t="inlineStr">
        <is>
          <t>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52475-2023</t>
        </is>
      </c>
      <c r="B509" s="1" t="n">
        <v>45225</v>
      </c>
      <c r="C509" s="1" t="n">
        <v>45360</v>
      </c>
      <c r="D509" t="inlineStr">
        <is>
          <t>VÄSTMANLANDS LÄN</t>
        </is>
      </c>
      <c r="E509" t="inlineStr">
        <is>
          <t>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53061-2023</t>
        </is>
      </c>
      <c r="B510" s="1" t="n">
        <v>45227</v>
      </c>
      <c r="C510" s="1" t="n">
        <v>45360</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54657-2023</t>
        </is>
      </c>
      <c r="B511" s="1" t="n">
        <v>45235</v>
      </c>
      <c r="C511" s="1" t="n">
        <v>45360</v>
      </c>
      <c r="D511" t="inlineStr">
        <is>
          <t>VÄSTMANLANDS LÄN</t>
        </is>
      </c>
      <c r="E511" t="inlineStr">
        <is>
          <t>KÖPING</t>
        </is>
      </c>
      <c r="G511" t="n">
        <v>4.2</v>
      </c>
      <c r="H511" t="n">
        <v>0</v>
      </c>
      <c r="I511" t="n">
        <v>0</v>
      </c>
      <c r="J511" t="n">
        <v>0</v>
      </c>
      <c r="K511" t="n">
        <v>0</v>
      </c>
      <c r="L511" t="n">
        <v>0</v>
      </c>
      <c r="M511" t="n">
        <v>0</v>
      </c>
      <c r="N511" t="n">
        <v>0</v>
      </c>
      <c r="O511" t="n">
        <v>0</v>
      </c>
      <c r="P511" t="n">
        <v>0</v>
      </c>
      <c r="Q511" t="n">
        <v>0</v>
      </c>
      <c r="R511" s="2" t="inlineStr"/>
    </row>
    <row r="512" ht="15" customHeight="1">
      <c r="A512" t="inlineStr">
        <is>
          <t>A 57372-2023</t>
        </is>
      </c>
      <c r="B512" s="1" t="n">
        <v>45245</v>
      </c>
      <c r="C512" s="1" t="n">
        <v>45360</v>
      </c>
      <c r="D512" t="inlineStr">
        <is>
          <t>VÄSTMANLANDS LÄN</t>
        </is>
      </c>
      <c r="E512" t="inlineStr">
        <is>
          <t>KÖPING</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58728-2023</t>
        </is>
      </c>
      <c r="B513" s="1" t="n">
        <v>45251</v>
      </c>
      <c r="C513" s="1" t="n">
        <v>45360</v>
      </c>
      <c r="D513" t="inlineStr">
        <is>
          <t>VÄSTMANLANDS LÄN</t>
        </is>
      </c>
      <c r="E513" t="inlineStr">
        <is>
          <t>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60367-2023</t>
        </is>
      </c>
      <c r="B514" s="1" t="n">
        <v>45257</v>
      </c>
      <c r="C514" s="1" t="n">
        <v>45360</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60206-2023</t>
        </is>
      </c>
      <c r="B515" s="1" t="n">
        <v>45258</v>
      </c>
      <c r="C515" s="1" t="n">
        <v>45360</v>
      </c>
      <c r="D515" t="inlineStr">
        <is>
          <t>VÄSTMANLANDS LÄN</t>
        </is>
      </c>
      <c r="E515" t="inlineStr">
        <is>
          <t>KÖPING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60991-2023</t>
        </is>
      </c>
      <c r="B516" s="1" t="n">
        <v>45261</v>
      </c>
      <c r="C516" s="1" t="n">
        <v>45360</v>
      </c>
      <c r="D516" t="inlineStr">
        <is>
          <t>VÄSTMANLANDS LÄN</t>
        </is>
      </c>
      <c r="E516" t="inlineStr">
        <is>
          <t>KÖPING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61047-2023</t>
        </is>
      </c>
      <c r="B517" s="1" t="n">
        <v>45261</v>
      </c>
      <c r="C517" s="1" t="n">
        <v>45360</v>
      </c>
      <c r="D517" t="inlineStr">
        <is>
          <t>VÄSTMANLANDS LÄN</t>
        </is>
      </c>
      <c r="E517" t="inlineStr">
        <is>
          <t>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45360</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45360</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61339-2023</t>
        </is>
      </c>
      <c r="B520" s="1" t="n">
        <v>45264</v>
      </c>
      <c r="C520" s="1" t="n">
        <v>45360</v>
      </c>
      <c r="D520" t="inlineStr">
        <is>
          <t>VÄSTMANLANDS LÄN</t>
        </is>
      </c>
      <c r="E520" t="inlineStr">
        <is>
          <t>KÖPING</t>
        </is>
      </c>
      <c r="G520" t="n">
        <v>5</v>
      </c>
      <c r="H520" t="n">
        <v>0</v>
      </c>
      <c r="I520" t="n">
        <v>0</v>
      </c>
      <c r="J520" t="n">
        <v>0</v>
      </c>
      <c r="K520" t="n">
        <v>0</v>
      </c>
      <c r="L520" t="n">
        <v>0</v>
      </c>
      <c r="M520" t="n">
        <v>0</v>
      </c>
      <c r="N520" t="n">
        <v>0</v>
      </c>
      <c r="O520" t="n">
        <v>0</v>
      </c>
      <c r="P520" t="n">
        <v>0</v>
      </c>
      <c r="Q520" t="n">
        <v>0</v>
      </c>
      <c r="R520" s="2" t="inlineStr"/>
    </row>
    <row r="521" ht="15" customHeight="1">
      <c r="A521" t="inlineStr">
        <is>
          <t>A 61358-2023</t>
        </is>
      </c>
      <c r="B521" s="1" t="n">
        <v>45264</v>
      </c>
      <c r="C521" s="1" t="n">
        <v>45360</v>
      </c>
      <c r="D521" t="inlineStr">
        <is>
          <t>VÄSTMANLANDS LÄN</t>
        </is>
      </c>
      <c r="E521" t="inlineStr">
        <is>
          <t>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63229-2023</t>
        </is>
      </c>
      <c r="B522" s="1" t="n">
        <v>45273</v>
      </c>
      <c r="C522" s="1" t="n">
        <v>45360</v>
      </c>
      <c r="D522" t="inlineStr">
        <is>
          <t>VÄSTMANLANDS LÄN</t>
        </is>
      </c>
      <c r="E522" t="inlineStr">
        <is>
          <t>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63241-2023</t>
        </is>
      </c>
      <c r="B523" s="1" t="n">
        <v>45273</v>
      </c>
      <c r="C523" s="1" t="n">
        <v>45360</v>
      </c>
      <c r="D523" t="inlineStr">
        <is>
          <t>VÄSTMANLANDS LÄN</t>
        </is>
      </c>
      <c r="E523" t="inlineStr">
        <is>
          <t>KÖPING</t>
        </is>
      </c>
      <c r="G523" t="n">
        <v>4.5</v>
      </c>
      <c r="H523" t="n">
        <v>0</v>
      </c>
      <c r="I523" t="n">
        <v>0</v>
      </c>
      <c r="J523" t="n">
        <v>0</v>
      </c>
      <c r="K523" t="n">
        <v>0</v>
      </c>
      <c r="L523" t="n">
        <v>0</v>
      </c>
      <c r="M523" t="n">
        <v>0</v>
      </c>
      <c r="N523" t="n">
        <v>0</v>
      </c>
      <c r="O523" t="n">
        <v>0</v>
      </c>
      <c r="P523" t="n">
        <v>0</v>
      </c>
      <c r="Q523" t="n">
        <v>0</v>
      </c>
      <c r="R523" s="2" t="inlineStr"/>
    </row>
    <row r="524" ht="15" customHeight="1">
      <c r="A524" t="inlineStr">
        <is>
          <t>A 63236-2023</t>
        </is>
      </c>
      <c r="B524" s="1" t="n">
        <v>45273</v>
      </c>
      <c r="C524" s="1" t="n">
        <v>45360</v>
      </c>
      <c r="D524" t="inlineStr">
        <is>
          <t>VÄSTMANLANDS LÄN</t>
        </is>
      </c>
      <c r="E524" t="inlineStr">
        <is>
          <t>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64044-2023</t>
        </is>
      </c>
      <c r="B525" s="1" t="n">
        <v>45278</v>
      </c>
      <c r="C525" s="1" t="n">
        <v>45360</v>
      </c>
      <c r="D525" t="inlineStr">
        <is>
          <t>VÄSTMANLANDS LÄN</t>
        </is>
      </c>
      <c r="E525" t="inlineStr">
        <is>
          <t>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64209-2023</t>
        </is>
      </c>
      <c r="B526" s="1" t="n">
        <v>45279</v>
      </c>
      <c r="C526" s="1" t="n">
        <v>45360</v>
      </c>
      <c r="D526" t="inlineStr">
        <is>
          <t>VÄSTMANLANDS LÄN</t>
        </is>
      </c>
      <c r="E526" t="inlineStr">
        <is>
          <t>KÖPING</t>
        </is>
      </c>
      <c r="G526" t="n">
        <v>10.2</v>
      </c>
      <c r="H526" t="n">
        <v>0</v>
      </c>
      <c r="I526" t="n">
        <v>0</v>
      </c>
      <c r="J526" t="n">
        <v>0</v>
      </c>
      <c r="K526" t="n">
        <v>0</v>
      </c>
      <c r="L526" t="n">
        <v>0</v>
      </c>
      <c r="M526" t="n">
        <v>0</v>
      </c>
      <c r="N526" t="n">
        <v>0</v>
      </c>
      <c r="O526" t="n">
        <v>0</v>
      </c>
      <c r="P526" t="n">
        <v>0</v>
      </c>
      <c r="Q526" t="n">
        <v>0</v>
      </c>
      <c r="R526" s="2" t="inlineStr"/>
    </row>
    <row r="527" ht="15" customHeight="1">
      <c r="A527" t="inlineStr">
        <is>
          <t>A 1360-2024</t>
        </is>
      </c>
      <c r="B527" s="1" t="n">
        <v>45303</v>
      </c>
      <c r="C527" s="1" t="n">
        <v>45360</v>
      </c>
      <c r="D527" t="inlineStr">
        <is>
          <t>VÄSTMANLANDS LÄN</t>
        </is>
      </c>
      <c r="E527" t="inlineStr">
        <is>
          <t>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1393-2024</t>
        </is>
      </c>
      <c r="B528" s="1" t="n">
        <v>45303</v>
      </c>
      <c r="C528" s="1" t="n">
        <v>45360</v>
      </c>
      <c r="D528" t="inlineStr">
        <is>
          <t>VÄSTMANLANDS LÄN</t>
        </is>
      </c>
      <c r="E528" t="inlineStr">
        <is>
          <t>KÖPING</t>
        </is>
      </c>
      <c r="G528" t="n">
        <v>3.4</v>
      </c>
      <c r="H528" t="n">
        <v>0</v>
      </c>
      <c r="I528" t="n">
        <v>0</v>
      </c>
      <c r="J528" t="n">
        <v>0</v>
      </c>
      <c r="K528" t="n">
        <v>0</v>
      </c>
      <c r="L528" t="n">
        <v>0</v>
      </c>
      <c r="M528" t="n">
        <v>0</v>
      </c>
      <c r="N528" t="n">
        <v>0</v>
      </c>
      <c r="O528" t="n">
        <v>0</v>
      </c>
      <c r="P528" t="n">
        <v>0</v>
      </c>
      <c r="Q528" t="n">
        <v>0</v>
      </c>
      <c r="R528" s="2" t="inlineStr"/>
    </row>
    <row r="529" ht="15" customHeight="1">
      <c r="A529" t="inlineStr">
        <is>
          <t>A 2387-2024</t>
        </is>
      </c>
      <c r="B529" s="1" t="n">
        <v>45310</v>
      </c>
      <c r="C529" s="1" t="n">
        <v>45360</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2391-2024</t>
        </is>
      </c>
      <c r="B530" s="1" t="n">
        <v>45310</v>
      </c>
      <c r="C530" s="1" t="n">
        <v>45360</v>
      </c>
      <c r="D530" t="inlineStr">
        <is>
          <t>VÄSTMANLANDS LÄN</t>
        </is>
      </c>
      <c r="E530" t="inlineStr">
        <is>
          <t>KÖPING</t>
        </is>
      </c>
      <c r="G530" t="n">
        <v>2.7</v>
      </c>
      <c r="H530" t="n">
        <v>0</v>
      </c>
      <c r="I530" t="n">
        <v>0</v>
      </c>
      <c r="J530" t="n">
        <v>0</v>
      </c>
      <c r="K530" t="n">
        <v>0</v>
      </c>
      <c r="L530" t="n">
        <v>0</v>
      </c>
      <c r="M530" t="n">
        <v>0</v>
      </c>
      <c r="N530" t="n">
        <v>0</v>
      </c>
      <c r="O530" t="n">
        <v>0</v>
      </c>
      <c r="P530" t="n">
        <v>0</v>
      </c>
      <c r="Q530" t="n">
        <v>0</v>
      </c>
      <c r="R530" s="2" t="inlineStr"/>
    </row>
    <row r="531" ht="15" customHeight="1">
      <c r="A531" t="inlineStr">
        <is>
          <t>A 2584-2024</t>
        </is>
      </c>
      <c r="B531" s="1" t="n">
        <v>45313</v>
      </c>
      <c r="C531" s="1" t="n">
        <v>45360</v>
      </c>
      <c r="D531" t="inlineStr">
        <is>
          <t>VÄSTMANLANDS LÄN</t>
        </is>
      </c>
      <c r="E531" t="inlineStr">
        <is>
          <t>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2918-2024</t>
        </is>
      </c>
      <c r="B532" s="1" t="n">
        <v>45315</v>
      </c>
      <c r="C532" s="1" t="n">
        <v>45360</v>
      </c>
      <c r="D532" t="inlineStr">
        <is>
          <t>VÄSTMANLANDS LÄN</t>
        </is>
      </c>
      <c r="E532" t="inlineStr">
        <is>
          <t>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3570-2024</t>
        </is>
      </c>
      <c r="B533" s="1" t="n">
        <v>45320</v>
      </c>
      <c r="C533" s="1" t="n">
        <v>45360</v>
      </c>
      <c r="D533" t="inlineStr">
        <is>
          <t>VÄSTMANLANDS LÄN</t>
        </is>
      </c>
      <c r="E533" t="inlineStr">
        <is>
          <t>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3933-2024</t>
        </is>
      </c>
      <c r="B534" s="1" t="n">
        <v>45322</v>
      </c>
      <c r="C534" s="1" t="n">
        <v>45360</v>
      </c>
      <c r="D534" t="inlineStr">
        <is>
          <t>VÄSTMANLANDS LÄN</t>
        </is>
      </c>
      <c r="E534" t="inlineStr">
        <is>
          <t>KÖPING</t>
        </is>
      </c>
      <c r="G534" t="n">
        <v>6.3</v>
      </c>
      <c r="H534" t="n">
        <v>0</v>
      </c>
      <c r="I534" t="n">
        <v>0</v>
      </c>
      <c r="J534" t="n">
        <v>0</v>
      </c>
      <c r="K534" t="n">
        <v>0</v>
      </c>
      <c r="L534" t="n">
        <v>0</v>
      </c>
      <c r="M534" t="n">
        <v>0</v>
      </c>
      <c r="N534" t="n">
        <v>0</v>
      </c>
      <c r="O534" t="n">
        <v>0</v>
      </c>
      <c r="P534" t="n">
        <v>0</v>
      </c>
      <c r="Q534" t="n">
        <v>0</v>
      </c>
      <c r="R534" s="2" t="inlineStr"/>
    </row>
    <row r="535" ht="15" customHeight="1">
      <c r="A535" t="inlineStr">
        <is>
          <t>A 3945-2024</t>
        </is>
      </c>
      <c r="B535" s="1" t="n">
        <v>45322</v>
      </c>
      <c r="C535" s="1" t="n">
        <v>45360</v>
      </c>
      <c r="D535" t="inlineStr">
        <is>
          <t>VÄSTMANLANDS LÄN</t>
        </is>
      </c>
      <c r="E535" t="inlineStr">
        <is>
          <t>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4713-2024</t>
        </is>
      </c>
      <c r="B536" s="1" t="n">
        <v>45328</v>
      </c>
      <c r="C536" s="1" t="n">
        <v>45360</v>
      </c>
      <c r="D536" t="inlineStr">
        <is>
          <t>VÄSTMANLANDS LÄN</t>
        </is>
      </c>
      <c r="E536" t="inlineStr">
        <is>
          <t>KÖPING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4614-2024</t>
        </is>
      </c>
      <c r="B537" s="1" t="n">
        <v>45328</v>
      </c>
      <c r="C537" s="1" t="n">
        <v>45360</v>
      </c>
      <c r="D537" t="inlineStr">
        <is>
          <t>VÄSTMANLANDS LÄN</t>
        </is>
      </c>
      <c r="E537" t="inlineStr">
        <is>
          <t>KÖPING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4711-2024</t>
        </is>
      </c>
      <c r="B538" s="1" t="n">
        <v>45328</v>
      </c>
      <c r="C538" s="1" t="n">
        <v>45360</v>
      </c>
      <c r="D538" t="inlineStr">
        <is>
          <t>VÄSTMANLANDS LÄN</t>
        </is>
      </c>
      <c r="E538" t="inlineStr">
        <is>
          <t>KÖPING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4981-2024</t>
        </is>
      </c>
      <c r="B539" s="1" t="n">
        <v>45329</v>
      </c>
      <c r="C539" s="1" t="n">
        <v>45360</v>
      </c>
      <c r="D539" t="inlineStr">
        <is>
          <t>VÄSTMANLANDS LÄN</t>
        </is>
      </c>
      <c r="E539" t="inlineStr">
        <is>
          <t>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8683-2024</t>
        </is>
      </c>
      <c r="B540" s="1" t="n">
        <v>45356</v>
      </c>
      <c r="C540" s="1" t="n">
        <v>45360</v>
      </c>
      <c r="D540" t="inlineStr">
        <is>
          <t>VÄSTMANLANDS LÄN</t>
        </is>
      </c>
      <c r="E540" t="inlineStr">
        <is>
          <t>KÖPING</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8703-2024</t>
        </is>
      </c>
      <c r="B541" s="1" t="n">
        <v>45356</v>
      </c>
      <c r="C541" s="1" t="n">
        <v>45360</v>
      </c>
      <c r="D541" t="inlineStr">
        <is>
          <t>VÄSTMANLANDS LÄN</t>
        </is>
      </c>
      <c r="E541" t="inlineStr">
        <is>
          <t>KÖPING</t>
        </is>
      </c>
      <c r="G541" t="n">
        <v>6.5</v>
      </c>
      <c r="H541" t="n">
        <v>0</v>
      </c>
      <c r="I541" t="n">
        <v>0</v>
      </c>
      <c r="J541" t="n">
        <v>0</v>
      </c>
      <c r="K541" t="n">
        <v>0</v>
      </c>
      <c r="L541" t="n">
        <v>0</v>
      </c>
      <c r="M541" t="n">
        <v>0</v>
      </c>
      <c r="N541" t="n">
        <v>0</v>
      </c>
      <c r="O541" t="n">
        <v>0</v>
      </c>
      <c r="P541" t="n">
        <v>0</v>
      </c>
      <c r="Q541" t="n">
        <v>0</v>
      </c>
      <c r="R541" s="2" t="inlineStr"/>
    </row>
    <row r="542" ht="15" customHeight="1">
      <c r="A542" t="inlineStr">
        <is>
          <t>A 9302-2024</t>
        </is>
      </c>
      <c r="B542" s="1" t="n">
        <v>45358</v>
      </c>
      <c r="C542" s="1" t="n">
        <v>45360</v>
      </c>
      <c r="D542" t="inlineStr">
        <is>
          <t>VÄSTMANLANDS LÄN</t>
        </is>
      </c>
      <c r="E542" t="inlineStr">
        <is>
          <t>KÖPING</t>
        </is>
      </c>
      <c r="G542" t="n">
        <v>3.6</v>
      </c>
      <c r="H542" t="n">
        <v>0</v>
      </c>
      <c r="I542" t="n">
        <v>0</v>
      </c>
      <c r="J542" t="n">
        <v>0</v>
      </c>
      <c r="K542" t="n">
        <v>0</v>
      </c>
      <c r="L542" t="n">
        <v>0</v>
      </c>
      <c r="M542" t="n">
        <v>0</v>
      </c>
      <c r="N542" t="n">
        <v>0</v>
      </c>
      <c r="O542" t="n">
        <v>0</v>
      </c>
      <c r="P542" t="n">
        <v>0</v>
      </c>
      <c r="Q542" t="n">
        <v>0</v>
      </c>
      <c r="R542" s="2" t="inlineStr"/>
    </row>
    <row r="543" ht="15" customHeight="1">
      <c r="A543" t="inlineStr">
        <is>
          <t>A 9303-2024</t>
        </is>
      </c>
      <c r="B543" s="1" t="n">
        <v>45358</v>
      </c>
      <c r="C543" s="1" t="n">
        <v>45360</v>
      </c>
      <c r="D543" t="inlineStr">
        <is>
          <t>VÄSTMANLANDS LÄN</t>
        </is>
      </c>
      <c r="E543" t="inlineStr">
        <is>
          <t>KÖPING</t>
        </is>
      </c>
      <c r="G543" t="n">
        <v>2.3</v>
      </c>
      <c r="H543" t="n">
        <v>0</v>
      </c>
      <c r="I543" t="n">
        <v>0</v>
      </c>
      <c r="J543" t="n">
        <v>0</v>
      </c>
      <c r="K543" t="n">
        <v>0</v>
      </c>
      <c r="L543" t="n">
        <v>0</v>
      </c>
      <c r="M543" t="n">
        <v>0</v>
      </c>
      <c r="N543" t="n">
        <v>0</v>
      </c>
      <c r="O543" t="n">
        <v>0</v>
      </c>
      <c r="P543" t="n">
        <v>0</v>
      </c>
      <c r="Q543" t="n">
        <v>0</v>
      </c>
      <c r="R543" s="2" t="inlineStr"/>
    </row>
    <row r="544" ht="15" customHeight="1">
      <c r="A544" t="inlineStr">
        <is>
          <t>A 9515-2024</t>
        </is>
      </c>
      <c r="B544" s="1" t="n">
        <v>45359</v>
      </c>
      <c r="C544" s="1" t="n">
        <v>45360</v>
      </c>
      <c r="D544" t="inlineStr">
        <is>
          <t>VÄSTMANLANDS LÄN</t>
        </is>
      </c>
      <c r="E544" t="inlineStr">
        <is>
          <t>KÖPING</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9509-2024</t>
        </is>
      </c>
      <c r="B545" s="1" t="n">
        <v>45359</v>
      </c>
      <c r="C545" s="1" t="n">
        <v>45360</v>
      </c>
      <c r="D545" t="inlineStr">
        <is>
          <t>VÄSTMANLANDS LÄN</t>
        </is>
      </c>
      <c r="E545" t="inlineStr">
        <is>
          <t>KÖPING</t>
        </is>
      </c>
      <c r="F545" t="inlineStr">
        <is>
          <t>Sveaskog</t>
        </is>
      </c>
      <c r="G545" t="n">
        <v>1.8</v>
      </c>
      <c r="H545" t="n">
        <v>0</v>
      </c>
      <c r="I545" t="n">
        <v>0</v>
      </c>
      <c r="J545" t="n">
        <v>0</v>
      </c>
      <c r="K545" t="n">
        <v>0</v>
      </c>
      <c r="L545" t="n">
        <v>0</v>
      </c>
      <c r="M545" t="n">
        <v>0</v>
      </c>
      <c r="N545" t="n">
        <v>0</v>
      </c>
      <c r="O545" t="n">
        <v>0</v>
      </c>
      <c r="P545" t="n">
        <v>0</v>
      </c>
      <c r="Q545" t="n">
        <v>0</v>
      </c>
      <c r="R545" s="2" t="inlineStr"/>
    </row>
    <row r="546">
      <c r="A546" t="inlineStr">
        <is>
          <t>A 9517-2024</t>
        </is>
      </c>
      <c r="B546" s="1" t="n">
        <v>45359</v>
      </c>
      <c r="C546" s="1" t="n">
        <v>45360</v>
      </c>
      <c r="D546" t="inlineStr">
        <is>
          <t>VÄSTMANLANDS LÄN</t>
        </is>
      </c>
      <c r="E546" t="inlineStr">
        <is>
          <t>KÖPING</t>
        </is>
      </c>
      <c r="F546" t="inlineStr">
        <is>
          <t>Sveaskog</t>
        </is>
      </c>
      <c r="G546" t="n">
        <v>1.4</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2024-03-09T13:59:32Z</dcterms:created>
  <dcterms:modified xmlns:dcterms="http://purl.org/dc/terms/" xmlns:xsi="http://www.w3.org/2001/XMLSchema-instance" xsi:type="dcterms:W3CDTF">2024-03-09T13:59:33Z</dcterms:modified>
</cp:coreProperties>
</file>