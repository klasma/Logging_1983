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45749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45749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45749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45749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45749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45749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45749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45749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45749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45749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45749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45749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45749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45749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45749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45749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45749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45749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45749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45749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45749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45749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45749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45749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45749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45749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45749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45749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45749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45749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45749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45749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45749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52476-2023</t>
        </is>
      </c>
      <c r="B35" s="1" t="n">
        <v>45225</v>
      </c>
      <c r="C35" s="1" t="n">
        <v>45749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HYPERLINK("https://klasma.github.io/Logging_1983/artfynd/A 52476-2023 artfynd.xlsx", "A 52476-2023")</f>
        <v/>
      </c>
      <c r="T35">
        <f>HYPERLINK("https://klasma.github.io/Logging_1983/kartor/A 52476-2023 karta.png", "A 52476-2023")</f>
        <v/>
      </c>
      <c r="V35">
        <f>HYPERLINK("https://klasma.github.io/Logging_1983/klagomål/A 52476-2023 FSC-klagomål.docx", "A 52476-2023")</f>
        <v/>
      </c>
      <c r="W35">
        <f>HYPERLINK("https://klasma.github.io/Logging_1983/klagomålsmail/A 52476-2023 FSC-klagomål mail.docx", "A 52476-2023")</f>
        <v/>
      </c>
      <c r="X35">
        <f>HYPERLINK("https://klasma.github.io/Logging_1983/tillsyn/A 52476-2023 tillsynsbegäran.docx", "A 52476-2023")</f>
        <v/>
      </c>
      <c r="Y35">
        <f>HYPERLINK("https://klasma.github.io/Logging_1983/tillsynsmail/A 52476-2023 tillsynsbegäran mail.docx", "A 52476-2023")</f>
        <v/>
      </c>
    </row>
    <row r="36" ht="15" customHeight="1">
      <c r="A36" t="inlineStr">
        <is>
          <t>A 55157-2023</t>
        </is>
      </c>
      <c r="B36" s="1" t="n">
        <v>45237</v>
      </c>
      <c r="C36" s="1" t="n">
        <v>45749</v>
      </c>
      <c r="D36" t="inlineStr">
        <is>
          <t>VÄSTMANLANDS LÄN</t>
        </is>
      </c>
      <c r="E36" t="inlineStr">
        <is>
          <t>KÖPING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HYPERLINK("https://klasma.github.io/Logging_1983/artfynd/A 55157-2023 artfynd.xlsx", "A 55157-2023")</f>
        <v/>
      </c>
      <c r="T36">
        <f>HYPERLINK("https://klasma.github.io/Logging_1983/kartor/A 55157-2023 karta.png", "A 55157-2023")</f>
        <v/>
      </c>
      <c r="V36">
        <f>HYPERLINK("https://klasma.github.io/Logging_1983/klagomål/A 55157-2023 FSC-klagomål.docx", "A 55157-2023")</f>
        <v/>
      </c>
      <c r="W36">
        <f>HYPERLINK("https://klasma.github.io/Logging_1983/klagomålsmail/A 55157-2023 FSC-klagomål mail.docx", "A 55157-2023")</f>
        <v/>
      </c>
      <c r="X36">
        <f>HYPERLINK("https://klasma.github.io/Logging_1983/tillsyn/A 55157-2023 tillsynsbegäran.docx", "A 55157-2023")</f>
        <v/>
      </c>
      <c r="Y36">
        <f>HYPERLINK("https://klasma.github.io/Logging_1983/tillsynsmail/A 55157-2023 tillsynsbegäran mail.docx", "A 55157-2023")</f>
        <v/>
      </c>
    </row>
    <row r="37" ht="15" customHeight="1">
      <c r="A37" t="inlineStr">
        <is>
          <t>A 3927-2024</t>
        </is>
      </c>
      <c r="B37" s="1" t="n">
        <v>45322</v>
      </c>
      <c r="C37" s="1" t="n">
        <v>45749</v>
      </c>
      <c r="D37" t="inlineStr">
        <is>
          <t>VÄSTMANLANDS LÄN</t>
        </is>
      </c>
      <c r="E37" t="inlineStr">
        <is>
          <t>KÖPING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HYPERLINK("https://klasma.github.io/Logging_1983/artfynd/A 3927-2024 artfynd.xlsx", "A 3927-2024")</f>
        <v/>
      </c>
      <c r="T37">
        <f>HYPERLINK("https://klasma.github.io/Logging_1983/kartor/A 3927-2024 karta.png", "A 3927-2024")</f>
        <v/>
      </c>
      <c r="V37">
        <f>HYPERLINK("https://klasma.github.io/Logging_1983/klagomål/A 3927-2024 FSC-klagomål.docx", "A 3927-2024")</f>
        <v/>
      </c>
      <c r="W37">
        <f>HYPERLINK("https://klasma.github.io/Logging_1983/klagomålsmail/A 3927-2024 FSC-klagomål mail.docx", "A 3927-2024")</f>
        <v/>
      </c>
      <c r="X37">
        <f>HYPERLINK("https://klasma.github.io/Logging_1983/tillsyn/A 3927-2024 tillsynsbegäran.docx", "A 3927-2024")</f>
        <v/>
      </c>
      <c r="Y37">
        <f>HYPERLINK("https://klasma.github.io/Logging_1983/tillsynsmail/A 3927-2024 tillsynsbegäran mail.docx", "A 3927-2024")</f>
        <v/>
      </c>
    </row>
    <row r="38" ht="15" customHeight="1">
      <c r="A38" t="inlineStr">
        <is>
          <t>A 9510-2024</t>
        </is>
      </c>
      <c r="B38" s="1" t="n">
        <v>45359</v>
      </c>
      <c r="C38" s="1" t="n">
        <v>45749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HYPERLINK("https://klasma.github.io/Logging_1983/artfynd/A 9510-2024 artfynd.xlsx", "A 9510-2024")</f>
        <v/>
      </c>
      <c r="T38">
        <f>HYPERLINK("https://klasma.github.io/Logging_1983/kartor/A 9510-2024 karta.png", "A 9510-2024")</f>
        <v/>
      </c>
      <c r="V38">
        <f>HYPERLINK("https://klasma.github.io/Logging_1983/klagomål/A 9510-2024 FSC-klagomål.docx", "A 9510-2024")</f>
        <v/>
      </c>
      <c r="W38">
        <f>HYPERLINK("https://klasma.github.io/Logging_1983/klagomålsmail/A 9510-2024 FSC-klagomål mail.docx", "A 9510-2024")</f>
        <v/>
      </c>
      <c r="X38">
        <f>HYPERLINK("https://klasma.github.io/Logging_1983/tillsyn/A 9510-2024 tillsynsbegäran.docx", "A 9510-2024")</f>
        <v/>
      </c>
      <c r="Y38">
        <f>HYPERLINK("https://klasma.github.io/Logging_1983/tillsynsmail/A 9510-2024 tillsynsbegäran mail.docx", "A 9510-2024")</f>
        <v/>
      </c>
    </row>
    <row r="39" ht="15" customHeight="1">
      <c r="A39" t="inlineStr">
        <is>
          <t>A 12179-2024</t>
        </is>
      </c>
      <c r="B39" s="1" t="n">
        <v>45377</v>
      </c>
      <c r="C39" s="1" t="n">
        <v>45749</v>
      </c>
      <c r="D39" t="inlineStr">
        <is>
          <t>VÄSTMANLANDS LÄN</t>
        </is>
      </c>
      <c r="E39" t="inlineStr">
        <is>
          <t>KÖPING</t>
        </is>
      </c>
      <c r="F39" t="inlineStr">
        <is>
          <t>Allmännings- och besparingsskogar</t>
        </is>
      </c>
      <c r="G39" t="n">
        <v>11.4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HYPERLINK("https://klasma.github.io/Logging_1983/artfynd/A 12179-2024 artfynd.xlsx", "A 12179-2024")</f>
        <v/>
      </c>
      <c r="T39">
        <f>HYPERLINK("https://klasma.github.io/Logging_1983/kartor/A 12179-2024 karta.png", "A 12179-2024")</f>
        <v/>
      </c>
      <c r="V39">
        <f>HYPERLINK("https://klasma.github.io/Logging_1983/klagomål/A 12179-2024 FSC-klagomål.docx", "A 12179-2024")</f>
        <v/>
      </c>
      <c r="W39">
        <f>HYPERLINK("https://klasma.github.io/Logging_1983/klagomålsmail/A 12179-2024 FSC-klagomål mail.docx", "A 12179-2024")</f>
        <v/>
      </c>
      <c r="X39">
        <f>HYPERLINK("https://klasma.github.io/Logging_1983/tillsyn/A 12179-2024 tillsynsbegäran.docx", "A 12179-2024")</f>
        <v/>
      </c>
      <c r="Y39">
        <f>HYPERLINK("https://klasma.github.io/Logging_1983/tillsynsmail/A 12179-2024 tillsynsbegäran mail.docx", "A 12179-2024")</f>
        <v/>
      </c>
      <c r="Z39">
        <f>HYPERLINK("https://klasma.github.io/Logging_1983/fåglar/A 12179-2024 prioriterade fågelarter.docx", "A 12179-2024")</f>
        <v/>
      </c>
    </row>
    <row r="40" ht="15" customHeight="1">
      <c r="A40" t="inlineStr">
        <is>
          <t>A 21576-2024</t>
        </is>
      </c>
      <c r="B40" s="1" t="n">
        <v>45441</v>
      </c>
      <c r="C40" s="1" t="n">
        <v>45749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HYPERLINK("https://klasma.github.io/Logging_1983/artfynd/A 21576-2024 artfynd.xlsx", "A 21576-2024")</f>
        <v/>
      </c>
      <c r="T40">
        <f>HYPERLINK("https://klasma.github.io/Logging_1983/kartor/A 21576-2024 karta.png", "A 21576-2024")</f>
        <v/>
      </c>
      <c r="V40">
        <f>HYPERLINK("https://klasma.github.io/Logging_1983/klagomål/A 21576-2024 FSC-klagomål.docx", "A 21576-2024")</f>
        <v/>
      </c>
      <c r="W40">
        <f>HYPERLINK("https://klasma.github.io/Logging_1983/klagomålsmail/A 21576-2024 FSC-klagomål mail.docx", "A 21576-2024")</f>
        <v/>
      </c>
      <c r="X40">
        <f>HYPERLINK("https://klasma.github.io/Logging_1983/tillsyn/A 21576-2024 tillsynsbegäran.docx", "A 21576-2024")</f>
        <v/>
      </c>
      <c r="Y40">
        <f>HYPERLINK("https://klasma.github.io/Logging_1983/tillsynsmail/A 21576-2024 tillsynsbegäran mail.docx", "A 21576-2024")</f>
        <v/>
      </c>
    </row>
    <row r="41" ht="15" customHeight="1">
      <c r="A41" t="inlineStr">
        <is>
          <t>A 31263-2024</t>
        </is>
      </c>
      <c r="B41" s="1" t="n">
        <v>45503</v>
      </c>
      <c r="C41" s="1" t="n">
        <v>45749</v>
      </c>
      <c r="D41" t="inlineStr">
        <is>
          <t>VÄSTMANLANDS LÄN</t>
        </is>
      </c>
      <c r="E41" t="inlineStr">
        <is>
          <t>KÖPING</t>
        </is>
      </c>
      <c r="G41" t="n">
        <v>12.4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HYPERLINK("https://klasma.github.io/Logging_1983/artfynd/A 31263-2024 artfynd.xlsx", "A 31263-2024")</f>
        <v/>
      </c>
      <c r="T41">
        <f>HYPERLINK("https://klasma.github.io/Logging_1983/kartor/A 31263-2024 karta.png", "A 31263-2024")</f>
        <v/>
      </c>
      <c r="V41">
        <f>HYPERLINK("https://klasma.github.io/Logging_1983/klagomål/A 31263-2024 FSC-klagomål.docx", "A 31263-2024")</f>
        <v/>
      </c>
      <c r="W41">
        <f>HYPERLINK("https://klasma.github.io/Logging_1983/klagomålsmail/A 31263-2024 FSC-klagomål mail.docx", "A 31263-2024")</f>
        <v/>
      </c>
      <c r="X41">
        <f>HYPERLINK("https://klasma.github.io/Logging_1983/tillsyn/A 31263-2024 tillsynsbegäran.docx", "A 31263-2024")</f>
        <v/>
      </c>
      <c r="Y41">
        <f>HYPERLINK("https://klasma.github.io/Logging_1983/tillsynsmail/A 31263-2024 tillsynsbegäran mail.docx", "A 31263-2024")</f>
        <v/>
      </c>
    </row>
    <row r="42" ht="15" customHeight="1">
      <c r="A42" t="inlineStr">
        <is>
          <t>A 39292-2024</t>
        </is>
      </c>
      <c r="B42" s="1" t="n">
        <v>45551</v>
      </c>
      <c r="C42" s="1" t="n">
        <v>45749</v>
      </c>
      <c r="D42" t="inlineStr">
        <is>
          <t>VÄSTMANLANDS LÄN</t>
        </is>
      </c>
      <c r="E42" t="inlineStr">
        <is>
          <t>KÖPING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HYPERLINK("https://klasma.github.io/Logging_1983/artfynd/A 39292-2024 artfynd.xlsx", "A 39292-2024")</f>
        <v/>
      </c>
      <c r="T42">
        <f>HYPERLINK("https://klasma.github.io/Logging_1983/kartor/A 39292-2024 karta.png", "A 39292-2024")</f>
        <v/>
      </c>
      <c r="U42">
        <f>HYPERLINK("https://klasma.github.io/Logging_1983/knärot/A 39292-2024 karta knärot.png", "A 39292-2024")</f>
        <v/>
      </c>
      <c r="V42">
        <f>HYPERLINK("https://klasma.github.io/Logging_1983/klagomål/A 39292-2024 FSC-klagomål.docx", "A 39292-2024")</f>
        <v/>
      </c>
      <c r="W42">
        <f>HYPERLINK("https://klasma.github.io/Logging_1983/klagomålsmail/A 39292-2024 FSC-klagomål mail.docx", "A 39292-2024")</f>
        <v/>
      </c>
      <c r="X42">
        <f>HYPERLINK("https://klasma.github.io/Logging_1983/tillsyn/A 39292-2024 tillsynsbegäran.docx", "A 39292-2024")</f>
        <v/>
      </c>
      <c r="Y42">
        <f>HYPERLINK("https://klasma.github.io/Logging_1983/tillsynsmail/A 39292-2024 tillsynsbegäran mail.docx", "A 39292-2024")</f>
        <v/>
      </c>
    </row>
    <row r="43" ht="15" customHeight="1">
      <c r="A43" t="inlineStr">
        <is>
          <t>A 54868-2024</t>
        </is>
      </c>
      <c r="B43" s="1" t="n">
        <v>45618</v>
      </c>
      <c r="C43" s="1" t="n">
        <v>45749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HYPERLINK("https://klasma.github.io/Logging_1983/artfynd/A 54868-2024 artfynd.xlsx", "A 54868-2024")</f>
        <v/>
      </c>
      <c r="T43">
        <f>HYPERLINK("https://klasma.github.io/Logging_1983/kartor/A 54868-2024 karta.png", "A 54868-2024")</f>
        <v/>
      </c>
      <c r="V43">
        <f>HYPERLINK("https://klasma.github.io/Logging_1983/klagomål/A 54868-2024 FSC-klagomål.docx", "A 54868-2024")</f>
        <v/>
      </c>
      <c r="W43">
        <f>HYPERLINK("https://klasma.github.io/Logging_1983/klagomålsmail/A 54868-2024 FSC-klagomål mail.docx", "A 54868-2024")</f>
        <v/>
      </c>
      <c r="X43">
        <f>HYPERLINK("https://klasma.github.io/Logging_1983/tillsyn/A 54868-2024 tillsynsbegäran.docx", "A 54868-2024")</f>
        <v/>
      </c>
      <c r="Y43">
        <f>HYPERLINK("https://klasma.github.io/Logging_1983/tillsynsmail/A 54868-2024 tillsynsbegäran mail.docx", "A 54868-2024")</f>
        <v/>
      </c>
    </row>
    <row r="44" ht="15" customHeight="1">
      <c r="A44" t="inlineStr">
        <is>
          <t>A 58122-2024</t>
        </is>
      </c>
      <c r="B44" s="1" t="n">
        <v>45632</v>
      </c>
      <c r="C44" s="1" t="n">
        <v>45749</v>
      </c>
      <c r="D44" t="inlineStr">
        <is>
          <t>VÄSTMANLANDS LÄN</t>
        </is>
      </c>
      <c r="E44" t="inlineStr">
        <is>
          <t>KÖPING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HYPERLINK("https://klasma.github.io/Logging_1983/artfynd/A 58122-2024 artfynd.xlsx", "A 58122-2024")</f>
        <v/>
      </c>
      <c r="T44">
        <f>HYPERLINK("https://klasma.github.io/Logging_1983/kartor/A 58122-2024 karta.png", "A 58122-2024")</f>
        <v/>
      </c>
      <c r="V44">
        <f>HYPERLINK("https://klasma.github.io/Logging_1983/klagomål/A 58122-2024 FSC-klagomål.docx", "A 58122-2024")</f>
        <v/>
      </c>
      <c r="W44">
        <f>HYPERLINK("https://klasma.github.io/Logging_1983/klagomålsmail/A 58122-2024 FSC-klagomål mail.docx", "A 58122-2024")</f>
        <v/>
      </c>
      <c r="X44">
        <f>HYPERLINK("https://klasma.github.io/Logging_1983/tillsyn/A 58122-2024 tillsynsbegäran.docx", "A 58122-2024")</f>
        <v/>
      </c>
      <c r="Y44">
        <f>HYPERLINK("https://klasma.github.io/Logging_1983/tillsynsmail/A 58122-2024 tillsynsbegäran mail.docx", "A 58122-2024")</f>
        <v/>
      </c>
    </row>
    <row r="45" ht="15" customHeight="1">
      <c r="A45" t="inlineStr">
        <is>
          <t>A 61577-2024</t>
        </is>
      </c>
      <c r="B45" s="1" t="n">
        <v>45646</v>
      </c>
      <c r="C45" s="1" t="n">
        <v>45749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HYPERLINK("https://klasma.github.io/Logging_1983/artfynd/A 61577-2024 artfynd.xlsx", "A 61577-2024")</f>
        <v/>
      </c>
      <c r="T45">
        <f>HYPERLINK("https://klasma.github.io/Logging_1983/kartor/A 61577-2024 karta.png", "A 61577-2024")</f>
        <v/>
      </c>
      <c r="V45">
        <f>HYPERLINK("https://klasma.github.io/Logging_1983/klagomål/A 61577-2024 FSC-klagomål.docx", "A 61577-2024")</f>
        <v/>
      </c>
      <c r="W45">
        <f>HYPERLINK("https://klasma.github.io/Logging_1983/klagomålsmail/A 61577-2024 FSC-klagomål mail.docx", "A 61577-2024")</f>
        <v/>
      </c>
      <c r="X45">
        <f>HYPERLINK("https://klasma.github.io/Logging_1983/tillsyn/A 61577-2024 tillsynsbegäran.docx", "A 61577-2024")</f>
        <v/>
      </c>
      <c r="Y45">
        <f>HYPERLINK("https://klasma.github.io/Logging_1983/tillsynsmail/A 61577-2024 tillsynsbegäran mail.docx", "A 61577-2024")</f>
        <v/>
      </c>
    </row>
    <row r="46" ht="15" customHeight="1">
      <c r="A46" t="inlineStr">
        <is>
          <t>A 6603-2025</t>
        </is>
      </c>
      <c r="B46" s="1" t="n">
        <v>45700</v>
      </c>
      <c r="C46" s="1" t="n">
        <v>45749</v>
      </c>
      <c r="D46" t="inlineStr">
        <is>
          <t>VÄSTMANLANDS LÄN</t>
        </is>
      </c>
      <c r="E46" t="inlineStr">
        <is>
          <t>KÖPING</t>
        </is>
      </c>
      <c r="G46" t="n">
        <v>12.1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HYPERLINK("https://klasma.github.io/Logging_1983/artfynd/A 6603-2025 artfynd.xlsx", "A 6603-2025")</f>
        <v/>
      </c>
      <c r="T46">
        <f>HYPERLINK("https://klasma.github.io/Logging_1983/kartor/A 6603-2025 karta.png", "A 6603-2025")</f>
        <v/>
      </c>
      <c r="V46">
        <f>HYPERLINK("https://klasma.github.io/Logging_1983/klagomål/A 6603-2025 FSC-klagomål.docx", "A 6603-2025")</f>
        <v/>
      </c>
      <c r="W46">
        <f>HYPERLINK("https://klasma.github.io/Logging_1983/klagomålsmail/A 6603-2025 FSC-klagomål mail.docx", "A 6603-2025")</f>
        <v/>
      </c>
      <c r="X46">
        <f>HYPERLINK("https://klasma.github.io/Logging_1983/tillsyn/A 6603-2025 tillsynsbegäran.docx", "A 6603-2025")</f>
        <v/>
      </c>
      <c r="Y46">
        <f>HYPERLINK("https://klasma.github.io/Logging_1983/tillsynsmail/A 6603-2025 tillsynsbegäran mail.docx", "A 6603-2025")</f>
        <v/>
      </c>
    </row>
    <row r="47" ht="15" customHeight="1">
      <c r="A47" t="inlineStr">
        <is>
          <t>A 13066-2025</t>
        </is>
      </c>
      <c r="B47" s="1" t="n">
        <v>45734</v>
      </c>
      <c r="C47" s="1" t="n">
        <v>45749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HYPERLINK("https://klasma.github.io/Logging_191983/artfynd/A 13066-2025 artfynd.xlsx", "A 13066-2025")</f>
        <v/>
      </c>
      <c r="T47">
        <f>HYPERLINK("https://klasma.github.io/Logging_191983/kartor/A 13066-2025 karta.png", "A 13066-2025")</f>
        <v/>
      </c>
      <c r="V47">
        <f>HYPERLINK("https://klasma.github.io/Logging_191983/klagomål/A 13066-2025 FSC-klagomål.docx", "A 13066-2025")</f>
        <v/>
      </c>
      <c r="W47">
        <f>HYPERLINK("https://klasma.github.io/Logging_191983/klagomålsmail/A 13066-2025 FSC-klagomål mail.docx", "A 13066-2025")</f>
        <v/>
      </c>
      <c r="X47">
        <f>HYPERLINK("https://klasma.github.io/Logging_191983/tillsyn/A 13066-2025 tillsynsbegäran.docx", "A 13066-2025")</f>
        <v/>
      </c>
      <c r="Y47">
        <f>HYPERLINK("https://klasma.github.io/Logging_191983/tillsynsmail/A 13066-2025 tillsynsbegäran mail.docx", "A 13066-2025")</f>
        <v/>
      </c>
    </row>
    <row r="48" ht="15" customHeight="1">
      <c r="A48" t="inlineStr">
        <is>
          <t>A 17915-2019</t>
        </is>
      </c>
      <c r="B48" s="1" t="n">
        <v>43557</v>
      </c>
      <c r="C48" s="1" t="n">
        <v>45749</v>
      </c>
      <c r="D48" t="inlineStr">
        <is>
          <t>VÄSTMANLANDS LÄN</t>
        </is>
      </c>
      <c r="E48" t="inlineStr">
        <is>
          <t>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24107-2019</t>
        </is>
      </c>
      <c r="B49" s="1" t="n">
        <v>43595</v>
      </c>
      <c r="C49" s="1" t="n">
        <v>45749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24017-2019</t>
        </is>
      </c>
      <c r="B50" s="1" t="n">
        <v>43598</v>
      </c>
      <c r="C50" s="1" t="n">
        <v>45749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24417-2019</t>
        </is>
      </c>
      <c r="B51" s="1" t="n">
        <v>43600</v>
      </c>
      <c r="C51" s="1" t="n">
        <v>45749</v>
      </c>
      <c r="D51" t="inlineStr">
        <is>
          <t>VÄSTMANLANDS LÄN</t>
        </is>
      </c>
      <c r="E51" t="inlineStr">
        <is>
          <t>KÖPING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24909-2019</t>
        </is>
      </c>
      <c r="B52" s="1" t="n">
        <v>43602</v>
      </c>
      <c r="C52" s="1" t="n">
        <v>45749</v>
      </c>
      <c r="D52" t="inlineStr">
        <is>
          <t>VÄSTMANLANDS LÄN</t>
        </is>
      </c>
      <c r="E52" t="inlineStr">
        <is>
          <t>KÖPING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25741-2019</t>
        </is>
      </c>
      <c r="B53" s="1" t="n">
        <v>43608</v>
      </c>
      <c r="C53" s="1" t="n">
        <v>45749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26414-2019</t>
        </is>
      </c>
      <c r="B54" s="1" t="n">
        <v>43612</v>
      </c>
      <c r="C54" s="1" t="n">
        <v>45749</v>
      </c>
      <c r="D54" t="inlineStr">
        <is>
          <t>VÄSTMANLANDS LÄN</t>
        </is>
      </c>
      <c r="E54" t="inlineStr">
        <is>
          <t>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27182-2019</t>
        </is>
      </c>
      <c r="B55" s="1" t="n">
        <v>43614</v>
      </c>
      <c r="C55" s="1" t="n">
        <v>45749</v>
      </c>
      <c r="D55" t="inlineStr">
        <is>
          <t>VÄSTMANLANDS LÄN</t>
        </is>
      </c>
      <c r="E55" t="inlineStr">
        <is>
          <t>KÖPING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27381-2019</t>
        </is>
      </c>
      <c r="B56" s="1" t="n">
        <v>43616</v>
      </c>
      <c r="C56" s="1" t="n">
        <v>45749</v>
      </c>
      <c r="D56" t="inlineStr">
        <is>
          <t>VÄSTMANLANDS LÄN</t>
        </is>
      </c>
      <c r="E56" t="inlineStr">
        <is>
          <t>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27391-2019</t>
        </is>
      </c>
      <c r="B57" s="1" t="n">
        <v>43616</v>
      </c>
      <c r="C57" s="1" t="n">
        <v>45749</v>
      </c>
      <c r="D57" t="inlineStr">
        <is>
          <t>VÄSTMANLANDS LÄN</t>
        </is>
      </c>
      <c r="E57" t="inlineStr">
        <is>
          <t>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27914-2019</t>
        </is>
      </c>
      <c r="B58" s="1" t="n">
        <v>43620</v>
      </c>
      <c r="C58" s="1" t="n">
        <v>45749</v>
      </c>
      <c r="D58" t="inlineStr">
        <is>
          <t>VÄSTMANLANDS LÄN</t>
        </is>
      </c>
      <c r="E58" t="inlineStr">
        <is>
          <t>KÖPING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28189-2019</t>
        </is>
      </c>
      <c r="B59" s="1" t="n">
        <v>43621</v>
      </c>
      <c r="C59" s="1" t="n">
        <v>45749</v>
      </c>
      <c r="D59" t="inlineStr">
        <is>
          <t>VÄSTMANLANDS LÄN</t>
        </is>
      </c>
      <c r="E59" t="inlineStr">
        <is>
          <t>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28359-2019</t>
        </is>
      </c>
      <c r="B60" s="1" t="n">
        <v>43625</v>
      </c>
      <c r="C60" s="1" t="n">
        <v>45749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31641-2019</t>
        </is>
      </c>
      <c r="B61" s="1" t="n">
        <v>43640</v>
      </c>
      <c r="C61" s="1" t="n">
        <v>45749</v>
      </c>
      <c r="D61" t="inlineStr">
        <is>
          <t>VÄSTMANLANDS LÄN</t>
        </is>
      </c>
      <c r="E61" t="inlineStr">
        <is>
          <t>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32448-2019</t>
        </is>
      </c>
      <c r="B62" s="1" t="n">
        <v>43644</v>
      </c>
      <c r="C62" s="1" t="n">
        <v>45749</v>
      </c>
      <c r="D62" t="inlineStr">
        <is>
          <t>VÄSTMANLANDS LÄN</t>
        </is>
      </c>
      <c r="E62" t="inlineStr">
        <is>
          <t>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33758-2019</t>
        </is>
      </c>
      <c r="B63" s="1" t="n">
        <v>43651</v>
      </c>
      <c r="C63" s="1" t="n">
        <v>45749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33782-2019</t>
        </is>
      </c>
      <c r="B64" s="1" t="n">
        <v>43651</v>
      </c>
      <c r="C64" s="1" t="n">
        <v>45749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34010-2019</t>
        </is>
      </c>
      <c r="B65" s="1" t="n">
        <v>43654</v>
      </c>
      <c r="C65" s="1" t="n">
        <v>45749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35787-2019</t>
        </is>
      </c>
      <c r="B66" s="1" t="n">
        <v>43656</v>
      </c>
      <c r="C66" s="1" t="n">
        <v>45749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35779-2019</t>
        </is>
      </c>
      <c r="B67" s="1" t="n">
        <v>43656</v>
      </c>
      <c r="C67" s="1" t="n">
        <v>45749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35939-2019</t>
        </is>
      </c>
      <c r="B68" s="1" t="n">
        <v>43665</v>
      </c>
      <c r="C68" s="1" t="n">
        <v>45749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38489-2019</t>
        </is>
      </c>
      <c r="B69" s="1" t="n">
        <v>43685</v>
      </c>
      <c r="C69" s="1" t="n">
        <v>45749</v>
      </c>
      <c r="D69" t="inlineStr">
        <is>
          <t>VÄSTMANLANDS LÄN</t>
        </is>
      </c>
      <c r="E69" t="inlineStr">
        <is>
          <t>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38487-2019</t>
        </is>
      </c>
      <c r="B70" s="1" t="n">
        <v>43685</v>
      </c>
      <c r="C70" s="1" t="n">
        <v>45749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39803-2019</t>
        </is>
      </c>
      <c r="B71" s="1" t="n">
        <v>43692</v>
      </c>
      <c r="C71" s="1" t="n">
        <v>45749</v>
      </c>
      <c r="D71" t="inlineStr">
        <is>
          <t>VÄSTMANLANDS LÄN</t>
        </is>
      </c>
      <c r="E71" t="inlineStr">
        <is>
          <t>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40923-2019</t>
        </is>
      </c>
      <c r="B72" s="1" t="n">
        <v>43697</v>
      </c>
      <c r="C72" s="1" t="n">
        <v>45749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40925-2019</t>
        </is>
      </c>
      <c r="B73" s="1" t="n">
        <v>43697</v>
      </c>
      <c r="C73" s="1" t="n">
        <v>45749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41568-2019</t>
        </is>
      </c>
      <c r="B74" s="1" t="n">
        <v>43699</v>
      </c>
      <c r="C74" s="1" t="n">
        <v>45749</v>
      </c>
      <c r="D74" t="inlineStr">
        <is>
          <t>VÄSTMANLANDS LÄN</t>
        </is>
      </c>
      <c r="E74" t="inlineStr">
        <is>
          <t>KÖPING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42438-2019</t>
        </is>
      </c>
      <c r="B75" s="1" t="n">
        <v>43704</v>
      </c>
      <c r="C75" s="1" t="n">
        <v>45749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42437-2019</t>
        </is>
      </c>
      <c r="B76" s="1" t="n">
        <v>43704</v>
      </c>
      <c r="C76" s="1" t="n">
        <v>45749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42480-2019</t>
        </is>
      </c>
      <c r="B77" s="1" t="n">
        <v>43704</v>
      </c>
      <c r="C77" s="1" t="n">
        <v>45749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46303-2019</t>
        </is>
      </c>
      <c r="B78" s="1" t="n">
        <v>43718</v>
      </c>
      <c r="C78" s="1" t="n">
        <v>45749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46306-2019</t>
        </is>
      </c>
      <c r="B79" s="1" t="n">
        <v>43718</v>
      </c>
      <c r="C79" s="1" t="n">
        <v>45749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49968-2019</t>
        </is>
      </c>
      <c r="B80" s="1" t="n">
        <v>43733</v>
      </c>
      <c r="C80" s="1" t="n">
        <v>45749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49821-2019</t>
        </is>
      </c>
      <c r="B81" s="1" t="n">
        <v>43733</v>
      </c>
      <c r="C81" s="1" t="n">
        <v>45749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52788-2019</t>
        </is>
      </c>
      <c r="B82" s="1" t="n">
        <v>43739</v>
      </c>
      <c r="C82" s="1" t="n">
        <v>45749</v>
      </c>
      <c r="D82" t="inlineStr">
        <is>
          <t>VÄSTMANLANDS LÄN</t>
        </is>
      </c>
      <c r="E82" t="inlineStr">
        <is>
          <t>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51647-2019</t>
        </is>
      </c>
      <c r="B83" s="1" t="n">
        <v>43740</v>
      </c>
      <c r="C83" s="1" t="n">
        <v>45749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51769-2019</t>
        </is>
      </c>
      <c r="B84" s="1" t="n">
        <v>43741</v>
      </c>
      <c r="C84" s="1" t="n">
        <v>45749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51844-2019</t>
        </is>
      </c>
      <c r="B85" s="1" t="n">
        <v>43741</v>
      </c>
      <c r="C85" s="1" t="n">
        <v>45749</v>
      </c>
      <c r="D85" t="inlineStr">
        <is>
          <t>VÄSTMANLANDS LÄN</t>
        </is>
      </c>
      <c r="E85" t="inlineStr">
        <is>
          <t>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55400-2019</t>
        </is>
      </c>
      <c r="B86" s="1" t="n">
        <v>43758</v>
      </c>
      <c r="C86" s="1" t="n">
        <v>45749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55659-2019</t>
        </is>
      </c>
      <c r="B87" s="1" t="n">
        <v>43760</v>
      </c>
      <c r="C87" s="1" t="n">
        <v>45749</v>
      </c>
      <c r="D87" t="inlineStr">
        <is>
          <t>VÄSTMANLANDS LÄN</t>
        </is>
      </c>
      <c r="E87" t="inlineStr">
        <is>
          <t>KÖPING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56012-2019</t>
        </is>
      </c>
      <c r="B88" s="1" t="n">
        <v>43760</v>
      </c>
      <c r="C88" s="1" t="n">
        <v>45749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56152-2019</t>
        </is>
      </c>
      <c r="B89" s="1" t="n">
        <v>43761</v>
      </c>
      <c r="C89" s="1" t="n">
        <v>45749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55837-2019</t>
        </is>
      </c>
      <c r="B90" s="1" t="n">
        <v>43761</v>
      </c>
      <c r="C90" s="1" t="n">
        <v>45749</v>
      </c>
      <c r="D90" t="inlineStr">
        <is>
          <t>VÄSTMANLANDS LÄN</t>
        </is>
      </c>
      <c r="E90" t="inlineStr">
        <is>
          <t>KÖPING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56156-2019</t>
        </is>
      </c>
      <c r="B91" s="1" t="n">
        <v>43761</v>
      </c>
      <c r="C91" s="1" t="n">
        <v>45749</v>
      </c>
      <c r="D91" t="inlineStr">
        <is>
          <t>VÄSTMANLANDS LÄN</t>
        </is>
      </c>
      <c r="E91" t="inlineStr">
        <is>
          <t>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56618-2019</t>
        </is>
      </c>
      <c r="B92" s="1" t="n">
        <v>43763</v>
      </c>
      <c r="C92" s="1" t="n">
        <v>45749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56616-2019</t>
        </is>
      </c>
      <c r="B93" s="1" t="n">
        <v>43763</v>
      </c>
      <c r="C93" s="1" t="n">
        <v>45749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56607-2019</t>
        </is>
      </c>
      <c r="B94" s="1" t="n">
        <v>43763</v>
      </c>
      <c r="C94" s="1" t="n">
        <v>45749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57409-2019</t>
        </is>
      </c>
      <c r="B95" s="1" t="n">
        <v>43767</v>
      </c>
      <c r="C95" s="1" t="n">
        <v>45749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57406-2019</t>
        </is>
      </c>
      <c r="B96" s="1" t="n">
        <v>43767</v>
      </c>
      <c r="C96" s="1" t="n">
        <v>45749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59467-2019</t>
        </is>
      </c>
      <c r="B97" s="1" t="n">
        <v>43775</v>
      </c>
      <c r="C97" s="1" t="n">
        <v>45749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61016-2019</t>
        </is>
      </c>
      <c r="B98" s="1" t="n">
        <v>43782</v>
      </c>
      <c r="C98" s="1" t="n">
        <v>45749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61081-2019</t>
        </is>
      </c>
      <c r="B99" s="1" t="n">
        <v>43782</v>
      </c>
      <c r="C99" s="1" t="n">
        <v>45749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61762-2019</t>
        </is>
      </c>
      <c r="B100" s="1" t="n">
        <v>43784</v>
      </c>
      <c r="C100" s="1" t="n">
        <v>45749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62912-2019</t>
        </is>
      </c>
      <c r="B101" s="1" t="n">
        <v>43784</v>
      </c>
      <c r="C101" s="1" t="n">
        <v>45749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61760-2019</t>
        </is>
      </c>
      <c r="B102" s="1" t="n">
        <v>43784</v>
      </c>
      <c r="C102" s="1" t="n">
        <v>45749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62020-2019</t>
        </is>
      </c>
      <c r="B103" s="1" t="n">
        <v>43787</v>
      </c>
      <c r="C103" s="1" t="n">
        <v>45749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62410-2019</t>
        </is>
      </c>
      <c r="B104" s="1" t="n">
        <v>43788</v>
      </c>
      <c r="C104" s="1" t="n">
        <v>45749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64223-2019</t>
        </is>
      </c>
      <c r="B105" s="1" t="n">
        <v>43797</v>
      </c>
      <c r="C105" s="1" t="n">
        <v>45749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66576-2019</t>
        </is>
      </c>
      <c r="B106" s="1" t="n">
        <v>43803</v>
      </c>
      <c r="C106" s="1" t="n">
        <v>45749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66476-2019</t>
        </is>
      </c>
      <c r="B107" s="1" t="n">
        <v>43809</v>
      </c>
      <c r="C107" s="1" t="n">
        <v>45749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66934-2019</t>
        </is>
      </c>
      <c r="B108" s="1" t="n">
        <v>43810</v>
      </c>
      <c r="C108" s="1" t="n">
        <v>45749</v>
      </c>
      <c r="D108" t="inlineStr">
        <is>
          <t>VÄSTMANLANDS LÄN</t>
        </is>
      </c>
      <c r="E108" t="inlineStr">
        <is>
          <t>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66952-2019</t>
        </is>
      </c>
      <c r="B109" s="1" t="n">
        <v>43810</v>
      </c>
      <c r="C109" s="1" t="n">
        <v>45749</v>
      </c>
      <c r="D109" t="inlineStr">
        <is>
          <t>VÄSTMANLANDS LÄN</t>
        </is>
      </c>
      <c r="E109" t="inlineStr">
        <is>
          <t>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67061-2019</t>
        </is>
      </c>
      <c r="B110" s="1" t="n">
        <v>43811</v>
      </c>
      <c r="C110" s="1" t="n">
        <v>45749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549-2020</t>
        </is>
      </c>
      <c r="B111" s="1" t="n">
        <v>43838</v>
      </c>
      <c r="C111" s="1" t="n">
        <v>45749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2323-2020</t>
        </is>
      </c>
      <c r="B112" s="1" t="n">
        <v>43840</v>
      </c>
      <c r="C112" s="1" t="n">
        <v>45749</v>
      </c>
      <c r="D112" t="inlineStr">
        <is>
          <t>VÄSTMANLANDS LÄN</t>
        </is>
      </c>
      <c r="E112" t="inlineStr">
        <is>
          <t>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5693-2020</t>
        </is>
      </c>
      <c r="B113" s="1" t="n">
        <v>43861</v>
      </c>
      <c r="C113" s="1" t="n">
        <v>45749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7294-2020</t>
        </is>
      </c>
      <c r="B114" s="1" t="n">
        <v>43871</v>
      </c>
      <c r="C114" s="1" t="n">
        <v>45749</v>
      </c>
      <c r="D114" t="inlineStr">
        <is>
          <t>VÄSTMANLANDS LÄN</t>
        </is>
      </c>
      <c r="E114" t="inlineStr">
        <is>
          <t>KÖPING</t>
        </is>
      </c>
      <c r="F114" t="inlineStr">
        <is>
          <t>Allmännings- och besparingsskogar</t>
        </is>
      </c>
      <c r="G114" t="n">
        <v>31.2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9706-2020</t>
        </is>
      </c>
      <c r="B115" s="1" t="n">
        <v>43881</v>
      </c>
      <c r="C115" s="1" t="n">
        <v>45749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10472-2020</t>
        </is>
      </c>
      <c r="B116" s="1" t="n">
        <v>43886</v>
      </c>
      <c r="C116" s="1" t="n">
        <v>45749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11452-2020</t>
        </is>
      </c>
      <c r="B117" s="1" t="n">
        <v>43893</v>
      </c>
      <c r="C117" s="1" t="n">
        <v>45749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13158-2020</t>
        </is>
      </c>
      <c r="B118" s="1" t="n">
        <v>43901</v>
      </c>
      <c r="C118" s="1" t="n">
        <v>45749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14295-2020</t>
        </is>
      </c>
      <c r="B119" s="1" t="n">
        <v>43907</v>
      </c>
      <c r="C119" s="1" t="n">
        <v>45749</v>
      </c>
      <c r="D119" t="inlineStr">
        <is>
          <t>VÄSTMANLANDS LÄN</t>
        </is>
      </c>
      <c r="E119" t="inlineStr">
        <is>
          <t>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14403-2020</t>
        </is>
      </c>
      <c r="B120" s="1" t="n">
        <v>43908</v>
      </c>
      <c r="C120" s="1" t="n">
        <v>45749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14898-2020</t>
        </is>
      </c>
      <c r="B121" s="1" t="n">
        <v>43910</v>
      </c>
      <c r="C121" s="1" t="n">
        <v>45749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16989-2020</t>
        </is>
      </c>
      <c r="B122" s="1" t="n">
        <v>43921</v>
      </c>
      <c r="C122" s="1" t="n">
        <v>45749</v>
      </c>
      <c r="D122" t="inlineStr">
        <is>
          <t>VÄSTMANLANDS LÄN</t>
        </is>
      </c>
      <c r="E122" t="inlineStr">
        <is>
          <t>KÖPING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16912-2020</t>
        </is>
      </c>
      <c r="B123" s="1" t="n">
        <v>43921</v>
      </c>
      <c r="C123" s="1" t="n">
        <v>45749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20740-2020</t>
        </is>
      </c>
      <c r="B124" s="1" t="n">
        <v>43949</v>
      </c>
      <c r="C124" s="1" t="n">
        <v>45749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21691-2020</t>
        </is>
      </c>
      <c r="B125" s="1" t="n">
        <v>43957</v>
      </c>
      <c r="C125" s="1" t="n">
        <v>45749</v>
      </c>
      <c r="D125" t="inlineStr">
        <is>
          <t>VÄSTMANLANDS LÄN</t>
        </is>
      </c>
      <c r="E125" t="inlineStr">
        <is>
          <t>KÖPING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22523-2020</t>
        </is>
      </c>
      <c r="B126" s="1" t="n">
        <v>43963</v>
      </c>
      <c r="C126" s="1" t="n">
        <v>45749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23780-2020</t>
        </is>
      </c>
      <c r="B127" s="1" t="n">
        <v>43970</v>
      </c>
      <c r="C127" s="1" t="n">
        <v>45749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24271-2020</t>
        </is>
      </c>
      <c r="B128" s="1" t="n">
        <v>43976</v>
      </c>
      <c r="C128" s="1" t="n">
        <v>45749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24309-2020</t>
        </is>
      </c>
      <c r="B129" s="1" t="n">
        <v>43976</v>
      </c>
      <c r="C129" s="1" t="n">
        <v>45749</v>
      </c>
      <c r="D129" t="inlineStr">
        <is>
          <t>VÄSTMANLANDS LÄN</t>
        </is>
      </c>
      <c r="E129" t="inlineStr">
        <is>
          <t>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25480-2020</t>
        </is>
      </c>
      <c r="B130" s="1" t="n">
        <v>43983</v>
      </c>
      <c r="C130" s="1" t="n">
        <v>45749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26013-2020</t>
        </is>
      </c>
      <c r="B131" s="1" t="n">
        <v>43985</v>
      </c>
      <c r="C131" s="1" t="n">
        <v>45749</v>
      </c>
      <c r="D131" t="inlineStr">
        <is>
          <t>VÄSTMANLANDS LÄN</t>
        </is>
      </c>
      <c r="E131" t="inlineStr">
        <is>
          <t>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26343-2020</t>
        </is>
      </c>
      <c r="B132" s="1" t="n">
        <v>43986</v>
      </c>
      <c r="C132" s="1" t="n">
        <v>45749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26743-2020</t>
        </is>
      </c>
      <c r="B133" s="1" t="n">
        <v>43990</v>
      </c>
      <c r="C133" s="1" t="n">
        <v>45749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26754-2020</t>
        </is>
      </c>
      <c r="B134" s="1" t="n">
        <v>43990</v>
      </c>
      <c r="C134" s="1" t="n">
        <v>45749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26771-2020</t>
        </is>
      </c>
      <c r="B135" s="1" t="n">
        <v>43990</v>
      </c>
      <c r="C135" s="1" t="n">
        <v>45749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26749-2020</t>
        </is>
      </c>
      <c r="B136" s="1" t="n">
        <v>43990</v>
      </c>
      <c r="C136" s="1" t="n">
        <v>45749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26759-2020</t>
        </is>
      </c>
      <c r="B137" s="1" t="n">
        <v>43990</v>
      </c>
      <c r="C137" s="1" t="n">
        <v>45749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26765-2020</t>
        </is>
      </c>
      <c r="B138" s="1" t="n">
        <v>43990</v>
      </c>
      <c r="C138" s="1" t="n">
        <v>45749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26740-2020</t>
        </is>
      </c>
      <c r="B139" s="1" t="n">
        <v>43990</v>
      </c>
      <c r="C139" s="1" t="n">
        <v>45749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26769-2020</t>
        </is>
      </c>
      <c r="B140" s="1" t="n">
        <v>43990</v>
      </c>
      <c r="C140" s="1" t="n">
        <v>45749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26782-2020</t>
        </is>
      </c>
      <c r="B141" s="1" t="n">
        <v>43990</v>
      </c>
      <c r="C141" s="1" t="n">
        <v>45749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28555-2020</t>
        </is>
      </c>
      <c r="B142" s="1" t="n">
        <v>43999</v>
      </c>
      <c r="C142" s="1" t="n">
        <v>45749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30928-2020</t>
        </is>
      </c>
      <c r="B143" s="1" t="n">
        <v>44011</v>
      </c>
      <c r="C143" s="1" t="n">
        <v>45749</v>
      </c>
      <c r="D143" t="inlineStr">
        <is>
          <t>VÄSTMANLANDS LÄN</t>
        </is>
      </c>
      <c r="E143" t="inlineStr">
        <is>
          <t>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30985-2020</t>
        </is>
      </c>
      <c r="B144" s="1" t="n">
        <v>44011</v>
      </c>
      <c r="C144" s="1" t="n">
        <v>45749</v>
      </c>
      <c r="D144" t="inlineStr">
        <is>
          <t>VÄSTMANLANDS LÄN</t>
        </is>
      </c>
      <c r="E144" t="inlineStr">
        <is>
          <t>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32265-2020</t>
        </is>
      </c>
      <c r="B145" s="1" t="n">
        <v>44015</v>
      </c>
      <c r="C145" s="1" t="n">
        <v>45749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32605-2020</t>
        </is>
      </c>
      <c r="B146" s="1" t="n">
        <v>44019</v>
      </c>
      <c r="C146" s="1" t="n">
        <v>45749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33417-2020</t>
        </is>
      </c>
      <c r="B147" s="1" t="n">
        <v>44022</v>
      </c>
      <c r="C147" s="1" t="n">
        <v>45749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33865-2020</t>
        </is>
      </c>
      <c r="B148" s="1" t="n">
        <v>44027</v>
      </c>
      <c r="C148" s="1" t="n">
        <v>45749</v>
      </c>
      <c r="D148" t="inlineStr">
        <is>
          <t>VÄSTMANLANDS LÄN</t>
        </is>
      </c>
      <c r="E148" t="inlineStr">
        <is>
          <t>KÖPING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33916-2020</t>
        </is>
      </c>
      <c r="B149" s="1" t="n">
        <v>44027</v>
      </c>
      <c r="C149" s="1" t="n">
        <v>45749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33919-2020</t>
        </is>
      </c>
      <c r="B150" s="1" t="n">
        <v>44027</v>
      </c>
      <c r="C150" s="1" t="n">
        <v>45749</v>
      </c>
      <c r="D150" t="inlineStr">
        <is>
          <t>VÄSTMANLANDS LÄN</t>
        </is>
      </c>
      <c r="E150" t="inlineStr">
        <is>
          <t>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34065-2020</t>
        </is>
      </c>
      <c r="B151" s="1" t="n">
        <v>44028</v>
      </c>
      <c r="C151" s="1" t="n">
        <v>45749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34011-2020</t>
        </is>
      </c>
      <c r="B152" s="1" t="n">
        <v>44028</v>
      </c>
      <c r="C152" s="1" t="n">
        <v>45749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34864-2020</t>
        </is>
      </c>
      <c r="B153" s="1" t="n">
        <v>44036</v>
      </c>
      <c r="C153" s="1" t="n">
        <v>45749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35532-2020</t>
        </is>
      </c>
      <c r="B154" s="1" t="n">
        <v>44043</v>
      </c>
      <c r="C154" s="1" t="n">
        <v>45749</v>
      </c>
      <c r="D154" t="inlineStr">
        <is>
          <t>VÄSTMANLANDS LÄN</t>
        </is>
      </c>
      <c r="E154" t="inlineStr">
        <is>
          <t>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37467-2020</t>
        </is>
      </c>
      <c r="B155" s="1" t="n">
        <v>44055</v>
      </c>
      <c r="C155" s="1" t="n">
        <v>45749</v>
      </c>
      <c r="D155" t="inlineStr">
        <is>
          <t>VÄSTMANLANDS LÄN</t>
        </is>
      </c>
      <c r="E155" t="inlineStr">
        <is>
          <t>KÖPING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39936-2020</t>
        </is>
      </c>
      <c r="B156" s="1" t="n">
        <v>44067</v>
      </c>
      <c r="C156" s="1" t="n">
        <v>45749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39982-2020</t>
        </is>
      </c>
      <c r="B157" s="1" t="n">
        <v>44067</v>
      </c>
      <c r="C157" s="1" t="n">
        <v>45749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40486-2020</t>
        </is>
      </c>
      <c r="B158" s="1" t="n">
        <v>44069</v>
      </c>
      <c r="C158" s="1" t="n">
        <v>45749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40547-2020</t>
        </is>
      </c>
      <c r="B159" s="1" t="n">
        <v>44069</v>
      </c>
      <c r="C159" s="1" t="n">
        <v>45749</v>
      </c>
      <c r="D159" t="inlineStr">
        <is>
          <t>VÄSTMANLANDS LÄN</t>
        </is>
      </c>
      <c r="E159" t="inlineStr">
        <is>
          <t>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40671-2020</t>
        </is>
      </c>
      <c r="B160" s="1" t="n">
        <v>44069</v>
      </c>
      <c r="C160" s="1" t="n">
        <v>45749</v>
      </c>
      <c r="D160" t="inlineStr">
        <is>
          <t>VÄSTMANLANDS LÄN</t>
        </is>
      </c>
      <c r="E160" t="inlineStr">
        <is>
          <t>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41464-2020</t>
        </is>
      </c>
      <c r="B161" s="1" t="n">
        <v>44069</v>
      </c>
      <c r="C161" s="1" t="n">
        <v>45749</v>
      </c>
      <c r="D161" t="inlineStr">
        <is>
          <t>VÄSTMANLANDS LÄN</t>
        </is>
      </c>
      <c r="E161" t="inlineStr">
        <is>
          <t>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41568-2020</t>
        </is>
      </c>
      <c r="B162" s="1" t="n">
        <v>44069</v>
      </c>
      <c r="C162" s="1" t="n">
        <v>45749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41074-2020</t>
        </is>
      </c>
      <c r="B163" s="1" t="n">
        <v>44071</v>
      </c>
      <c r="C163" s="1" t="n">
        <v>45749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42309-2020</t>
        </is>
      </c>
      <c r="B164" s="1" t="n">
        <v>44076</v>
      </c>
      <c r="C164" s="1" t="n">
        <v>45749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43244-2020</t>
        </is>
      </c>
      <c r="B165" s="1" t="n">
        <v>44081</v>
      </c>
      <c r="C165" s="1" t="n">
        <v>45749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44969-2020</t>
        </is>
      </c>
      <c r="B166" s="1" t="n">
        <v>44088</v>
      </c>
      <c r="C166" s="1" t="n">
        <v>45749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47048-2020</t>
        </is>
      </c>
      <c r="B167" s="1" t="n">
        <v>44096</v>
      </c>
      <c r="C167" s="1" t="n">
        <v>45749</v>
      </c>
      <c r="D167" t="inlineStr">
        <is>
          <t>VÄSTMANLANDS LÄN</t>
        </is>
      </c>
      <c r="E167" t="inlineStr">
        <is>
          <t>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47944-2020</t>
        </is>
      </c>
      <c r="B168" s="1" t="n">
        <v>44099</v>
      </c>
      <c r="C168" s="1" t="n">
        <v>45749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50357-2020</t>
        </is>
      </c>
      <c r="B169" s="1" t="n">
        <v>44110</v>
      </c>
      <c r="C169" s="1" t="n">
        <v>45749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50360-2020</t>
        </is>
      </c>
      <c r="B170" s="1" t="n">
        <v>44110</v>
      </c>
      <c r="C170" s="1" t="n">
        <v>45749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51349-2020</t>
        </is>
      </c>
      <c r="B171" s="1" t="n">
        <v>44112</v>
      </c>
      <c r="C171" s="1" t="n">
        <v>45749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51350-2020</t>
        </is>
      </c>
      <c r="B172" s="1" t="n">
        <v>44112</v>
      </c>
      <c r="C172" s="1" t="n">
        <v>45749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51607-2020</t>
        </is>
      </c>
      <c r="B173" s="1" t="n">
        <v>44113</v>
      </c>
      <c r="C173" s="1" t="n">
        <v>45749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52289-2020</t>
        </is>
      </c>
      <c r="B174" s="1" t="n">
        <v>44117</v>
      </c>
      <c r="C174" s="1" t="n">
        <v>45749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53306-2020</t>
        </is>
      </c>
      <c r="B175" s="1" t="n">
        <v>44123</v>
      </c>
      <c r="C175" s="1" t="n">
        <v>45749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54117-2020</t>
        </is>
      </c>
      <c r="B176" s="1" t="n">
        <v>44123</v>
      </c>
      <c r="C176" s="1" t="n">
        <v>45749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54276-2020</t>
        </is>
      </c>
      <c r="B177" s="1" t="n">
        <v>44126</v>
      </c>
      <c r="C177" s="1" t="n">
        <v>45749</v>
      </c>
      <c r="D177" t="inlineStr">
        <is>
          <t>VÄSTMANLANDS LÄN</t>
        </is>
      </c>
      <c r="E177" t="inlineStr">
        <is>
          <t>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54769-2020</t>
        </is>
      </c>
      <c r="B178" s="1" t="n">
        <v>44127</v>
      </c>
      <c r="C178" s="1" t="n">
        <v>45749</v>
      </c>
      <c r="D178" t="inlineStr">
        <is>
          <t>VÄSTMANLANDS LÄN</t>
        </is>
      </c>
      <c r="E178" t="inlineStr">
        <is>
          <t>KÖPING</t>
        </is>
      </c>
      <c r="F178" t="inlineStr">
        <is>
          <t>Allmännings- och besparingsskogar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57629-2020</t>
        </is>
      </c>
      <c r="B179" s="1" t="n">
        <v>44140</v>
      </c>
      <c r="C179" s="1" t="n">
        <v>45749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57979-2020</t>
        </is>
      </c>
      <c r="B180" s="1" t="n">
        <v>44143</v>
      </c>
      <c r="C180" s="1" t="n">
        <v>45749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61201-2020</t>
        </is>
      </c>
      <c r="B181" s="1" t="n">
        <v>44155</v>
      </c>
      <c r="C181" s="1" t="n">
        <v>45749</v>
      </c>
      <c r="D181" t="inlineStr">
        <is>
          <t>VÄSTMANLANDS LÄN</t>
        </is>
      </c>
      <c r="E181" t="inlineStr">
        <is>
          <t>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61202-2020</t>
        </is>
      </c>
      <c r="B182" s="1" t="n">
        <v>44155</v>
      </c>
      <c r="C182" s="1" t="n">
        <v>45749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64317-2020</t>
        </is>
      </c>
      <c r="B183" s="1" t="n">
        <v>44167</v>
      </c>
      <c r="C183" s="1" t="n">
        <v>45749</v>
      </c>
      <c r="D183" t="inlineStr">
        <is>
          <t>VÄSTMANLANDS LÄN</t>
        </is>
      </c>
      <c r="E183" t="inlineStr">
        <is>
          <t>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65193-2020</t>
        </is>
      </c>
      <c r="B184" s="1" t="n">
        <v>44172</v>
      </c>
      <c r="C184" s="1" t="n">
        <v>45749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67005-2020</t>
        </is>
      </c>
      <c r="B185" s="1" t="n">
        <v>44180</v>
      </c>
      <c r="C185" s="1" t="n">
        <v>45749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68513-2020</t>
        </is>
      </c>
      <c r="B186" s="1" t="n">
        <v>44186</v>
      </c>
      <c r="C186" s="1" t="n">
        <v>45749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68531-2020</t>
        </is>
      </c>
      <c r="B187" s="1" t="n">
        <v>44186</v>
      </c>
      <c r="C187" s="1" t="n">
        <v>45749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263-2021</t>
        </is>
      </c>
      <c r="B188" s="1" t="n">
        <v>44200</v>
      </c>
      <c r="C188" s="1" t="n">
        <v>45749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4508-2021</t>
        </is>
      </c>
      <c r="B189" s="1" t="n">
        <v>44224</v>
      </c>
      <c r="C189" s="1" t="n">
        <v>45749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6834-2021</t>
        </is>
      </c>
      <c r="B190" s="1" t="n">
        <v>44236</v>
      </c>
      <c r="C190" s="1" t="n">
        <v>45749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6830-2021</t>
        </is>
      </c>
      <c r="B191" s="1" t="n">
        <v>44236</v>
      </c>
      <c r="C191" s="1" t="n">
        <v>45749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6913-2021</t>
        </is>
      </c>
      <c r="B192" s="1" t="n">
        <v>44237</v>
      </c>
      <c r="C192" s="1" t="n">
        <v>45749</v>
      </c>
      <c r="D192" t="inlineStr">
        <is>
          <t>VÄSTMANLANDS LÄN</t>
        </is>
      </c>
      <c r="E192" t="inlineStr">
        <is>
          <t>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8731-2021</t>
        </is>
      </c>
      <c r="B193" s="1" t="n">
        <v>44246</v>
      </c>
      <c r="C193" s="1" t="n">
        <v>45749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8681-2021</t>
        </is>
      </c>
      <c r="B194" s="1" t="n">
        <v>44246</v>
      </c>
      <c r="C194" s="1" t="n">
        <v>45749</v>
      </c>
      <c r="D194" t="inlineStr">
        <is>
          <t>VÄSTMANLANDS LÄN</t>
        </is>
      </c>
      <c r="E194" t="inlineStr">
        <is>
          <t>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10435-2021</t>
        </is>
      </c>
      <c r="B195" s="1" t="n">
        <v>44257</v>
      </c>
      <c r="C195" s="1" t="n">
        <v>45749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10431-2021</t>
        </is>
      </c>
      <c r="B196" s="1" t="n">
        <v>44257</v>
      </c>
      <c r="C196" s="1" t="n">
        <v>45749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10972-2021</t>
        </is>
      </c>
      <c r="B197" s="1" t="n">
        <v>44260</v>
      </c>
      <c r="C197" s="1" t="n">
        <v>45749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11890-2021</t>
        </is>
      </c>
      <c r="B198" s="1" t="n">
        <v>44265</v>
      </c>
      <c r="C198" s="1" t="n">
        <v>45749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11922-2021</t>
        </is>
      </c>
      <c r="B199" s="1" t="n">
        <v>44266</v>
      </c>
      <c r="C199" s="1" t="n">
        <v>45749</v>
      </c>
      <c r="D199" t="inlineStr">
        <is>
          <t>VÄSTMANLANDS LÄN</t>
        </is>
      </c>
      <c r="E199" t="inlineStr">
        <is>
          <t>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12357-2021</t>
        </is>
      </c>
      <c r="B200" s="1" t="n">
        <v>44267</v>
      </c>
      <c r="C200" s="1" t="n">
        <v>45749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12655-2021</t>
        </is>
      </c>
      <c r="B201" s="1" t="n">
        <v>44267</v>
      </c>
      <c r="C201" s="1" t="n">
        <v>45749</v>
      </c>
      <c r="D201" t="inlineStr">
        <is>
          <t>VÄSTMANLANDS LÄN</t>
        </is>
      </c>
      <c r="E201" t="inlineStr">
        <is>
          <t>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12641-2021</t>
        </is>
      </c>
      <c r="B202" s="1" t="n">
        <v>44267</v>
      </c>
      <c r="C202" s="1" t="n">
        <v>45749</v>
      </c>
      <c r="D202" t="inlineStr">
        <is>
          <t>VÄSTMANLANDS LÄN</t>
        </is>
      </c>
      <c r="E202" t="inlineStr">
        <is>
          <t>KÖPING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14314-2021</t>
        </is>
      </c>
      <c r="B203" s="1" t="n">
        <v>44278</v>
      </c>
      <c r="C203" s="1" t="n">
        <v>45749</v>
      </c>
      <c r="D203" t="inlineStr">
        <is>
          <t>VÄSTMANLANDS LÄN</t>
        </is>
      </c>
      <c r="E203" t="inlineStr">
        <is>
          <t>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14313-2021</t>
        </is>
      </c>
      <c r="B204" s="1" t="n">
        <v>44278</v>
      </c>
      <c r="C204" s="1" t="n">
        <v>45749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15575-2021</t>
        </is>
      </c>
      <c r="B205" s="1" t="n">
        <v>44285</v>
      </c>
      <c r="C205" s="1" t="n">
        <v>45749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15847-2021</t>
        </is>
      </c>
      <c r="B206" s="1" t="n">
        <v>44286</v>
      </c>
      <c r="C206" s="1" t="n">
        <v>45749</v>
      </c>
      <c r="D206" t="inlineStr">
        <is>
          <t>VÄSTMANLANDS LÄN</t>
        </is>
      </c>
      <c r="E206" t="inlineStr">
        <is>
          <t>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20871-2021</t>
        </is>
      </c>
      <c r="B207" s="1" t="n">
        <v>44316</v>
      </c>
      <c r="C207" s="1" t="n">
        <v>45749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21435-2021</t>
        </is>
      </c>
      <c r="B208" s="1" t="n">
        <v>44321</v>
      </c>
      <c r="C208" s="1" t="n">
        <v>45749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21595-2021</t>
        </is>
      </c>
      <c r="B209" s="1" t="n">
        <v>44321</v>
      </c>
      <c r="C209" s="1" t="n">
        <v>45749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23592-2021</t>
        </is>
      </c>
      <c r="B210" s="1" t="n">
        <v>44333</v>
      </c>
      <c r="C210" s="1" t="n">
        <v>45749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23596-2021</t>
        </is>
      </c>
      <c r="B211" s="1" t="n">
        <v>44333</v>
      </c>
      <c r="C211" s="1" t="n">
        <v>45749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27212-2021</t>
        </is>
      </c>
      <c r="B212" s="1" t="n">
        <v>44350</v>
      </c>
      <c r="C212" s="1" t="n">
        <v>45749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27065-2021</t>
        </is>
      </c>
      <c r="B213" s="1" t="n">
        <v>44350</v>
      </c>
      <c r="C213" s="1" t="n">
        <v>45749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27209-2021</t>
        </is>
      </c>
      <c r="B214" s="1" t="n">
        <v>44350</v>
      </c>
      <c r="C214" s="1" t="n">
        <v>45749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27402-2021</t>
        </is>
      </c>
      <c r="B215" s="1" t="n">
        <v>44351</v>
      </c>
      <c r="C215" s="1" t="n">
        <v>45749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27604-2021</t>
        </is>
      </c>
      <c r="B216" s="1" t="n">
        <v>44351</v>
      </c>
      <c r="C216" s="1" t="n">
        <v>45749</v>
      </c>
      <c r="D216" t="inlineStr">
        <is>
          <t>VÄSTMANLANDS LÄN</t>
        </is>
      </c>
      <c r="E216" t="inlineStr">
        <is>
          <t>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27911-2021</t>
        </is>
      </c>
      <c r="B217" s="1" t="n">
        <v>44354</v>
      </c>
      <c r="C217" s="1" t="n">
        <v>45749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28232-2021</t>
        </is>
      </c>
      <c r="B218" s="1" t="n">
        <v>44355</v>
      </c>
      <c r="C218" s="1" t="n">
        <v>45749</v>
      </c>
      <c r="D218" t="inlineStr">
        <is>
          <t>VÄSTMANLANDS LÄN</t>
        </is>
      </c>
      <c r="E218" t="inlineStr">
        <is>
          <t>KÖPING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29894-2021</t>
        </is>
      </c>
      <c r="B219" s="1" t="n">
        <v>44362</v>
      </c>
      <c r="C219" s="1" t="n">
        <v>45749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30087-2021</t>
        </is>
      </c>
      <c r="B220" s="1" t="n">
        <v>44363</v>
      </c>
      <c r="C220" s="1" t="n">
        <v>45749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30482-2021</t>
        </is>
      </c>
      <c r="B221" s="1" t="n">
        <v>44364</v>
      </c>
      <c r="C221" s="1" t="n">
        <v>45749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31918-2021</t>
        </is>
      </c>
      <c r="B222" s="1" t="n">
        <v>44370</v>
      </c>
      <c r="C222" s="1" t="n">
        <v>45749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34215-2021</t>
        </is>
      </c>
      <c r="B223" s="1" t="n">
        <v>44379</v>
      </c>
      <c r="C223" s="1" t="n">
        <v>45749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36866-2021</t>
        </is>
      </c>
      <c r="B224" s="1" t="n">
        <v>44393</v>
      </c>
      <c r="C224" s="1" t="n">
        <v>45749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42621-2021</t>
        </is>
      </c>
      <c r="B225" s="1" t="n">
        <v>44428</v>
      </c>
      <c r="C225" s="1" t="n">
        <v>45749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42650-2021</t>
        </is>
      </c>
      <c r="B226" s="1" t="n">
        <v>44428</v>
      </c>
      <c r="C226" s="1" t="n">
        <v>45749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42645-2021</t>
        </is>
      </c>
      <c r="B227" s="1" t="n">
        <v>44428</v>
      </c>
      <c r="C227" s="1" t="n">
        <v>45749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43973-2021</t>
        </is>
      </c>
      <c r="B228" s="1" t="n">
        <v>44434</v>
      </c>
      <c r="C228" s="1" t="n">
        <v>45749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44749-2021</t>
        </is>
      </c>
      <c r="B229" s="1" t="n">
        <v>44438</v>
      </c>
      <c r="C229" s="1" t="n">
        <v>45749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45749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45904-2021</t>
        </is>
      </c>
      <c r="B231" s="1" t="n">
        <v>44441</v>
      </c>
      <c r="C231" s="1" t="n">
        <v>45749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45910-2021</t>
        </is>
      </c>
      <c r="B232" s="1" t="n">
        <v>44441</v>
      </c>
      <c r="C232" s="1" t="n">
        <v>45749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46343-2021</t>
        </is>
      </c>
      <c r="B233" s="1" t="n">
        <v>44442</v>
      </c>
      <c r="C233" s="1" t="n">
        <v>45749</v>
      </c>
      <c r="D233" t="inlineStr">
        <is>
          <t>VÄSTMANLANDS LÄN</t>
        </is>
      </c>
      <c r="E233" t="inlineStr">
        <is>
          <t>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46616-2021</t>
        </is>
      </c>
      <c r="B234" s="1" t="n">
        <v>44445</v>
      </c>
      <c r="C234" s="1" t="n">
        <v>45749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46661-2021</t>
        </is>
      </c>
      <c r="B235" s="1" t="n">
        <v>44445</v>
      </c>
      <c r="C235" s="1" t="n">
        <v>45749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46658-2021</t>
        </is>
      </c>
      <c r="B236" s="1" t="n">
        <v>44445</v>
      </c>
      <c r="C236" s="1" t="n">
        <v>45749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49717-2021</t>
        </is>
      </c>
      <c r="B237" s="1" t="n">
        <v>44455</v>
      </c>
      <c r="C237" s="1" t="n">
        <v>45749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51112-2021</t>
        </is>
      </c>
      <c r="B238" s="1" t="n">
        <v>44461</v>
      </c>
      <c r="C238" s="1" t="n">
        <v>45749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45749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53148-2021</t>
        </is>
      </c>
      <c r="B240" s="1" t="n">
        <v>44468</v>
      </c>
      <c r="C240" s="1" t="n">
        <v>45749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45749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54301-2021</t>
        </is>
      </c>
      <c r="B242" s="1" t="n">
        <v>44472</v>
      </c>
      <c r="C242" s="1" t="n">
        <v>45749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55835-2021</t>
        </is>
      </c>
      <c r="B243" s="1" t="n">
        <v>44476</v>
      </c>
      <c r="C243" s="1" t="n">
        <v>45749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56249-2021</t>
        </is>
      </c>
      <c r="B244" s="1" t="n">
        <v>44479</v>
      </c>
      <c r="C244" s="1" t="n">
        <v>45749</v>
      </c>
      <c r="D244" t="inlineStr">
        <is>
          <t>VÄSTMANLANDS LÄN</t>
        </is>
      </c>
      <c r="E244" t="inlineStr">
        <is>
          <t>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57769-2021</t>
        </is>
      </c>
      <c r="B245" s="1" t="n">
        <v>44484</v>
      </c>
      <c r="C245" s="1" t="n">
        <v>45749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57788-2021</t>
        </is>
      </c>
      <c r="B246" s="1" t="n">
        <v>44484</v>
      </c>
      <c r="C246" s="1" t="n">
        <v>45749</v>
      </c>
      <c r="D246" t="inlineStr">
        <is>
          <t>VÄSTMANLANDS LÄN</t>
        </is>
      </c>
      <c r="E246" t="inlineStr">
        <is>
          <t>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57789-2021</t>
        </is>
      </c>
      <c r="B247" s="1" t="n">
        <v>44484</v>
      </c>
      <c r="C247" s="1" t="n">
        <v>45749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58366-2021</t>
        </is>
      </c>
      <c r="B248" s="1" t="n">
        <v>44488</v>
      </c>
      <c r="C248" s="1" t="n">
        <v>45749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58371-2021</t>
        </is>
      </c>
      <c r="B249" s="1" t="n">
        <v>44488</v>
      </c>
      <c r="C249" s="1" t="n">
        <v>45749</v>
      </c>
      <c r="D249" t="inlineStr">
        <is>
          <t>VÄSTMANLANDS LÄN</t>
        </is>
      </c>
      <c r="E249" t="inlineStr">
        <is>
          <t>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58551-2021</t>
        </is>
      </c>
      <c r="B250" s="1" t="n">
        <v>44488</v>
      </c>
      <c r="C250" s="1" t="n">
        <v>45749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60627-2021</t>
        </is>
      </c>
      <c r="B251" s="1" t="n">
        <v>44496</v>
      </c>
      <c r="C251" s="1" t="n">
        <v>45749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61389-2021</t>
        </is>
      </c>
      <c r="B252" s="1" t="n">
        <v>44500</v>
      </c>
      <c r="C252" s="1" t="n">
        <v>45749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62150-2021</t>
        </is>
      </c>
      <c r="B253" s="1" t="n">
        <v>44502</v>
      </c>
      <c r="C253" s="1" t="n">
        <v>45749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63561-2021</t>
        </is>
      </c>
      <c r="B254" s="1" t="n">
        <v>44508</v>
      </c>
      <c r="C254" s="1" t="n">
        <v>45749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64341-2021</t>
        </is>
      </c>
      <c r="B255" s="1" t="n">
        <v>44511</v>
      </c>
      <c r="C255" s="1" t="n">
        <v>45749</v>
      </c>
      <c r="D255" t="inlineStr">
        <is>
          <t>VÄSTMANLANDS LÄN</t>
        </is>
      </c>
      <c r="E255" t="inlineStr">
        <is>
          <t>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45749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45749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65740-2021</t>
        </is>
      </c>
      <c r="B258" s="1" t="n">
        <v>44516</v>
      </c>
      <c r="C258" s="1" t="n">
        <v>45749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66997-2021</t>
        </is>
      </c>
      <c r="B259" s="1" t="n">
        <v>44522</v>
      </c>
      <c r="C259" s="1" t="n">
        <v>45749</v>
      </c>
      <c r="D259" t="inlineStr">
        <is>
          <t>VÄSTMANLANDS LÄN</t>
        </is>
      </c>
      <c r="E259" t="inlineStr">
        <is>
          <t>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67946-2021</t>
        </is>
      </c>
      <c r="B260" s="1" t="n">
        <v>44525</v>
      </c>
      <c r="C260" s="1" t="n">
        <v>45749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68714-2021</t>
        </is>
      </c>
      <c r="B261" s="1" t="n">
        <v>44529</v>
      </c>
      <c r="C261" s="1" t="n">
        <v>45749</v>
      </c>
      <c r="D261" t="inlineStr">
        <is>
          <t>VÄSTMANLANDS LÄN</t>
        </is>
      </c>
      <c r="E261" t="inlineStr">
        <is>
          <t>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45749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68954-2021</t>
        </is>
      </c>
      <c r="B263" s="1" t="n">
        <v>44530</v>
      </c>
      <c r="C263" s="1" t="n">
        <v>45749</v>
      </c>
      <c r="D263" t="inlineStr">
        <is>
          <t>VÄSTMANLANDS LÄN</t>
        </is>
      </c>
      <c r="E263" t="inlineStr">
        <is>
          <t>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69645-2021</t>
        </is>
      </c>
      <c r="B264" s="1" t="n">
        <v>44532</v>
      </c>
      <c r="C264" s="1" t="n">
        <v>45749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69656-2021</t>
        </is>
      </c>
      <c r="B265" s="1" t="n">
        <v>44532</v>
      </c>
      <c r="C265" s="1" t="n">
        <v>45749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70909-2021</t>
        </is>
      </c>
      <c r="B266" s="1" t="n">
        <v>44538</v>
      </c>
      <c r="C266" s="1" t="n">
        <v>45749</v>
      </c>
      <c r="D266" t="inlineStr">
        <is>
          <t>VÄSTMANLANDS LÄN</t>
        </is>
      </c>
      <c r="E266" t="inlineStr">
        <is>
          <t>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71717-2021</t>
        </is>
      </c>
      <c r="B267" s="1" t="n">
        <v>44539</v>
      </c>
      <c r="C267" s="1" t="n">
        <v>45749</v>
      </c>
      <c r="D267" t="inlineStr">
        <is>
          <t>VÄSTMANLANDS LÄN</t>
        </is>
      </c>
      <c r="E267" t="inlineStr">
        <is>
          <t>KÖPING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71735-2021</t>
        </is>
      </c>
      <c r="B268" s="1" t="n">
        <v>44539</v>
      </c>
      <c r="C268" s="1" t="n">
        <v>45749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72460-2021</t>
        </is>
      </c>
      <c r="B269" s="1" t="n">
        <v>44545</v>
      </c>
      <c r="C269" s="1" t="n">
        <v>45749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72463-2021</t>
        </is>
      </c>
      <c r="B270" s="1" t="n">
        <v>44545</v>
      </c>
      <c r="C270" s="1" t="n">
        <v>45749</v>
      </c>
      <c r="D270" t="inlineStr">
        <is>
          <t>VÄSTMANLANDS LÄN</t>
        </is>
      </c>
      <c r="E270" t="inlineStr">
        <is>
          <t>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73293-2021</t>
        </is>
      </c>
      <c r="B271" s="1" t="n">
        <v>44550</v>
      </c>
      <c r="C271" s="1" t="n">
        <v>45749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73569-2021</t>
        </is>
      </c>
      <c r="B272" s="1" t="n">
        <v>44552</v>
      </c>
      <c r="C272" s="1" t="n">
        <v>45749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73890-2021</t>
        </is>
      </c>
      <c r="B273" s="1" t="n">
        <v>44553</v>
      </c>
      <c r="C273" s="1" t="n">
        <v>45749</v>
      </c>
      <c r="D273" t="inlineStr">
        <is>
          <t>VÄSTMANLANDS LÄN</t>
        </is>
      </c>
      <c r="E273" t="inlineStr">
        <is>
          <t>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73888-2021</t>
        </is>
      </c>
      <c r="B274" s="1" t="n">
        <v>44553</v>
      </c>
      <c r="C274" s="1" t="n">
        <v>45749</v>
      </c>
      <c r="D274" t="inlineStr">
        <is>
          <t>VÄSTMANLANDS LÄN</t>
        </is>
      </c>
      <c r="E274" t="inlineStr">
        <is>
          <t>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74279-2021</t>
        </is>
      </c>
      <c r="B275" s="1" t="n">
        <v>44558</v>
      </c>
      <c r="C275" s="1" t="n">
        <v>45749</v>
      </c>
      <c r="D275" t="inlineStr">
        <is>
          <t>VÄSTMANLANDS LÄN</t>
        </is>
      </c>
      <c r="E275" t="inlineStr">
        <is>
          <t>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45749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2854-2022</t>
        </is>
      </c>
      <c r="B277" s="1" t="n">
        <v>44581</v>
      </c>
      <c r="C277" s="1" t="n">
        <v>45749</v>
      </c>
      <c r="D277" t="inlineStr">
        <is>
          <t>VÄSTMANLANDS LÄN</t>
        </is>
      </c>
      <c r="E277" t="inlineStr">
        <is>
          <t>KÖPING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3196-2022</t>
        </is>
      </c>
      <c r="B278" s="1" t="n">
        <v>44582</v>
      </c>
      <c r="C278" s="1" t="n">
        <v>45749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7370-2022</t>
        </is>
      </c>
      <c r="B279" s="1" t="n">
        <v>44606</v>
      </c>
      <c r="C279" s="1" t="n">
        <v>45749</v>
      </c>
      <c r="D279" t="inlineStr">
        <is>
          <t>VÄSTMANLANDS LÄN</t>
        </is>
      </c>
      <c r="E279" t="inlineStr">
        <is>
          <t>KÖPING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8687-2022</t>
        </is>
      </c>
      <c r="B280" s="1" t="n">
        <v>44613</v>
      </c>
      <c r="C280" s="1" t="n">
        <v>45749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8845-2022</t>
        </is>
      </c>
      <c r="B281" s="1" t="n">
        <v>44614</v>
      </c>
      <c r="C281" s="1" t="n">
        <v>45749</v>
      </c>
      <c r="D281" t="inlineStr">
        <is>
          <t>VÄSTMANLANDS LÄN</t>
        </is>
      </c>
      <c r="E281" t="inlineStr">
        <is>
          <t>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9260-2022</t>
        </is>
      </c>
      <c r="B282" s="1" t="n">
        <v>44614</v>
      </c>
      <c r="C282" s="1" t="n">
        <v>45749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9032-2022</t>
        </is>
      </c>
      <c r="B283" s="1" t="n">
        <v>44615</v>
      </c>
      <c r="C283" s="1" t="n">
        <v>45749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10478-2022</t>
        </is>
      </c>
      <c r="B284" s="1" t="n">
        <v>44623</v>
      </c>
      <c r="C284" s="1" t="n">
        <v>45749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10512-2022</t>
        </is>
      </c>
      <c r="B285" s="1" t="n">
        <v>44623</v>
      </c>
      <c r="C285" s="1" t="n">
        <v>45749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10761-2022</t>
        </is>
      </c>
      <c r="B286" s="1" t="n">
        <v>44627</v>
      </c>
      <c r="C286" s="1" t="n">
        <v>45749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</v>
      </c>
      <c r="C287" s="1" t="n">
        <v>45749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11044-2022</t>
        </is>
      </c>
      <c r="B288" s="1" t="n">
        <v>44628</v>
      </c>
      <c r="C288" s="1" t="n">
        <v>45749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14667-2022</t>
        </is>
      </c>
      <c r="B289" s="1" t="n">
        <v>44655</v>
      </c>
      <c r="C289" s="1" t="n">
        <v>45749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14662-2022</t>
        </is>
      </c>
      <c r="B290" s="1" t="n">
        <v>44655</v>
      </c>
      <c r="C290" s="1" t="n">
        <v>45749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14663-2022</t>
        </is>
      </c>
      <c r="B291" s="1" t="n">
        <v>44655</v>
      </c>
      <c r="C291" s="1" t="n">
        <v>45749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14664-2022</t>
        </is>
      </c>
      <c r="B292" s="1" t="n">
        <v>44655</v>
      </c>
      <c r="C292" s="1" t="n">
        <v>45749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15165-2022</t>
        </is>
      </c>
      <c r="B293" s="1" t="n">
        <v>44658</v>
      </c>
      <c r="C293" s="1" t="n">
        <v>45749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15160-2022</t>
        </is>
      </c>
      <c r="B294" s="1" t="n">
        <v>44658</v>
      </c>
      <c r="C294" s="1" t="n">
        <v>45749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45749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</v>
      </c>
      <c r="C296" s="1" t="n">
        <v>45749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15716-2022</t>
        </is>
      </c>
      <c r="B297" s="1" t="n">
        <v>44663</v>
      </c>
      <c r="C297" s="1" t="n">
        <v>45749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45749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16693-2022</t>
        </is>
      </c>
      <c r="B299" s="1" t="n">
        <v>44673</v>
      </c>
      <c r="C299" s="1" t="n">
        <v>45749</v>
      </c>
      <c r="D299" t="inlineStr">
        <is>
          <t>VÄSTMANLANDS LÄN</t>
        </is>
      </c>
      <c r="E299" t="inlineStr">
        <is>
          <t>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17398-2022</t>
        </is>
      </c>
      <c r="B300" s="1" t="n">
        <v>44678</v>
      </c>
      <c r="C300" s="1" t="n">
        <v>45749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</v>
      </c>
      <c r="C301" s="1" t="n">
        <v>45749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17810-2022</t>
        </is>
      </c>
      <c r="B302" s="1" t="n">
        <v>44683</v>
      </c>
      <c r="C302" s="1" t="n">
        <v>45749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45749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20898-2022</t>
        </is>
      </c>
      <c r="B304" s="1" t="n">
        <v>44701</v>
      </c>
      <c r="C304" s="1" t="n">
        <v>45749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22182-2022</t>
        </is>
      </c>
      <c r="B305" s="1" t="n">
        <v>44712</v>
      </c>
      <c r="C305" s="1" t="n">
        <v>45749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23624-2022</t>
        </is>
      </c>
      <c r="B306" s="1" t="n">
        <v>44721</v>
      </c>
      <c r="C306" s="1" t="n">
        <v>45749</v>
      </c>
      <c r="D306" t="inlineStr">
        <is>
          <t>VÄSTMANLANDS LÄN</t>
        </is>
      </c>
      <c r="E306" t="inlineStr">
        <is>
          <t>KÖPING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23791-2022</t>
        </is>
      </c>
      <c r="B307" s="1" t="n">
        <v>44722</v>
      </c>
      <c r="C307" s="1" t="n">
        <v>45749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23907-2022</t>
        </is>
      </c>
      <c r="B308" s="1" t="n">
        <v>44722</v>
      </c>
      <c r="C308" s="1" t="n">
        <v>45749</v>
      </c>
      <c r="D308" t="inlineStr">
        <is>
          <t>VÄSTMANLANDS LÄN</t>
        </is>
      </c>
      <c r="E308" t="inlineStr">
        <is>
          <t>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24073-2022</t>
        </is>
      </c>
      <c r="B309" s="1" t="n">
        <v>44725</v>
      </c>
      <c r="C309" s="1" t="n">
        <v>45749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24195-2022</t>
        </is>
      </c>
      <c r="B310" s="1" t="n">
        <v>44725</v>
      </c>
      <c r="C310" s="1" t="n">
        <v>45749</v>
      </c>
      <c r="D310" t="inlineStr">
        <is>
          <t>VÄSTMANLANDS LÄN</t>
        </is>
      </c>
      <c r="E310" t="inlineStr">
        <is>
          <t>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25322-2022</t>
        </is>
      </c>
      <c r="B311" s="1" t="n">
        <v>44731</v>
      </c>
      <c r="C311" s="1" t="n">
        <v>45749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25804-2022</t>
        </is>
      </c>
      <c r="B312" s="1" t="n">
        <v>44733</v>
      </c>
      <c r="C312" s="1" t="n">
        <v>45749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25944-2022</t>
        </is>
      </c>
      <c r="B313" s="1" t="n">
        <v>44734</v>
      </c>
      <c r="C313" s="1" t="n">
        <v>45749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25971-2022</t>
        </is>
      </c>
      <c r="B314" s="1" t="n">
        <v>44734</v>
      </c>
      <c r="C314" s="1" t="n">
        <v>45749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27260-2022</t>
        </is>
      </c>
      <c r="B315" s="1" t="n">
        <v>44741</v>
      </c>
      <c r="C315" s="1" t="n">
        <v>45749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45749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27381-2022</t>
        </is>
      </c>
      <c r="B317" s="1" t="n">
        <v>44742</v>
      </c>
      <c r="C317" s="1" t="n">
        <v>45749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27749-2022</t>
        </is>
      </c>
      <c r="B318" s="1" t="n">
        <v>44743</v>
      </c>
      <c r="C318" s="1" t="n">
        <v>45749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</v>
      </c>
      <c r="C319" s="1" t="n">
        <v>45749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29448-2022</t>
        </is>
      </c>
      <c r="B320" s="1" t="n">
        <v>44753</v>
      </c>
      <c r="C320" s="1" t="n">
        <v>45749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29446-2022</t>
        </is>
      </c>
      <c r="B321" s="1" t="n">
        <v>44753</v>
      </c>
      <c r="C321" s="1" t="n">
        <v>45749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29445-2022</t>
        </is>
      </c>
      <c r="B322" s="1" t="n">
        <v>44753</v>
      </c>
      <c r="C322" s="1" t="n">
        <v>45749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45749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29752-2022</t>
        </is>
      </c>
      <c r="B324" s="1" t="n">
        <v>44755</v>
      </c>
      <c r="C324" s="1" t="n">
        <v>45749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45749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</v>
      </c>
      <c r="C326" s="1" t="n">
        <v>45749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30141-2022</t>
        </is>
      </c>
      <c r="B327" s="1" t="n">
        <v>44757</v>
      </c>
      <c r="C327" s="1" t="n">
        <v>45749</v>
      </c>
      <c r="D327" t="inlineStr">
        <is>
          <t>VÄSTMANLANDS LÄN</t>
        </is>
      </c>
      <c r="E327" t="inlineStr">
        <is>
          <t>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30147-2022</t>
        </is>
      </c>
      <c r="B328" s="1" t="n">
        <v>44757</v>
      </c>
      <c r="C328" s="1" t="n">
        <v>45749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31161-2022</t>
        </is>
      </c>
      <c r="B329" s="1" t="n">
        <v>44770</v>
      </c>
      <c r="C329" s="1" t="n">
        <v>45749</v>
      </c>
      <c r="D329" t="inlineStr">
        <is>
          <t>VÄSTMANLANDS LÄN</t>
        </is>
      </c>
      <c r="E329" t="inlineStr">
        <is>
          <t>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31193-2022</t>
        </is>
      </c>
      <c r="B330" s="1" t="n">
        <v>44770</v>
      </c>
      <c r="C330" s="1" t="n">
        <v>45749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31319-2022</t>
        </is>
      </c>
      <c r="B331" s="1" t="n">
        <v>44774</v>
      </c>
      <c r="C331" s="1" t="n">
        <v>45749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33156-2022</t>
        </is>
      </c>
      <c r="B332" s="1" t="n">
        <v>44785</v>
      </c>
      <c r="C332" s="1" t="n">
        <v>45749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33433-2022</t>
        </is>
      </c>
      <c r="B333" s="1" t="n">
        <v>44788</v>
      </c>
      <c r="C333" s="1" t="n">
        <v>45749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35108-2022</t>
        </is>
      </c>
      <c r="B334" s="1" t="n">
        <v>44797</v>
      </c>
      <c r="C334" s="1" t="n">
        <v>45749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35144-2022</t>
        </is>
      </c>
      <c r="B335" s="1" t="n">
        <v>44797</v>
      </c>
      <c r="C335" s="1" t="n">
        <v>45749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36504-2022</t>
        </is>
      </c>
      <c r="B336" s="1" t="n">
        <v>44804</v>
      </c>
      <c r="C336" s="1" t="n">
        <v>45749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37447-2022</t>
        </is>
      </c>
      <c r="B337" s="1" t="n">
        <v>44809</v>
      </c>
      <c r="C337" s="1" t="n">
        <v>45749</v>
      </c>
      <c r="D337" t="inlineStr">
        <is>
          <t>VÄSTMANLANDS LÄN</t>
        </is>
      </c>
      <c r="E337" t="inlineStr">
        <is>
          <t>KÖPING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</v>
      </c>
      <c r="C338" s="1" t="n">
        <v>45749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</v>
      </c>
      <c r="C339" s="1" t="n">
        <v>45749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37751-2022</t>
        </is>
      </c>
      <c r="B340" s="1" t="n">
        <v>44810</v>
      </c>
      <c r="C340" s="1" t="n">
        <v>45749</v>
      </c>
      <c r="D340" t="inlineStr">
        <is>
          <t>VÄSTMANLANDS LÄN</t>
        </is>
      </c>
      <c r="E340" t="inlineStr">
        <is>
          <t>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</v>
      </c>
      <c r="C341" s="1" t="n">
        <v>45749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41059-2022</t>
        </is>
      </c>
      <c r="B342" s="1" t="n">
        <v>44825</v>
      </c>
      <c r="C342" s="1" t="n">
        <v>45749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41032-2022</t>
        </is>
      </c>
      <c r="B343" s="1" t="n">
        <v>44825</v>
      </c>
      <c r="C343" s="1" t="n">
        <v>45749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41052-2022</t>
        </is>
      </c>
      <c r="B344" s="1" t="n">
        <v>44825</v>
      </c>
      <c r="C344" s="1" t="n">
        <v>45749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41064-2022</t>
        </is>
      </c>
      <c r="B345" s="1" t="n">
        <v>44825</v>
      </c>
      <c r="C345" s="1" t="n">
        <v>45749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41160-2022</t>
        </is>
      </c>
      <c r="B346" s="1" t="n">
        <v>44825</v>
      </c>
      <c r="C346" s="1" t="n">
        <v>45749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41583-2022</t>
        </is>
      </c>
      <c r="B347" s="1" t="n">
        <v>44827</v>
      </c>
      <c r="C347" s="1" t="n">
        <v>45749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42491-2022</t>
        </is>
      </c>
      <c r="B348" s="1" t="n">
        <v>44831</v>
      </c>
      <c r="C348" s="1" t="n">
        <v>45749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43303-2022</t>
        </is>
      </c>
      <c r="B349" s="1" t="n">
        <v>44834</v>
      </c>
      <c r="C349" s="1" t="n">
        <v>45749</v>
      </c>
      <c r="D349" t="inlineStr">
        <is>
          <t>VÄSTMANLANDS LÄN</t>
        </is>
      </c>
      <c r="E349" t="inlineStr">
        <is>
          <t>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43567-2022</t>
        </is>
      </c>
      <c r="B350" s="1" t="n">
        <v>44837</v>
      </c>
      <c r="C350" s="1" t="n">
        <v>45749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44408-2022</t>
        </is>
      </c>
      <c r="B351" s="1" t="n">
        <v>44839</v>
      </c>
      <c r="C351" s="1" t="n">
        <v>45749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44370-2022</t>
        </is>
      </c>
      <c r="B352" s="1" t="n">
        <v>44839</v>
      </c>
      <c r="C352" s="1" t="n">
        <v>45749</v>
      </c>
      <c r="D352" t="inlineStr">
        <is>
          <t>VÄSTMANLANDS LÄN</t>
        </is>
      </c>
      <c r="E352" t="inlineStr">
        <is>
          <t>KÖPING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44906-2022</t>
        </is>
      </c>
      <c r="B353" s="1" t="n">
        <v>44840</v>
      </c>
      <c r="C353" s="1" t="n">
        <v>45749</v>
      </c>
      <c r="D353" t="inlineStr">
        <is>
          <t>VÄSTMANLANDS LÄN</t>
        </is>
      </c>
      <c r="E353" t="inlineStr">
        <is>
          <t>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46123-2022</t>
        </is>
      </c>
      <c r="B354" s="1" t="n">
        <v>44847</v>
      </c>
      <c r="C354" s="1" t="n">
        <v>45749</v>
      </c>
      <c r="D354" t="inlineStr">
        <is>
          <t>VÄSTMANLANDS LÄN</t>
        </is>
      </c>
      <c r="E354" t="inlineStr">
        <is>
          <t>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46114-2022</t>
        </is>
      </c>
      <c r="B355" s="1" t="n">
        <v>44847</v>
      </c>
      <c r="C355" s="1" t="n">
        <v>45749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46124-2022</t>
        </is>
      </c>
      <c r="B356" s="1" t="n">
        <v>44847</v>
      </c>
      <c r="C356" s="1" t="n">
        <v>45749</v>
      </c>
      <c r="D356" t="inlineStr">
        <is>
          <t>VÄSTMANLANDS LÄN</t>
        </is>
      </c>
      <c r="E356" t="inlineStr">
        <is>
          <t>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46126-2022</t>
        </is>
      </c>
      <c r="B357" s="1" t="n">
        <v>44847</v>
      </c>
      <c r="C357" s="1" t="n">
        <v>45749</v>
      </c>
      <c r="D357" t="inlineStr">
        <is>
          <t>VÄSTMANLANDS LÄN</t>
        </is>
      </c>
      <c r="E357" t="inlineStr">
        <is>
          <t>KÖPING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47923-2022</t>
        </is>
      </c>
      <c r="B358" s="1" t="n">
        <v>44855</v>
      </c>
      <c r="C358" s="1" t="n">
        <v>45749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51339-2022</t>
        </is>
      </c>
      <c r="B359" s="1" t="n">
        <v>44866</v>
      </c>
      <c r="C359" s="1" t="n">
        <v>45749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51203-2022</t>
        </is>
      </c>
      <c r="B360" s="1" t="n">
        <v>44868</v>
      </c>
      <c r="C360" s="1" t="n">
        <v>45749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54868-2022</t>
        </is>
      </c>
      <c r="B361" s="1" t="n">
        <v>44885</v>
      </c>
      <c r="C361" s="1" t="n">
        <v>45749</v>
      </c>
      <c r="D361" t="inlineStr">
        <is>
          <t>VÄSTMANLANDS LÄN</t>
        </is>
      </c>
      <c r="E361" t="inlineStr">
        <is>
          <t>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55389-2022</t>
        </is>
      </c>
      <c r="B362" s="1" t="n">
        <v>44887</v>
      </c>
      <c r="C362" s="1" t="n">
        <v>45749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55720-2022</t>
        </is>
      </c>
      <c r="B363" s="1" t="n">
        <v>44888</v>
      </c>
      <c r="C363" s="1" t="n">
        <v>45749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56292-2022</t>
        </is>
      </c>
      <c r="B364" s="1" t="n">
        <v>44890</v>
      </c>
      <c r="C364" s="1" t="n">
        <v>45749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56283-2022</t>
        </is>
      </c>
      <c r="B365" s="1" t="n">
        <v>44890</v>
      </c>
      <c r="C365" s="1" t="n">
        <v>45749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56809-2022</t>
        </is>
      </c>
      <c r="B366" s="1" t="n">
        <v>44894</v>
      </c>
      <c r="C366" s="1" t="n">
        <v>45749</v>
      </c>
      <c r="D366" t="inlineStr">
        <is>
          <t>VÄSTMANLANDS LÄN</t>
        </is>
      </c>
      <c r="E366" t="inlineStr">
        <is>
          <t>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45749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45749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45749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45749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45749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45749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45749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45749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45749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45749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45749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45749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45749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45749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45749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45749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45749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45749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45749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45749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45749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45749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45749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45749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45749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45749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45749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45749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45749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45749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45749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45749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45749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45749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45749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45749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45749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45749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45749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45749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45749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45749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45749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45749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45749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45749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45749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45749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45749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45749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45749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45749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45749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45749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45749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45749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45749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45749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45749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45749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45749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45749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45749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45749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45749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45749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45749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45749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45749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45749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45749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45749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45749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45749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45749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45749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45749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45749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45749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45749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45749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45749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45749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45749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45749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45749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45749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45749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45749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45749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45749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45749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45749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45749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45749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45749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45749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45749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45749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45749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45749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45749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45749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45749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45749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45749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45749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45749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45749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45749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45749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45749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45749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45749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45749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45749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45749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45749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45749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45749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45749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45749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45749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45749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45749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45749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45749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45749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45749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45749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45749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45749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45749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45749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45749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45749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45749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45749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45749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45749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45749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45749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45749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45749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45749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45749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45749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45749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45749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45749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45749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45749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45749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45749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45749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45749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45749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45749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45749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45749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45749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45749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45749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45749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45749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45749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45749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45749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45749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45749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45749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45749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45749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45749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45749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45749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45749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45749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45749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45749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45749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45749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45749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45749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45749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45749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45749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45749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45749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45749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45749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45749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45749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45749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45749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45749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45749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45749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45749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45749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45749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45749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45749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45749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45749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45749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45749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45749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45749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45749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45749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45749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45749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45749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45749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45749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45749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45749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45749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45749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45749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45749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45749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45749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45749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45749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45749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45749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45749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45749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45749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45749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45749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45749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45749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45749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45749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45749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45749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45749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45749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45749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45749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45749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45749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45749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45749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45749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45749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45749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45749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45749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45749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45749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45749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45749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45749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45749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45749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45749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45749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45749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45749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45749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45749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45749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45749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45749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45749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45749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45749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45749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45749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45749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45749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45749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45749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45749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45749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45749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45749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45749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45749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45749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45749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45749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45749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45749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45749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45749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45749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45749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45749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45749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45749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45749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45749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45749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45749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45749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45749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45749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45749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45749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45749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45749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45749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45749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45749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45749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45749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45749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45749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45749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45749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45749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45749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45749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45749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45749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45749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45749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45749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45749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45749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45749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45749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45749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13050-2025</t>
        </is>
      </c>
      <c r="B695" s="1" t="n">
        <v>45734</v>
      </c>
      <c r="C695" s="1" t="n">
        <v>45749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13042-2025</t>
        </is>
      </c>
      <c r="B696" s="1" t="n">
        <v>45734</v>
      </c>
      <c r="C696" s="1" t="n">
        <v>45749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13047-2025</t>
        </is>
      </c>
      <c r="B697" s="1" t="n">
        <v>45734</v>
      </c>
      <c r="C697" s="1" t="n">
        <v>45749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13049-2025</t>
        </is>
      </c>
      <c r="B698" s="1" t="n">
        <v>45734</v>
      </c>
      <c r="C698" s="1" t="n">
        <v>45749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13046-2025</t>
        </is>
      </c>
      <c r="B699" s="1" t="n">
        <v>45734</v>
      </c>
      <c r="C699" s="1" t="n">
        <v>45749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13043-2025</t>
        </is>
      </c>
      <c r="B700" s="1" t="n">
        <v>45734</v>
      </c>
      <c r="C700" s="1" t="n">
        <v>45749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45749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45749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45749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13685-2025</t>
        </is>
      </c>
      <c r="B704" s="1" t="n">
        <v>45737</v>
      </c>
      <c r="C704" s="1" t="n">
        <v>45749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2025-04-02T16:57:53Z</dcterms:created>
  <dcterms:modified xmlns:dcterms="http://purl.org/dc/terms/" xmlns:xsi="http://www.w3.org/2001/XMLSchema-instance" xsi:type="dcterms:W3CDTF">2025-04-02T16:57:54Z</dcterms:modified>
</cp:coreProperties>
</file>