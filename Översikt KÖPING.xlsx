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46216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46216</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s="2" t="inlineStr">
        <is>
          <t>Lappuggla
Kärrkammossa
Tjäder
Större vattensalamander
Käppkrokmossa</t>
        </is>
      </c>
      <c r="V3">
        <f>HYPERLINK("https://klasma.github.io/Logging_1983/artfynd/A 5712-2026 artfynd.xlsx", "A 5712-2026")</f>
        <v/>
      </c>
      <c r="W3">
        <f>HYPERLINK("https://klasma.github.io/Logging_1983/kartor/A 5712-2026 karta.png", "A 5712-2026")</f>
        <v/>
      </c>
      <c r="Y3">
        <f>HYPERLINK("https://klasma.github.io/Logging_1983/klagomål/A 5712-2026 FSC-klagomål.docx", "A 5712-2026")</f>
        <v/>
      </c>
      <c r="Z3">
        <f>HYPERLINK("https://klasma.github.io/Logging_1983/klagomålsmail/A 5712-2026 FSC-klagomål mail.docx", "A 5712-2026")</f>
        <v/>
      </c>
      <c r="AA3">
        <f>HYPERLINK("https://klasma.github.io/Logging_1983/tillsyn/A 5712-2026 tillsynsbegäran.docx", "A 5712-2026")</f>
        <v/>
      </c>
      <c r="AB3">
        <f>HYPERLINK("https://klasma.github.io/Logging_1983/tillsynsmail/A 5712-2026 tillsynsbegäran mail.docx", "A 5712-2026")</f>
        <v/>
      </c>
      <c r="AC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46216</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HYPERLINK("https://klasma.github.io/Logging_1983/knärot/A 35206-2025 karta knärot.png", "A 35206-2025")</f>
        <v/>
      </c>
      <c r="Y4">
        <f>HYPERLINK("https://klasma.github.io/Logging_1983/klagomål/A 35206-2025 FSC-klagomål.docx", "A 35206-2025")</f>
        <v/>
      </c>
      <c r="Z4">
        <f>HYPERLINK("https://klasma.github.io/Logging_1983/klagomålsmail/A 35206-2025 FSC-klagomål mail.docx", "A 35206-2025")</f>
        <v/>
      </c>
      <c r="AA4">
        <f>HYPERLINK("https://klasma.github.io/Logging_1983/tillsyn/A 35206-2025 tillsynsbegäran.docx", "A 35206-2025")</f>
        <v/>
      </c>
      <c r="AB4">
        <f>HYPERLINK("https://klasma.github.io/Logging_1983/tillsynsmail/A 35206-2025 tillsynsbegäran mail.docx", "A 35206-2025")</f>
        <v/>
      </c>
      <c r="AC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46216</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46216</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46216</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Y7">
        <f>HYPERLINK("https://klasma.github.io/Logging_1983/klagomål/A 61897-2022 FSC-klagomål.docx", "A 61897-2022")</f>
        <v/>
      </c>
      <c r="Z7">
        <f>HYPERLINK("https://klasma.github.io/Logging_1983/klagomålsmail/A 61897-2022 FSC-klagomål mail.docx", "A 61897-2022")</f>
        <v/>
      </c>
      <c r="AA7">
        <f>HYPERLINK("https://klasma.github.io/Logging_1983/tillsyn/A 61897-2022 tillsynsbegäran.docx", "A 61897-2022")</f>
        <v/>
      </c>
      <c r="AB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46216</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Y8">
        <f>HYPERLINK("https://klasma.github.io/Logging_1983/klagomål/A 16012-2023 FSC-klagomål.docx", "A 16012-2023")</f>
        <v/>
      </c>
      <c r="Z8">
        <f>HYPERLINK("https://klasma.github.io/Logging_1983/klagomålsmail/A 16012-2023 FSC-klagomål mail.docx", "A 16012-2023")</f>
        <v/>
      </c>
      <c r="AA8">
        <f>HYPERLINK("https://klasma.github.io/Logging_1983/tillsyn/A 16012-2023 tillsynsbegäran.docx", "A 16012-2023")</f>
        <v/>
      </c>
      <c r="AB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46216</v>
      </c>
      <c r="F9" t="inlineStr">
        <is>
          <t>VÄSTMANLANDS LÄN</t>
        </is>
      </c>
      <c r="G9" t="inlineStr">
        <is>
          <t>KÖPING</t>
        </is>
      </c>
      <c r="I9" t="n">
        <v>16.8</v>
      </c>
      <c r="J9" t="n">
        <v>2</v>
      </c>
      <c r="K9" t="n">
        <v>0</v>
      </c>
      <c r="L9" t="n">
        <v>1</v>
      </c>
      <c r="M9" t="n">
        <v>0</v>
      </c>
      <c r="N9" t="n">
        <v>0</v>
      </c>
      <c r="O9" t="n">
        <v>0</v>
      </c>
      <c r="P9" t="n">
        <v>0</v>
      </c>
      <c r="Q9" t="n">
        <v>1</v>
      </c>
      <c r="R9" t="n">
        <v>0</v>
      </c>
      <c r="S9" t="n">
        <v>3</v>
      </c>
      <c r="T9" t="n">
        <v>4</v>
      </c>
      <c r="U9" s="2" t="inlineStr">
        <is>
          <t>Tallticka
Fläcknycklar
Ängsnycklar</t>
        </is>
      </c>
      <c r="V9">
        <f>HYPERLINK("https://klasma.github.io/Logging_1983/artfynd/A 24621-2026 artfynd.xlsx", "A 24621-2026")</f>
        <v/>
      </c>
      <c r="W9">
        <f>HYPERLINK("https://klasma.github.io/Logging_1983/kartor/A 24621-2026 karta.png", "A 24621-2026")</f>
        <v/>
      </c>
      <c r="Y9">
        <f>HYPERLINK("https://klasma.github.io/Logging_1983/klagomål/A 24621-2026 FSC-klagomål.docx", "A 24621-2026")</f>
        <v/>
      </c>
      <c r="Z9">
        <f>HYPERLINK("https://klasma.github.io/Logging_1983/klagomålsmail/A 24621-2026 FSC-klagomål mail.docx", "A 24621-2026")</f>
        <v/>
      </c>
      <c r="AA9">
        <f>HYPERLINK("https://klasma.github.io/Logging_1983/tillsyn/A 24621-2026 tillsynsbegäran.docx", "A 24621-2026")</f>
        <v/>
      </c>
      <c r="AB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46216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s="2" t="inlineStr">
        <is>
          <t>Silverblåvinge
Sotnätfjäril
Mattlummer</t>
        </is>
      </c>
      <c r="V10">
        <f>HYPERLINK("https://klasma.github.io/Logging_1983/artfynd/A 24483-2026 artfynd.xlsx", "A 24483-2026")</f>
        <v/>
      </c>
      <c r="W10">
        <f>HYPERLINK("https://klasma.github.io/Logging_1983/kartor/A 24483-2026 karta.png", "A 24483-2026")</f>
        <v/>
      </c>
      <c r="Y10">
        <f>HYPERLINK("https://klasma.github.io/Logging_1983/klagomål/A 24483-2026 FSC-klagomål.docx", "A 24483-2026")</f>
        <v/>
      </c>
      <c r="Z10">
        <f>HYPERLINK("https://klasma.github.io/Logging_1983/klagomålsmail/A 24483-2026 FSC-klagomål mail.docx", "A 24483-2026")</f>
        <v/>
      </c>
      <c r="AA10">
        <f>HYPERLINK("https://klasma.github.io/Logging_1983/tillsyn/A 24483-2026 tillsynsbegäran.docx", "A 24483-2026")</f>
        <v/>
      </c>
      <c r="AB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46216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Y11">
        <f>HYPERLINK("https://klasma.github.io/Logging_1983/klagomål/A 20704-2025 FSC-klagomål.docx", "A 20704-2025")</f>
        <v/>
      </c>
      <c r="Z11">
        <f>HYPERLINK("https://klasma.github.io/Logging_1983/klagomålsmail/A 20704-2025 FSC-klagomål mail.docx", "A 20704-2025")</f>
        <v/>
      </c>
      <c r="AA11">
        <f>HYPERLINK("https://klasma.github.io/Logging_1983/tillsyn/A 20704-2025 tillsynsbegäran.docx", "A 20704-2025")</f>
        <v/>
      </c>
      <c r="AB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46216</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s="2" t="inlineStr">
        <is>
          <t>Tibast
Blåsippa</t>
        </is>
      </c>
      <c r="V12">
        <f>HYPERLINK("https://klasma.github.io/Logging_1983/artfynd/A 20706-2025 artfynd.xlsx", "A 20706-2025")</f>
        <v/>
      </c>
      <c r="W12">
        <f>HYPERLINK("https://klasma.github.io/Logging_1983/kartor/A 20706-2025 karta.png", "A 20706-2025")</f>
        <v/>
      </c>
      <c r="Y12">
        <f>HYPERLINK("https://klasma.github.io/Logging_1983/klagomål/A 20706-2025 FSC-klagomål.docx", "A 20706-2025")</f>
        <v/>
      </c>
      <c r="Z12">
        <f>HYPERLINK("https://klasma.github.io/Logging_1983/klagomålsmail/A 20706-2025 FSC-klagomål mail.docx", "A 20706-2025")</f>
        <v/>
      </c>
      <c r="AA12">
        <f>HYPERLINK("https://klasma.github.io/Logging_1983/tillsyn/A 20706-2025 tillsynsbegäran.docx", "A 20706-2025")</f>
        <v/>
      </c>
      <c r="AB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46216</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Y13">
        <f>HYPERLINK("https://klasma.github.io/Logging_1983/klagomål/A 43942-2025 FSC-klagomål.docx", "A 43942-2025")</f>
        <v/>
      </c>
      <c r="Z13">
        <f>HYPERLINK("https://klasma.github.io/Logging_1983/klagomålsmail/A 43942-2025 FSC-klagomål mail.docx", "A 43942-2025")</f>
        <v/>
      </c>
      <c r="AA13">
        <f>HYPERLINK("https://klasma.github.io/Logging_1983/tillsyn/A 43942-2025 tillsynsbegäran.docx", "A 43942-2025")</f>
        <v/>
      </c>
      <c r="AB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46216</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Y14">
        <f>HYPERLINK("https://klasma.github.io/Logging_1983/klagomål/A 26331-2026 FSC-klagomål.docx", "A 26331-2026")</f>
        <v/>
      </c>
      <c r="Z14">
        <f>HYPERLINK("https://klasma.github.io/Logging_1983/klagomålsmail/A 26331-2026 FSC-klagomål mail.docx", "A 26331-2026")</f>
        <v/>
      </c>
      <c r="AA14">
        <f>HYPERLINK("https://klasma.github.io/Logging_1983/tillsyn/A 26331-2026 tillsynsbegäran.docx", "A 26331-2026")</f>
        <v/>
      </c>
      <c r="AB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46216</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s="2" t="inlineStr">
        <is>
          <t>Mindre bastardsvärmare
Jungfrulin</t>
        </is>
      </c>
      <c r="V15">
        <f>HYPERLINK("https://klasma.github.io/Logging_1983/artfynd/A 31263-2024 artfynd.xlsx", "A 31263-2024")</f>
        <v/>
      </c>
      <c r="W15">
        <f>HYPERLINK("https://klasma.github.io/Logging_1983/kartor/A 31263-2024 karta.png", "A 31263-2024")</f>
        <v/>
      </c>
      <c r="Y15">
        <f>HYPERLINK("https://klasma.github.io/Logging_1983/klagomål/A 31263-2024 FSC-klagomål.docx", "A 31263-2024")</f>
        <v/>
      </c>
      <c r="Z15">
        <f>HYPERLINK("https://klasma.github.io/Logging_1983/klagomålsmail/A 31263-2024 FSC-klagomål mail.docx", "A 31263-2024")</f>
        <v/>
      </c>
      <c r="AA15">
        <f>HYPERLINK("https://klasma.github.io/Logging_1983/tillsyn/A 31263-2024 tillsynsbegäran.docx", "A 31263-2024")</f>
        <v/>
      </c>
      <c r="AB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46216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36209-2021</t>
        </is>
      </c>
      <c r="B17" t="inlineStr">
        <is>
          <t>avverkningsanmälan</t>
        </is>
      </c>
      <c r="C17" t="inlineStr">
        <is>
          <t>Föryngringsavverkning</t>
        </is>
      </c>
      <c r="D17" s="1" t="n">
        <v>44389</v>
      </c>
      <c r="E17" s="1" t="n">
        <v>46216</v>
      </c>
      <c r="F17" t="inlineStr">
        <is>
          <t>VÄSTMANLANDS LÄN</t>
        </is>
      </c>
      <c r="G17" t="inlineStr">
        <is>
          <t>KÖPING</t>
        </is>
      </c>
      <c r="I17" t="n">
        <v>6.9</v>
      </c>
      <c r="J17" t="n">
        <v>0</v>
      </c>
      <c r="K17" t="n">
        <v>1</v>
      </c>
      <c r="L17" t="n">
        <v>0</v>
      </c>
      <c r="M17" t="n">
        <v>0</v>
      </c>
      <c r="N17" t="n">
        <v>0</v>
      </c>
      <c r="O17" t="n">
        <v>0</v>
      </c>
      <c r="P17" t="n">
        <v>0</v>
      </c>
      <c r="Q17" t="n">
        <v>0</v>
      </c>
      <c r="R17" t="n">
        <v>0</v>
      </c>
      <c r="S17" t="n">
        <v>1</v>
      </c>
      <c r="T17" t="n">
        <v>11</v>
      </c>
      <c r="U17" s="2" t="inlineStr">
        <is>
          <t>Svart trolldruva</t>
        </is>
      </c>
      <c r="V17">
        <f>HYPERLINK("https://klasma.github.io/Logging_1983/artfynd/A 36209-2021 artfynd.xlsx", "A 36209-2021")</f>
        <v/>
      </c>
      <c r="W17">
        <f>HYPERLINK("https://klasma.github.io/Logging_1983/kartor/A 36209-2021 karta.png", "A 36209-2021")</f>
        <v/>
      </c>
      <c r="Y17">
        <f>HYPERLINK("https://klasma.github.io/Logging_1983/klagomål/A 36209-2021 FSC-klagomål.docx", "A 36209-2021")</f>
        <v/>
      </c>
      <c r="Z17">
        <f>HYPERLINK("https://klasma.github.io/Logging_1983/klagomålsmail/A 36209-2021 FSC-klagomål mail.docx", "A 36209-2021")</f>
        <v/>
      </c>
      <c r="AA17">
        <f>HYPERLINK("https://klasma.github.io/Logging_1983/tillsyn/A 36209-2021 tillsynsbegäran.docx", "A 36209-2021")</f>
        <v/>
      </c>
      <c r="AB17">
        <f>HYPERLINK("https://klasma.github.io/Logging_1983/tillsynsmail/A 36209-2021 tillsynsbegäran mail.docx", "A 36209-2021")</f>
        <v/>
      </c>
    </row>
    <row r="18" ht="15" customHeight="1">
      <c r="A18" t="inlineStr">
        <is>
          <t>A 69022-2021</t>
        </is>
      </c>
      <c r="B18" t="inlineStr">
        <is>
          <t>avverkningsanmälan</t>
        </is>
      </c>
      <c r="C18" t="inlineStr">
        <is>
          <t>Föryngringsavverkning</t>
        </is>
      </c>
      <c r="D18" s="1" t="n">
        <v>44530</v>
      </c>
      <c r="E18" s="1" t="n">
        <v>46216</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s="2" t="inlineStr">
        <is>
          <t>Skinnlav</t>
        </is>
      </c>
      <c r="V18">
        <f>HYPERLINK("https://klasma.github.io/Logging_1983/artfynd/A 69022-2021 artfynd.xlsx", "A 69022-2021")</f>
        <v/>
      </c>
      <c r="W18">
        <f>HYPERLINK("https://klasma.github.io/Logging_1983/kartor/A 69022-2021 karta.png", "A 69022-2021")</f>
        <v/>
      </c>
      <c r="Y18">
        <f>HYPERLINK("https://klasma.github.io/Logging_1983/klagomål/A 69022-2021 FSC-klagomål.docx", "A 69022-2021")</f>
        <v/>
      </c>
      <c r="Z18">
        <f>HYPERLINK("https://klasma.github.io/Logging_1983/klagomålsmail/A 69022-2021 FSC-klagomål mail.docx", "A 69022-2021")</f>
        <v/>
      </c>
      <c r="AA18">
        <f>HYPERLINK("https://klasma.github.io/Logging_1983/tillsyn/A 69022-2021 tillsynsbegäran.docx", "A 69022-2021")</f>
        <v/>
      </c>
      <c r="AB18">
        <f>HYPERLINK("https://klasma.github.io/Logging_1983/tillsynsmail/A 69022-2021 tillsynsbegäran mail.docx", "A 69022-2021")</f>
        <v/>
      </c>
    </row>
    <row r="19" ht="15" customHeight="1">
      <c r="A19" t="inlineStr">
        <is>
          <t>A 33156-2022</t>
        </is>
      </c>
      <c r="B19" t="inlineStr">
        <is>
          <t>avverkningsanmälan</t>
        </is>
      </c>
      <c r="C19" t="inlineStr">
        <is>
          <t>Föryngringsavverkning</t>
        </is>
      </c>
      <c r="D19" s="1" t="n">
        <v>44785</v>
      </c>
      <c r="E19" s="1" t="n">
        <v>46216</v>
      </c>
      <c r="F19" t="inlineStr">
        <is>
          <t>VÄSTMANLANDS LÄN</t>
        </is>
      </c>
      <c r="G19" t="inlineStr">
        <is>
          <t>KÖPING</t>
        </is>
      </c>
      <c r="H19" t="inlineStr">
        <is>
          <t>Sveaskog</t>
        </is>
      </c>
      <c r="I19" t="n">
        <v>2.7</v>
      </c>
      <c r="J19" t="n">
        <v>0</v>
      </c>
      <c r="K19" t="n">
        <v>0</v>
      </c>
      <c r="L19" t="n">
        <v>1</v>
      </c>
      <c r="M19" t="n">
        <v>0</v>
      </c>
      <c r="N19" t="n">
        <v>0</v>
      </c>
      <c r="O19" t="n">
        <v>0</v>
      </c>
      <c r="P19" t="n">
        <v>0</v>
      </c>
      <c r="Q19" t="n">
        <v>1</v>
      </c>
      <c r="R19" t="n">
        <v>0</v>
      </c>
      <c r="S19" t="n">
        <v>1</v>
      </c>
      <c r="T19" t="n">
        <v>1</v>
      </c>
      <c r="U19" s="2" t="inlineStr">
        <is>
          <t>Vedtrappmossa</t>
        </is>
      </c>
      <c r="V19">
        <f>HYPERLINK("https://klasma.github.io/Logging_1983/artfynd/A 33156-2022 artfynd.xlsx", "A 33156-2022")</f>
        <v/>
      </c>
      <c r="W19">
        <f>HYPERLINK("https://klasma.github.io/Logging_1983/kartor/A 33156-2022 karta.png", "A 33156-2022")</f>
        <v/>
      </c>
      <c r="Y19">
        <f>HYPERLINK("https://klasma.github.io/Logging_1983/klagomål/A 33156-2022 FSC-klagomål.docx", "A 33156-2022")</f>
        <v/>
      </c>
      <c r="Z19">
        <f>HYPERLINK("https://klasma.github.io/Logging_1983/klagomålsmail/A 33156-2022 FSC-klagomål mail.docx", "A 33156-2022")</f>
        <v/>
      </c>
      <c r="AA19">
        <f>HYPERLINK("https://klasma.github.io/Logging_1983/tillsyn/A 33156-2022 tillsynsbegäran.docx", "A 33156-2022")</f>
        <v/>
      </c>
      <c r="AB19">
        <f>HYPERLINK("https://klasma.github.io/Logging_1983/tillsynsmail/A 33156-2022 tillsynsbegäran mail.docx", "A 33156-2022")</f>
        <v/>
      </c>
    </row>
    <row r="20" ht="15" customHeight="1">
      <c r="A20" t="inlineStr">
        <is>
          <t>A 45826-2021</t>
        </is>
      </c>
      <c r="B20" t="inlineStr">
        <is>
          <t>avverkningsanmälan</t>
        </is>
      </c>
      <c r="C20" t="inlineStr">
        <is>
          <t>Föryngringsavverkning</t>
        </is>
      </c>
      <c r="D20" s="1" t="n">
        <v>44441</v>
      </c>
      <c r="E20" s="1" t="n">
        <v>46216</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s="2" t="inlineStr">
        <is>
          <t>Fläcknycklar</t>
        </is>
      </c>
      <c r="V20">
        <f>HYPERLINK("https://klasma.github.io/Logging_1983/artfynd/A 45826-2021 artfynd.xlsx", "A 45826-2021")</f>
        <v/>
      </c>
      <c r="W20">
        <f>HYPERLINK("https://klasma.github.io/Logging_1983/kartor/A 45826-2021 karta.png", "A 45826-2021")</f>
        <v/>
      </c>
      <c r="Y20">
        <f>HYPERLINK("https://klasma.github.io/Logging_1983/klagomål/A 45826-2021 FSC-klagomål.docx", "A 45826-2021")</f>
        <v/>
      </c>
      <c r="Z20">
        <f>HYPERLINK("https://klasma.github.io/Logging_1983/klagomålsmail/A 45826-2021 FSC-klagomål mail.docx", "A 45826-2021")</f>
        <v/>
      </c>
      <c r="AA20">
        <f>HYPERLINK("https://klasma.github.io/Logging_1983/tillsyn/A 45826-2021 tillsynsbegäran.docx", "A 45826-2021")</f>
        <v/>
      </c>
      <c r="AB20">
        <f>HYPERLINK("https://klasma.github.io/Logging_1983/tillsynsmail/A 45826-2021 tillsynsbegäran mail.docx", "A 45826-2021")</f>
        <v/>
      </c>
    </row>
    <row r="21" ht="15" customHeight="1">
      <c r="A21" t="inlineStr">
        <is>
          <t>A 12503-2023</t>
        </is>
      </c>
      <c r="B21" t="inlineStr">
        <is>
          <t>avverkningsanmälan</t>
        </is>
      </c>
      <c r="C21" t="inlineStr">
        <is>
          <t>Föryngringsavverkning</t>
        </is>
      </c>
      <c r="D21" s="1" t="n">
        <v>44999</v>
      </c>
      <c r="E21" s="1" t="n">
        <v>46216</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s="2" t="inlineStr">
        <is>
          <t>Tjäder</t>
        </is>
      </c>
      <c r="V21">
        <f>HYPERLINK("https://klasma.github.io/Logging_1983/artfynd/A 12503-2023 artfynd.xlsx", "A 12503-2023")</f>
        <v/>
      </c>
      <c r="W21">
        <f>HYPERLINK("https://klasma.github.io/Logging_1983/kartor/A 12503-2023 karta.png", "A 12503-2023")</f>
        <v/>
      </c>
      <c r="Y21">
        <f>HYPERLINK("https://klasma.github.io/Logging_1983/klagomål/A 12503-2023 FSC-klagomål.docx", "A 12503-2023")</f>
        <v/>
      </c>
      <c r="Z21">
        <f>HYPERLINK("https://klasma.github.io/Logging_1983/klagomålsmail/A 12503-2023 FSC-klagomål mail.docx", "A 12503-2023")</f>
        <v/>
      </c>
      <c r="AA21">
        <f>HYPERLINK("https://klasma.github.io/Logging_1983/tillsyn/A 12503-2023 tillsynsbegäran.docx", "A 12503-2023")</f>
        <v/>
      </c>
      <c r="AB21">
        <f>HYPERLINK("https://klasma.github.io/Logging_1983/tillsynsmail/A 12503-2023 tillsynsbegäran mail.docx", "A 12503-2023")</f>
        <v/>
      </c>
      <c r="AC21">
        <f>HYPERLINK("https://klasma.github.io/Logging_1983/fåglar/A 12503-2023 prioriterade fågelarter.docx", "A 12503-2023")</f>
        <v/>
      </c>
    </row>
    <row r="22" ht="15" customHeight="1">
      <c r="A22" t="inlineStr">
        <is>
          <t>A 41583-2022</t>
        </is>
      </c>
      <c r="B22" t="inlineStr">
        <is>
          <t>avverkningsanmälan</t>
        </is>
      </c>
      <c r="C22" t="inlineStr">
        <is>
          <t>Föryngringsavverkning</t>
        </is>
      </c>
      <c r="D22" s="1" t="n">
        <v>44827</v>
      </c>
      <c r="E22" s="1" t="n">
        <v>46216</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s="2" t="inlineStr">
        <is>
          <t>Vedskivlav</t>
        </is>
      </c>
      <c r="V22">
        <f>HYPERLINK("https://klasma.github.io/Logging_1983/artfynd/A 41583-2022 artfynd.xlsx", "A 41583-2022")</f>
        <v/>
      </c>
      <c r="W22">
        <f>HYPERLINK("https://klasma.github.io/Logging_1983/kartor/A 41583-2022 karta.png", "A 41583-2022")</f>
        <v/>
      </c>
      <c r="Y22">
        <f>HYPERLINK("https://klasma.github.io/Logging_1983/klagomål/A 41583-2022 FSC-klagomål.docx", "A 41583-2022")</f>
        <v/>
      </c>
      <c r="Z22">
        <f>HYPERLINK("https://klasma.github.io/Logging_1983/klagomålsmail/A 41583-2022 FSC-klagomål mail.docx", "A 41583-2022")</f>
        <v/>
      </c>
      <c r="AA22">
        <f>HYPERLINK("https://klasma.github.io/Logging_1983/tillsyn/A 41583-2022 tillsynsbegäran.docx", "A 41583-2022")</f>
        <v/>
      </c>
      <c r="AB22">
        <f>HYPERLINK("https://klasma.github.io/Logging_1983/tillsynsmail/A 41583-2022 tillsynsbegäran mail.docx", "A 41583-2022")</f>
        <v/>
      </c>
    </row>
    <row r="23" ht="15" customHeight="1">
      <c r="A23" t="inlineStr">
        <is>
          <t>A 40696-2025</t>
        </is>
      </c>
      <c r="B23" t="inlineStr">
        <is>
          <t>avverkningsanmälan</t>
        </is>
      </c>
      <c r="C23" t="inlineStr">
        <is>
          <t>Föryngringsavverkning</t>
        </is>
      </c>
      <c r="D23" s="1" t="n">
        <v>45897</v>
      </c>
      <c r="E23" s="1" t="n">
        <v>46216</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s="2" t="inlineStr">
        <is>
          <t>Tibast</t>
        </is>
      </c>
      <c r="V23">
        <f>HYPERLINK("https://klasma.github.io/Logging_1983/artfynd/A 40696-2025 artfynd.xlsx", "A 40696-2025")</f>
        <v/>
      </c>
      <c r="W23">
        <f>HYPERLINK("https://klasma.github.io/Logging_1983/kartor/A 40696-2025 karta.png", "A 40696-2025")</f>
        <v/>
      </c>
      <c r="Y23">
        <f>HYPERLINK("https://klasma.github.io/Logging_1983/klagomål/A 40696-2025 FSC-klagomål.docx", "A 40696-2025")</f>
        <v/>
      </c>
      <c r="Z23">
        <f>HYPERLINK("https://klasma.github.io/Logging_1983/klagomålsmail/A 40696-2025 FSC-klagomål mail.docx", "A 40696-2025")</f>
        <v/>
      </c>
      <c r="AA23">
        <f>HYPERLINK("https://klasma.github.io/Logging_1983/tillsyn/A 40696-2025 tillsynsbegäran.docx", "A 40696-2025")</f>
        <v/>
      </c>
      <c r="AB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46216</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s="2" t="inlineStr">
        <is>
          <t>Motaggsvamp</t>
        </is>
      </c>
      <c r="V24">
        <f>HYPERLINK("https://klasma.github.io/Logging_1983/artfynd/A 47573-2025 artfynd.xlsx", "A 47573-2025")</f>
        <v/>
      </c>
      <c r="W24">
        <f>HYPERLINK("https://klasma.github.io/Logging_1983/kartor/A 47573-2025 karta.png", "A 47573-2025")</f>
        <v/>
      </c>
      <c r="Y24">
        <f>HYPERLINK("https://klasma.github.io/Logging_1983/klagomål/A 47573-2025 FSC-klagomål.docx", "A 47573-2025")</f>
        <v/>
      </c>
      <c r="Z24">
        <f>HYPERLINK("https://klasma.github.io/Logging_1983/klagomålsmail/A 47573-2025 FSC-klagomål mail.docx", "A 47573-2025")</f>
        <v/>
      </c>
      <c r="AA24">
        <f>HYPERLINK("https://klasma.github.io/Logging_1983/tillsyn/A 47573-2025 tillsynsbegäran.docx", "A 47573-2025")</f>
        <v/>
      </c>
      <c r="AB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46216</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s="2" t="inlineStr">
        <is>
          <t>Kandelabersvamp</t>
        </is>
      </c>
      <c r="V25">
        <f>HYPERLINK("https://klasma.github.io/Logging_1983/artfynd/A 47718-2025 artfynd.xlsx", "A 47718-2025")</f>
        <v/>
      </c>
      <c r="W25">
        <f>HYPERLINK("https://klasma.github.io/Logging_1983/kartor/A 47718-2025 karta.png", "A 47718-2025")</f>
        <v/>
      </c>
      <c r="Y25">
        <f>HYPERLINK("https://klasma.github.io/Logging_1983/klagomål/A 47718-2025 FSC-klagomål.docx", "A 47718-2025")</f>
        <v/>
      </c>
      <c r="Z25">
        <f>HYPERLINK("https://klasma.github.io/Logging_1983/klagomålsmail/A 47718-2025 FSC-klagomål mail.docx", "A 47718-2025")</f>
        <v/>
      </c>
      <c r="AA25">
        <f>HYPERLINK("https://klasma.github.io/Logging_1983/tillsyn/A 47718-2025 tillsynsbegäran.docx", "A 47718-2025")</f>
        <v/>
      </c>
      <c r="AB25">
        <f>HYPERLINK("https://klasma.github.io/Logging_1983/tillsynsmail/A 47718-2025 tillsynsbegäran mail.docx", "A 47718-2025")</f>
        <v/>
      </c>
    </row>
    <row r="26" ht="15" customHeight="1">
      <c r="A26" t="inlineStr">
        <is>
          <t>A 10900-2022</t>
        </is>
      </c>
      <c r="B26" t="inlineStr">
        <is>
          <t>avverkningsanmälan</t>
        </is>
      </c>
      <c r="C26" t="inlineStr">
        <is>
          <t>Föryngringsavverkning</t>
        </is>
      </c>
      <c r="D26" s="1" t="n">
        <v>44627</v>
      </c>
      <c r="E26" s="1" t="n">
        <v>46216</v>
      </c>
      <c r="F26" t="inlineStr">
        <is>
          <t>VÄSTMANLANDS LÄN</t>
        </is>
      </c>
      <c r="G26" t="inlineStr">
        <is>
          <t>KÖPING</t>
        </is>
      </c>
      <c r="I26" t="n">
        <v>1.5</v>
      </c>
      <c r="J26" t="n">
        <v>0</v>
      </c>
      <c r="K26" t="n">
        <v>0</v>
      </c>
      <c r="L26" t="n">
        <v>1</v>
      </c>
      <c r="M26" t="n">
        <v>0</v>
      </c>
      <c r="N26" t="n">
        <v>0</v>
      </c>
      <c r="O26" t="n">
        <v>0</v>
      </c>
      <c r="P26" t="n">
        <v>0</v>
      </c>
      <c r="Q26" t="n">
        <v>1</v>
      </c>
      <c r="R26" t="n">
        <v>0</v>
      </c>
      <c r="S26" t="n">
        <v>1</v>
      </c>
      <c r="T26" t="n">
        <v>1</v>
      </c>
      <c r="U26" s="2" t="inlineStr">
        <is>
          <t>Klofibbla</t>
        </is>
      </c>
      <c r="V26">
        <f>HYPERLINK("https://klasma.github.io/Logging_1983/artfynd/A 10900-2022 artfynd.xlsx", "A 10900-2022")</f>
        <v/>
      </c>
      <c r="W26">
        <f>HYPERLINK("https://klasma.github.io/Logging_1983/kartor/A 10900-2022 karta.png", "A 10900-2022")</f>
        <v/>
      </c>
      <c r="Y26">
        <f>HYPERLINK("https://klasma.github.io/Logging_1983/klagomål/A 10900-2022 FSC-klagomål.docx", "A 10900-2022")</f>
        <v/>
      </c>
      <c r="Z26">
        <f>HYPERLINK("https://klasma.github.io/Logging_1983/klagomålsmail/A 10900-2022 FSC-klagomål mail.docx", "A 10900-2022")</f>
        <v/>
      </c>
      <c r="AA26">
        <f>HYPERLINK("https://klasma.github.io/Logging_1983/tillsyn/A 10900-2022 tillsynsbegäran.docx", "A 10900-2022")</f>
        <v/>
      </c>
      <c r="AB26">
        <f>HYPERLINK("https://klasma.github.io/Logging_1983/tillsynsmail/A 10900-2022 tillsynsbegäran mail.docx", "A 10900-2022")</f>
        <v/>
      </c>
    </row>
    <row r="27" ht="15" customHeight="1">
      <c r="A27" t="inlineStr">
        <is>
          <t>A 56380-2025</t>
        </is>
      </c>
      <c r="B27" t="inlineStr">
        <is>
          <t>avverkningsanmälan</t>
        </is>
      </c>
      <c r="C27" t="inlineStr">
        <is>
          <t>Föryngringsavverkning</t>
        </is>
      </c>
      <c r="D27" s="1" t="n">
        <v>45974</v>
      </c>
      <c r="E27" s="1" t="n">
        <v>46216</v>
      </c>
      <c r="F27" t="inlineStr">
        <is>
          <t>VÄSTMANLANDS LÄN</t>
        </is>
      </c>
      <c r="G27" t="inlineStr">
        <is>
          <t>KÖPING</t>
        </is>
      </c>
      <c r="H27" t="inlineStr">
        <is>
          <t>Sveaskog</t>
        </is>
      </c>
      <c r="I27" t="n">
        <v>4.1</v>
      </c>
      <c r="J27" t="n">
        <v>1</v>
      </c>
      <c r="K27" t="n">
        <v>0</v>
      </c>
      <c r="L27" t="n">
        <v>0</v>
      </c>
      <c r="M27" t="n">
        <v>0</v>
      </c>
      <c r="N27" t="n">
        <v>0</v>
      </c>
      <c r="O27" t="n">
        <v>0</v>
      </c>
      <c r="P27" t="n">
        <v>0</v>
      </c>
      <c r="Q27" t="n">
        <v>0</v>
      </c>
      <c r="R27" t="n">
        <v>0</v>
      </c>
      <c r="S27" t="n">
        <v>1</v>
      </c>
      <c r="T27" t="n">
        <v>4</v>
      </c>
      <c r="U27" s="2" t="inlineStr">
        <is>
          <t>Tjäder</t>
        </is>
      </c>
      <c r="V27">
        <f>HYPERLINK("https://klasma.github.io/Logging_1983/artfynd/A 56380-2025 artfynd.xlsx", "A 56380-2025")</f>
        <v/>
      </c>
      <c r="W27">
        <f>HYPERLINK("https://klasma.github.io/Logging_1983/kartor/A 56380-2025 karta.png", "A 56380-2025")</f>
        <v/>
      </c>
      <c r="Y27">
        <f>HYPERLINK("https://klasma.github.io/Logging_1983/klagomål/A 56380-2025 FSC-klagomål.docx", "A 56380-2025")</f>
        <v/>
      </c>
      <c r="Z27">
        <f>HYPERLINK("https://klasma.github.io/Logging_1983/klagomålsmail/A 56380-2025 FSC-klagomål mail.docx", "A 56380-2025")</f>
        <v/>
      </c>
      <c r="AA27">
        <f>HYPERLINK("https://klasma.github.io/Logging_1983/tillsyn/A 56380-2025 tillsynsbegäran.docx", "A 56380-2025")</f>
        <v/>
      </c>
      <c r="AB27">
        <f>HYPERLINK("https://klasma.github.io/Logging_1983/tillsynsmail/A 56380-2025 tillsynsbegäran mail.docx", "A 56380-2025")</f>
        <v/>
      </c>
      <c r="AC27">
        <f>HYPERLINK("https://klasma.github.io/Logging_1983/fåglar/A 56380-2025 prioriterade fågelarter.docx", "A 56380-2025")</f>
        <v/>
      </c>
    </row>
    <row r="28" ht="15" customHeight="1">
      <c r="A28" t="inlineStr">
        <is>
          <t>A 56279-2025</t>
        </is>
      </c>
      <c r="B28" t="inlineStr">
        <is>
          <t>avverkningsanmälan</t>
        </is>
      </c>
      <c r="C28" t="inlineStr">
        <is>
          <t>Föryngringsavverkning</t>
        </is>
      </c>
      <c r="D28" s="1" t="n">
        <v>45974</v>
      </c>
      <c r="E28" s="1" t="n">
        <v>46216</v>
      </c>
      <c r="F28" t="inlineStr">
        <is>
          <t>VÄSTMANLANDS LÄN</t>
        </is>
      </c>
      <c r="G28" t="inlineStr">
        <is>
          <t>KÖPING</t>
        </is>
      </c>
      <c r="H28" t="inlineStr">
        <is>
          <t>Sveaskog</t>
        </is>
      </c>
      <c r="I28" t="n">
        <v>2.1</v>
      </c>
      <c r="J28" t="n">
        <v>1</v>
      </c>
      <c r="K28" t="n">
        <v>0</v>
      </c>
      <c r="L28" t="n">
        <v>0</v>
      </c>
      <c r="M28" t="n">
        <v>0</v>
      </c>
      <c r="N28" t="n">
        <v>0</v>
      </c>
      <c r="O28" t="n">
        <v>0</v>
      </c>
      <c r="P28" t="n">
        <v>0</v>
      </c>
      <c r="Q28" t="n">
        <v>0</v>
      </c>
      <c r="R28" t="n">
        <v>0</v>
      </c>
      <c r="S28" t="n">
        <v>1</v>
      </c>
      <c r="T28" t="n">
        <v>1</v>
      </c>
      <c r="U28" s="2" t="inlineStr">
        <is>
          <t>Tjäder</t>
        </is>
      </c>
      <c r="V28">
        <f>HYPERLINK("https://klasma.github.io/Logging_1983/artfynd/A 56279-2025 artfynd.xlsx", "A 56279-2025")</f>
        <v/>
      </c>
      <c r="W28">
        <f>HYPERLINK("https://klasma.github.io/Logging_1983/kartor/A 56279-2025 karta.png", "A 56279-2025")</f>
        <v/>
      </c>
      <c r="Y28">
        <f>HYPERLINK("https://klasma.github.io/Logging_1983/klagomål/A 56279-2025 FSC-klagomål.docx", "A 56279-2025")</f>
        <v/>
      </c>
      <c r="Z28">
        <f>HYPERLINK("https://klasma.github.io/Logging_1983/klagomålsmail/A 56279-2025 FSC-klagomål mail.docx", "A 56279-2025")</f>
        <v/>
      </c>
      <c r="AA28">
        <f>HYPERLINK("https://klasma.github.io/Logging_1983/tillsyn/A 56279-2025 tillsynsbegäran.docx", "A 56279-2025")</f>
        <v/>
      </c>
      <c r="AB28">
        <f>HYPERLINK("https://klasma.github.io/Logging_1983/tillsynsmail/A 56279-2025 tillsynsbegäran mail.docx", "A 56279-2025")</f>
        <v/>
      </c>
      <c r="AC28">
        <f>HYPERLINK("https://klasma.github.io/Logging_1983/fåglar/A 56279-2025 prioriterade fågelarter.docx", "A 56279-2025")</f>
        <v/>
      </c>
    </row>
    <row r="29" ht="15" customHeight="1">
      <c r="A29" t="inlineStr">
        <is>
          <t>A 56287-2025</t>
        </is>
      </c>
      <c r="B29" t="inlineStr">
        <is>
          <t>avverkningsanmälan</t>
        </is>
      </c>
      <c r="C29" t="inlineStr">
        <is>
          <t>Föryngringsavverkning</t>
        </is>
      </c>
      <c r="D29" s="1" t="n">
        <v>45974</v>
      </c>
      <c r="E29" s="1" t="n">
        <v>46216</v>
      </c>
      <c r="F29" t="inlineStr">
        <is>
          <t>VÄSTMANLANDS LÄN</t>
        </is>
      </c>
      <c r="G29" t="inlineStr">
        <is>
          <t>KÖPING</t>
        </is>
      </c>
      <c r="H29" t="inlineStr">
        <is>
          <t>Sveaskog</t>
        </is>
      </c>
      <c r="I29" t="n">
        <v>3.4</v>
      </c>
      <c r="J29" t="n">
        <v>1</v>
      </c>
      <c r="K29" t="n">
        <v>0</v>
      </c>
      <c r="L29" t="n">
        <v>1</v>
      </c>
      <c r="M29" t="n">
        <v>0</v>
      </c>
      <c r="N29" t="n">
        <v>0</v>
      </c>
      <c r="O29" t="n">
        <v>0</v>
      </c>
      <c r="P29" t="n">
        <v>0</v>
      </c>
      <c r="Q29" t="n">
        <v>1</v>
      </c>
      <c r="R29" t="n">
        <v>0</v>
      </c>
      <c r="S29" t="n">
        <v>1</v>
      </c>
      <c r="T29" t="n">
        <v>1</v>
      </c>
      <c r="U29" s="2" t="inlineStr">
        <is>
          <t>Talltita</t>
        </is>
      </c>
      <c r="V29">
        <f>HYPERLINK("https://klasma.github.io/Logging_1983/artfynd/A 56287-2025 artfynd.xlsx", "A 56287-2025")</f>
        <v/>
      </c>
      <c r="W29">
        <f>HYPERLINK("https://klasma.github.io/Logging_1983/kartor/A 56287-2025 karta.png", "A 56287-2025")</f>
        <v/>
      </c>
      <c r="Y29">
        <f>HYPERLINK("https://klasma.github.io/Logging_1983/klagomål/A 56287-2025 FSC-klagomål.docx", "A 56287-2025")</f>
        <v/>
      </c>
      <c r="Z29">
        <f>HYPERLINK("https://klasma.github.io/Logging_1983/klagomålsmail/A 56287-2025 FSC-klagomål mail.docx", "A 56287-2025")</f>
        <v/>
      </c>
      <c r="AA29">
        <f>HYPERLINK("https://klasma.github.io/Logging_1983/tillsyn/A 56287-2025 tillsynsbegäran.docx", "A 56287-2025")</f>
        <v/>
      </c>
      <c r="AB29">
        <f>HYPERLINK("https://klasma.github.io/Logging_1983/tillsynsmail/A 56287-2025 tillsynsbegäran mail.docx", "A 56287-2025")</f>
        <v/>
      </c>
      <c r="AC29">
        <f>HYPERLINK("https://klasma.github.io/Logging_1983/fåglar/A 56287-2025 prioriterade fågelarter.docx", "A 56287-2025")</f>
        <v/>
      </c>
    </row>
    <row r="30" ht="15" customHeight="1">
      <c r="A30" t="inlineStr">
        <is>
          <t>A 46126-2022</t>
        </is>
      </c>
      <c r="B30" t="inlineStr">
        <is>
          <t>avverkningsanmälan</t>
        </is>
      </c>
      <c r="C30" t="inlineStr">
        <is>
          <t>Föryngringsavverkning</t>
        </is>
      </c>
      <c r="D30" s="1" t="n">
        <v>44847</v>
      </c>
      <c r="E30" s="1" t="n">
        <v>46216</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s="2" t="inlineStr">
        <is>
          <t>Blomkålssvamp</t>
        </is>
      </c>
      <c r="V30">
        <f>HYPERLINK("https://klasma.github.io/Logging_1983/artfynd/A 46126-2022 artfynd.xlsx", "A 46126-2022")</f>
        <v/>
      </c>
      <c r="W30">
        <f>HYPERLINK("https://klasma.github.io/Logging_1983/kartor/A 46126-2022 karta.png", "A 46126-2022")</f>
        <v/>
      </c>
      <c r="Y30">
        <f>HYPERLINK("https://klasma.github.io/Logging_1983/klagomål/A 46126-2022 FSC-klagomål.docx", "A 46126-2022")</f>
        <v/>
      </c>
      <c r="Z30">
        <f>HYPERLINK("https://klasma.github.io/Logging_1983/klagomålsmail/A 46126-2022 FSC-klagomål mail.docx", "A 46126-2022")</f>
        <v/>
      </c>
      <c r="AA30">
        <f>HYPERLINK("https://klasma.github.io/Logging_1983/tillsyn/A 46126-2022 tillsynsbegäran.docx", "A 46126-2022")</f>
        <v/>
      </c>
      <c r="AB30">
        <f>HYPERLINK("https://klasma.github.io/Logging_1983/tillsynsmail/A 46126-2022 tillsynsbegäran mail.docx", "A 46126-2022")</f>
        <v/>
      </c>
    </row>
    <row r="31" ht="15" customHeight="1">
      <c r="A31" t="inlineStr">
        <is>
          <t>A 57297-2024</t>
        </is>
      </c>
      <c r="B31" t="inlineStr">
        <is>
          <t>avverkningsanmälan</t>
        </is>
      </c>
      <c r="C31" t="inlineStr">
        <is>
          <t>Föryngringsavverkning</t>
        </is>
      </c>
      <c r="D31" s="1" t="n">
        <v>45629</v>
      </c>
      <c r="E31" s="1" t="n">
        <v>46216</v>
      </c>
      <c r="F31" t="inlineStr">
        <is>
          <t>VÄSTMANLANDS LÄN</t>
        </is>
      </c>
      <c r="G31" t="inlineStr">
        <is>
          <t>KÖPING</t>
        </is>
      </c>
      <c r="I31" t="n">
        <v>1.5</v>
      </c>
      <c r="J31" t="n">
        <v>1</v>
      </c>
      <c r="K31" t="n">
        <v>0</v>
      </c>
      <c r="L31" t="n">
        <v>0</v>
      </c>
      <c r="M31" t="n">
        <v>0</v>
      </c>
      <c r="N31" t="n">
        <v>0</v>
      </c>
      <c r="O31" t="n">
        <v>0</v>
      </c>
      <c r="P31" t="n">
        <v>0</v>
      </c>
      <c r="Q31" t="n">
        <v>0</v>
      </c>
      <c r="R31" t="n">
        <v>0</v>
      </c>
      <c r="S31" t="n">
        <v>1</v>
      </c>
      <c r="T31" t="n">
        <v>1</v>
      </c>
      <c r="U31" s="2" t="inlineStr">
        <is>
          <t>Fläcknycklar</t>
        </is>
      </c>
      <c r="V31">
        <f>HYPERLINK("https://klasma.github.io/Logging_1983/artfynd/A 57297-2024 artfynd.xlsx", "A 57297-2024")</f>
        <v/>
      </c>
      <c r="W31">
        <f>HYPERLINK("https://klasma.github.io/Logging_1983/kartor/A 57297-2024 karta.png", "A 57297-2024")</f>
        <v/>
      </c>
      <c r="Y31">
        <f>HYPERLINK("https://klasma.github.io/Logging_1983/klagomål/A 57297-2024 FSC-klagomål.docx", "A 57297-2024")</f>
        <v/>
      </c>
      <c r="Z31">
        <f>HYPERLINK("https://klasma.github.io/Logging_1983/klagomålsmail/A 57297-2024 FSC-klagomål mail.docx", "A 57297-2024")</f>
        <v/>
      </c>
      <c r="AA31">
        <f>HYPERLINK("https://klasma.github.io/Logging_1983/tillsyn/A 57297-2024 tillsynsbegäran.docx", "A 57297-2024")</f>
        <v/>
      </c>
      <c r="AB31">
        <f>HYPERLINK("https://klasma.github.io/Logging_1983/tillsynsmail/A 57297-2024 tillsynsbegäran mail.docx", "A 57297-2024")</f>
        <v/>
      </c>
    </row>
    <row r="32" ht="15" customHeight="1">
      <c r="A32" t="inlineStr">
        <is>
          <t>A 33498-2025</t>
        </is>
      </c>
      <c r="B32" t="inlineStr">
        <is>
          <t>avverkningsanmälan</t>
        </is>
      </c>
      <c r="C32" t="inlineStr">
        <is>
          <t>Föryngringsavverkning</t>
        </is>
      </c>
      <c r="D32" s="1" t="n">
        <v>45841</v>
      </c>
      <c r="E32" s="1" t="n">
        <v>46216</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s="2" t="inlineStr">
        <is>
          <t>Skogsklocka</t>
        </is>
      </c>
      <c r="V32">
        <f>HYPERLINK("https://klasma.github.io/Logging_1983/artfynd/A 33498-2025 artfynd.xlsx", "A 33498-2025")</f>
        <v/>
      </c>
      <c r="W32">
        <f>HYPERLINK("https://klasma.github.io/Logging_1983/kartor/A 33498-2025 karta.png", "A 33498-2025")</f>
        <v/>
      </c>
      <c r="Y32">
        <f>HYPERLINK("https://klasma.github.io/Logging_1983/klagomål/A 33498-2025 FSC-klagomål.docx", "A 33498-2025")</f>
        <v/>
      </c>
      <c r="Z32">
        <f>HYPERLINK("https://klasma.github.io/Logging_1983/klagomålsmail/A 33498-2025 FSC-klagomål mail.docx", "A 33498-2025")</f>
        <v/>
      </c>
      <c r="AA32">
        <f>HYPERLINK("https://klasma.github.io/Logging_1983/tillsyn/A 33498-2025 tillsynsbegäran.docx", "A 33498-2025")</f>
        <v/>
      </c>
      <c r="AB32">
        <f>HYPERLINK("https://klasma.github.io/Logging_1983/tillsynsmail/A 33498-2025 tillsynsbegäran mail.docx", "A 33498-2025")</f>
        <v/>
      </c>
    </row>
    <row r="33" ht="15" customHeight="1">
      <c r="A33" t="inlineStr">
        <is>
          <t>A 13066-2025</t>
        </is>
      </c>
      <c r="B33" t="inlineStr">
        <is>
          <t>avverkningsanmälan</t>
        </is>
      </c>
      <c r="C33" t="inlineStr">
        <is>
          <t>Föryngringsavverkning</t>
        </is>
      </c>
      <c r="D33" s="1" t="n">
        <v>45734</v>
      </c>
      <c r="E33" s="1" t="n">
        <v>46216</v>
      </c>
      <c r="F33" t="inlineStr">
        <is>
          <t>VÄSTMANLANDS LÄN</t>
        </is>
      </c>
      <c r="G33" t="inlineStr">
        <is>
          <t>KÖPING</t>
        </is>
      </c>
      <c r="H33" t="inlineStr">
        <is>
          <t>Sveaskog</t>
        </is>
      </c>
      <c r="I33" t="n">
        <v>0.7</v>
      </c>
      <c r="J33" t="n">
        <v>1</v>
      </c>
      <c r="K33" t="n">
        <v>0</v>
      </c>
      <c r="L33" t="n">
        <v>0</v>
      </c>
      <c r="M33" t="n">
        <v>0</v>
      </c>
      <c r="N33" t="n">
        <v>0</v>
      </c>
      <c r="O33" t="n">
        <v>0</v>
      </c>
      <c r="P33" t="n">
        <v>0</v>
      </c>
      <c r="Q33" t="n">
        <v>0</v>
      </c>
      <c r="R33" t="n">
        <v>0</v>
      </c>
      <c r="S33" t="n">
        <v>1</v>
      </c>
      <c r="T33" t="n">
        <v>1</v>
      </c>
      <c r="U33" s="2" t="inlineStr">
        <is>
          <t>Revlummer</t>
        </is>
      </c>
      <c r="V33">
        <f>HYPERLINK("https://klasma.github.io/Logging_1983/artfynd/A 13066-2025 artfynd.xlsx", "A 13066-2025")</f>
        <v/>
      </c>
      <c r="W33">
        <f>HYPERLINK("https://klasma.github.io/Logging_1983/kartor/A 13066-2025 karta.png", "A 13066-2025")</f>
        <v/>
      </c>
      <c r="Y33">
        <f>HYPERLINK("https://klasma.github.io/Logging_1983/klagomål/A 13066-2025 FSC-klagomål.docx", "A 13066-2025")</f>
        <v/>
      </c>
      <c r="Z33">
        <f>HYPERLINK("https://klasma.github.io/Logging_1983/klagomålsmail/A 13066-2025 FSC-klagomål mail.docx", "A 13066-2025")</f>
        <v/>
      </c>
      <c r="AA33">
        <f>HYPERLINK("https://klasma.github.io/Logging_1983/tillsyn/A 13066-2025 tillsynsbegäran.docx", "A 13066-2025")</f>
        <v/>
      </c>
      <c r="AB33">
        <f>HYPERLINK("https://klasma.github.io/Logging_1983/tillsynsmail/A 13066-2025 tillsynsbegäran mail.docx", "A 13066-2025")</f>
        <v/>
      </c>
    </row>
    <row r="34" ht="15" customHeight="1">
      <c r="A34" t="inlineStr">
        <is>
          <t>A 26941-2026</t>
        </is>
      </c>
      <c r="B34" t="inlineStr">
        <is>
          <t>avverkningsanmälan</t>
        </is>
      </c>
      <c r="C34" t="inlineStr">
        <is>
          <t>Föryngringsavverkning</t>
        </is>
      </c>
      <c r="D34" s="1" t="n">
        <v>46185</v>
      </c>
      <c r="E34" s="1" t="n">
        <v>46216</v>
      </c>
      <c r="F34" t="inlineStr">
        <is>
          <t>VÄSTMANLANDS LÄN</t>
        </is>
      </c>
      <c r="G34" t="inlineStr">
        <is>
          <t>KÖPING</t>
        </is>
      </c>
      <c r="H34" t="inlineStr">
        <is>
          <t>Sveaskog</t>
        </is>
      </c>
      <c r="I34" t="n">
        <v>1.7</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26941-2026 artfynd.xlsx", "A 26941-2026")</f>
        <v/>
      </c>
      <c r="W34">
        <f>HYPERLINK("https://klasma.github.io/Logging_1983/kartor/A 26941-2026 karta.png", "A 26941-2026")</f>
        <v/>
      </c>
      <c r="Y34">
        <f>HYPERLINK("https://klasma.github.io/Logging_1983/klagomål/A 26941-2026 FSC-klagomål.docx", "A 26941-2026")</f>
        <v/>
      </c>
      <c r="Z34">
        <f>HYPERLINK("https://klasma.github.io/Logging_1983/klagomålsmail/A 26941-2026 FSC-klagomål mail.docx", "A 26941-2026")</f>
        <v/>
      </c>
      <c r="AA34">
        <f>HYPERLINK("https://klasma.github.io/Logging_1983/tillsyn/A 26941-2026 tillsynsbegäran.docx", "A 26941-2026")</f>
        <v/>
      </c>
      <c r="AB34">
        <f>HYPERLINK("https://klasma.github.io/Logging_1983/tillsynsmail/A 26941-2026 tillsynsbegäran mail.docx", "A 26941-2026")</f>
        <v/>
      </c>
    </row>
    <row r="35" ht="15" customHeight="1">
      <c r="A35" t="inlineStr">
        <is>
          <t>A 60991-2023</t>
        </is>
      </c>
      <c r="B35" t="inlineStr">
        <is>
          <t>avverkningsanmälan</t>
        </is>
      </c>
      <c r="C35" t="inlineStr">
        <is>
          <t>Avverkning för annat ändamål</t>
        </is>
      </c>
      <c r="D35" s="1" t="n">
        <v>45261</v>
      </c>
      <c r="E35" s="1" t="n">
        <v>46216</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s="2" t="inlineStr">
        <is>
          <t>Tjäder</t>
        </is>
      </c>
      <c r="V35">
        <f>HYPERLINK("https://klasma.github.io/Logging_1983/artfynd/A 60991-2023 artfynd.xlsx", "A 60991-2023")</f>
        <v/>
      </c>
      <c r="W35">
        <f>HYPERLINK("https://klasma.github.io/Logging_1983/kartor/A 60991-2023 karta.png", "A 60991-2023")</f>
        <v/>
      </c>
      <c r="Y35">
        <f>HYPERLINK("https://klasma.github.io/Logging_1983/klagomål/A 60991-2023 FSC-klagomål.docx", "A 60991-2023")</f>
        <v/>
      </c>
      <c r="Z35">
        <f>HYPERLINK("https://klasma.github.io/Logging_1983/klagomålsmail/A 60991-2023 FSC-klagomål mail.docx", "A 60991-2023")</f>
        <v/>
      </c>
      <c r="AA35">
        <f>HYPERLINK("https://klasma.github.io/Logging_1983/tillsyn/A 60991-2023 tillsynsbegäran.docx", "A 60991-2023")</f>
        <v/>
      </c>
      <c r="AB35">
        <f>HYPERLINK("https://klasma.github.io/Logging_1983/tillsynsmail/A 60991-2023 tillsynsbegäran mail.docx", "A 60991-2023")</f>
        <v/>
      </c>
      <c r="AC35">
        <f>HYPERLINK("https://klasma.github.io/Logging_1983/fåglar/A 60991-2023 prioriterade fågelarter.docx", "A 60991-2023")</f>
        <v/>
      </c>
    </row>
    <row r="36" ht="15" customHeight="1">
      <c r="A36" t="inlineStr">
        <is>
          <t>A 29089-2026</t>
        </is>
      </c>
      <c r="B36" t="inlineStr">
        <is>
          <t>avverkningsanmälan</t>
        </is>
      </c>
      <c r="C36" t="inlineStr">
        <is>
          <t>Föryngringsavverkning</t>
        </is>
      </c>
      <c r="D36" s="1" t="n">
        <v>46200</v>
      </c>
      <c r="E36" s="1" t="n">
        <v>46216</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s="2" t="inlineStr">
        <is>
          <t>Fläcknycklar</t>
        </is>
      </c>
      <c r="V36">
        <f>HYPERLINK("https://klasma.github.io/Logging_1983/artfynd/A 29089-2026 artfynd.xlsx", "A 29089-2026")</f>
        <v/>
      </c>
      <c r="W36">
        <f>HYPERLINK("https://klasma.github.io/Logging_1983/kartor/A 29089-2026 karta.png", "A 29089-2026")</f>
        <v/>
      </c>
      <c r="Y36">
        <f>HYPERLINK("https://klasma.github.io/Logging_1983/klagomål/A 29089-2026 FSC-klagomål.docx", "A 29089-2026")</f>
        <v/>
      </c>
      <c r="Z36">
        <f>HYPERLINK("https://klasma.github.io/Logging_1983/klagomålsmail/A 29089-2026 FSC-klagomål mail.docx", "A 29089-2026")</f>
        <v/>
      </c>
      <c r="AA36">
        <f>HYPERLINK("https://klasma.github.io/Logging_1983/tillsyn/A 29089-2026 tillsynsbegäran.docx", "A 29089-2026")</f>
        <v/>
      </c>
      <c r="AB36">
        <f>HYPERLINK("https://klasma.github.io/Logging_1983/tillsynsmail/A 29089-2026 tillsynsbegäran mail.docx", "A 29089-2026")</f>
        <v/>
      </c>
    </row>
    <row r="37" ht="15" customHeight="1">
      <c r="A37" t="inlineStr">
        <is>
          <t>A 23557-2026</t>
        </is>
      </c>
      <c r="B37" t="inlineStr">
        <is>
          <t>avverkningsanmälan</t>
        </is>
      </c>
      <c r="C37" t="inlineStr">
        <is>
          <t>Föryngringsavverkning</t>
        </is>
      </c>
      <c r="D37" s="1" t="n">
        <v>46163</v>
      </c>
      <c r="E37" s="1" t="n">
        <v>46216</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s="2" t="inlineStr">
        <is>
          <t>Fläcknycklar</t>
        </is>
      </c>
      <c r="V37">
        <f>HYPERLINK("https://klasma.github.io/Logging_1983/artfynd/A 23557-2026 artfynd.xlsx", "A 23557-2026")</f>
        <v/>
      </c>
      <c r="W37">
        <f>HYPERLINK("https://klasma.github.io/Logging_1983/kartor/A 23557-2026 karta.png", "A 23557-2026")</f>
        <v/>
      </c>
      <c r="Y37">
        <f>HYPERLINK("https://klasma.github.io/Logging_1983/klagomål/A 23557-2026 FSC-klagomål.docx", "A 23557-2026")</f>
        <v/>
      </c>
      <c r="Z37">
        <f>HYPERLINK("https://klasma.github.io/Logging_1983/klagomålsmail/A 23557-2026 FSC-klagomål mail.docx", "A 23557-2026")</f>
        <v/>
      </c>
      <c r="AA37">
        <f>HYPERLINK("https://klasma.github.io/Logging_1983/tillsyn/A 23557-2026 tillsynsbegäran.docx", "A 23557-2026")</f>
        <v/>
      </c>
      <c r="AB37">
        <f>HYPERLINK("https://klasma.github.io/Logging_1983/tillsynsmail/A 23557-2026 tillsynsbegäran mail.docx", "A 23557-2026")</f>
        <v/>
      </c>
    </row>
    <row r="38" ht="15" customHeight="1">
      <c r="A38" t="inlineStr">
        <is>
          <t>A 23398-2026</t>
        </is>
      </c>
      <c r="B38" t="inlineStr">
        <is>
          <t>avverkningsanmälan</t>
        </is>
      </c>
      <c r="C38" t="inlineStr">
        <is>
          <t>Föryngringsavverkning</t>
        </is>
      </c>
      <c r="D38" s="1" t="n">
        <v>46162</v>
      </c>
      <c r="E38" s="1" t="n">
        <v>46216</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s="2" t="inlineStr">
        <is>
          <t>Spillkråka</t>
        </is>
      </c>
      <c r="V38">
        <f>HYPERLINK("https://klasma.github.io/Logging_1983/artfynd/A 23398-2026 artfynd.xlsx", "A 23398-2026")</f>
        <v/>
      </c>
      <c r="W38">
        <f>HYPERLINK("https://klasma.github.io/Logging_1983/kartor/A 23398-2026 karta.png", "A 23398-2026")</f>
        <v/>
      </c>
      <c r="Y38">
        <f>HYPERLINK("https://klasma.github.io/Logging_1983/klagomål/A 23398-2026 FSC-klagomål.docx", "A 23398-2026")</f>
        <v/>
      </c>
      <c r="Z38">
        <f>HYPERLINK("https://klasma.github.io/Logging_1983/klagomålsmail/A 23398-2026 FSC-klagomål mail.docx", "A 23398-2026")</f>
        <v/>
      </c>
      <c r="AA38">
        <f>HYPERLINK("https://klasma.github.io/Logging_1983/tillsyn/A 23398-2026 tillsynsbegäran.docx", "A 23398-2026")</f>
        <v/>
      </c>
      <c r="AB38">
        <f>HYPERLINK("https://klasma.github.io/Logging_1983/tillsynsmail/A 23398-2026 tillsynsbegäran mail.docx", "A 23398-2026")</f>
        <v/>
      </c>
      <c r="AC38">
        <f>HYPERLINK("https://klasma.github.io/Logging_1983/fåglar/A 23398-2026 prioriterade fågelarter.docx", "A 23398-2026")</f>
        <v/>
      </c>
    </row>
    <row r="39" ht="15" customHeight="1">
      <c r="A39" t="inlineStr">
        <is>
          <t>A 30315-2026</t>
        </is>
      </c>
      <c r="B39" t="inlineStr">
        <is>
          <t>avverkningsanmälan</t>
        </is>
      </c>
      <c r="C39" t="inlineStr">
        <is>
          <t>Föryngringsavverkning</t>
        </is>
      </c>
      <c r="D39" s="1" t="n">
        <v>46206</v>
      </c>
      <c r="E39" s="1" t="n">
        <v>46216</v>
      </c>
      <c r="F39" t="inlineStr">
        <is>
          <t>VÄSTMANLANDS LÄN</t>
        </is>
      </c>
      <c r="G39" t="inlineStr">
        <is>
          <t>KÖPING</t>
        </is>
      </c>
      <c r="I39" t="n">
        <v>5.6</v>
      </c>
      <c r="J39" t="n">
        <v>0</v>
      </c>
      <c r="K39" t="n">
        <v>0</v>
      </c>
      <c r="L39" t="n">
        <v>1</v>
      </c>
      <c r="M39" t="n">
        <v>0</v>
      </c>
      <c r="N39" t="n">
        <v>0</v>
      </c>
      <c r="O39" t="n">
        <v>0</v>
      </c>
      <c r="P39" t="n">
        <v>0</v>
      </c>
      <c r="Q39" t="n">
        <v>1</v>
      </c>
      <c r="R39" t="n">
        <v>0</v>
      </c>
      <c r="S39" t="n">
        <v>1</v>
      </c>
      <c r="T39" t="n">
        <v>1</v>
      </c>
      <c r="U39" s="2" t="inlineStr">
        <is>
          <t>Svinrot</t>
        </is>
      </c>
      <c r="V39">
        <f>HYPERLINK("https://klasma.github.io/Logging_1983/artfynd/A 30315-2026 artfynd.xlsx", "A 30315-2026")</f>
        <v/>
      </c>
      <c r="W39">
        <f>HYPERLINK("https://klasma.github.io/Logging_1983/kartor/A 30315-2026 karta.png", "A 30315-2026")</f>
        <v/>
      </c>
      <c r="Y39">
        <f>HYPERLINK("https://klasma.github.io/Logging_1983/klagomål/A 30315-2026 FSC-klagomål.docx", "A 30315-2026")</f>
        <v/>
      </c>
      <c r="Z39">
        <f>HYPERLINK("https://klasma.github.io/Logging_1983/klagomålsmail/A 30315-2026 FSC-klagomål mail.docx", "A 30315-2026")</f>
        <v/>
      </c>
      <c r="AA39">
        <f>HYPERLINK("https://klasma.github.io/Logging_1983/tillsyn/A 30315-2026 tillsynsbegäran.docx", "A 30315-2026")</f>
        <v/>
      </c>
      <c r="AB39">
        <f>HYPERLINK("https://klasma.github.io/Logging_1983/tillsynsmail/A 30315-2026 tillsynsbegäran mail.docx", "A 30315-2026")</f>
        <v/>
      </c>
    </row>
    <row r="40" ht="15" customHeight="1">
      <c r="A40" t="inlineStr">
        <is>
          <t>A 55157-2023</t>
        </is>
      </c>
      <c r="B40" t="inlineStr">
        <is>
          <t>avverkningsanmälan</t>
        </is>
      </c>
      <c r="C40" t="inlineStr">
        <is>
          <t>Föryngringsavverkning</t>
        </is>
      </c>
      <c r="D40" s="1" t="n">
        <v>45237</v>
      </c>
      <c r="E40" s="1" t="n">
        <v>46216</v>
      </c>
      <c r="F40" t="inlineStr">
        <is>
          <t>VÄSTMANLANDS LÄN</t>
        </is>
      </c>
      <c r="G40" t="inlineStr">
        <is>
          <t>KÖPING</t>
        </is>
      </c>
      <c r="I40" t="n">
        <v>6.7</v>
      </c>
      <c r="J40" t="n">
        <v>1</v>
      </c>
      <c r="K40" t="n">
        <v>0</v>
      </c>
      <c r="L40" t="n">
        <v>0</v>
      </c>
      <c r="M40" t="n">
        <v>0</v>
      </c>
      <c r="N40" t="n">
        <v>0</v>
      </c>
      <c r="O40" t="n">
        <v>0</v>
      </c>
      <c r="P40" t="n">
        <v>0</v>
      </c>
      <c r="Q40" t="n">
        <v>0</v>
      </c>
      <c r="R40" t="n">
        <v>0</v>
      </c>
      <c r="S40" t="n">
        <v>1</v>
      </c>
      <c r="T40" t="n">
        <v>1</v>
      </c>
      <c r="U40" s="2" t="inlineStr">
        <is>
          <t>Nattviol</t>
        </is>
      </c>
      <c r="V40">
        <f>HYPERLINK("https://klasma.github.io/Logging_1983/artfynd/A 55157-2023 artfynd.xlsx", "A 55157-2023")</f>
        <v/>
      </c>
      <c r="W40">
        <f>HYPERLINK("https://klasma.github.io/Logging_1983/kartor/A 55157-2023 karta.png", "A 55157-2023")</f>
        <v/>
      </c>
      <c r="Y40">
        <f>HYPERLINK("https://klasma.github.io/Logging_1983/klagomål/A 55157-2023 FSC-klagomål.docx", "A 55157-2023")</f>
        <v/>
      </c>
      <c r="Z40">
        <f>HYPERLINK("https://klasma.github.io/Logging_1983/klagomålsmail/A 55157-2023 FSC-klagomål mail.docx", "A 55157-2023")</f>
        <v/>
      </c>
      <c r="AA40">
        <f>HYPERLINK("https://klasma.github.io/Logging_1983/tillsyn/A 55157-2023 tillsynsbegäran.docx", "A 55157-2023")</f>
        <v/>
      </c>
      <c r="AB40">
        <f>HYPERLINK("https://klasma.github.io/Logging_1983/tillsynsmail/A 55157-2023 tillsynsbegäran mail.docx", "A 55157-2023")</f>
        <v/>
      </c>
    </row>
    <row r="41" ht="15" customHeight="1">
      <c r="A41" t="inlineStr">
        <is>
          <t>S 4280-2023</t>
        </is>
      </c>
      <c r="B41" t="inlineStr">
        <is>
          <t>samrådsanmälan</t>
        </is>
      </c>
      <c r="C41" t="inlineStr">
        <is>
          <t>Annan skogsbruksåtgärd</t>
        </is>
      </c>
      <c r="D41" s="1" t="n">
        <v>45257</v>
      </c>
      <c r="E41" s="1" t="n">
        <v>46216</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s="2" t="inlineStr">
        <is>
          <t>Gulvit blekspik</t>
        </is>
      </c>
      <c r="V41">
        <f>HYPERLINK("https://klasma.github.io/Logging_1983/artfynd/S 4280-2023 artfynd.xlsx", "S 4280-2023")</f>
        <v/>
      </c>
      <c r="W41">
        <f>HYPERLINK("https://klasma.github.io/Logging_1983/kartor/S 4280-2023 karta.png", "S 4280-2023")</f>
        <v/>
      </c>
      <c r="Y41">
        <f>HYPERLINK("https://klasma.github.io/Logging_1983/klagomål/S 4280-2023 FSC-klagomål.docx", "S 4280-2023")</f>
        <v/>
      </c>
      <c r="Z41">
        <f>HYPERLINK("https://klasma.github.io/Logging_1983/klagomålsmail/S 4280-2023 FSC-klagomål mail.docx", "S 4280-2023")</f>
        <v/>
      </c>
      <c r="AA41">
        <f>HYPERLINK("https://klasma.github.io/Logging_1983/tillsyn/S 4280-2023 tillsynsbegäran.docx", "S 4280-2023")</f>
        <v/>
      </c>
      <c r="AB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46216</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s="2" t="inlineStr"/>
    </row>
    <row r="43" ht="15" customHeight="1">
      <c r="A43" t="inlineStr">
        <is>
          <t>A 35108-2022</t>
        </is>
      </c>
      <c r="B43" t="inlineStr">
        <is>
          <t>avverkningsanmälan</t>
        </is>
      </c>
      <c r="C43" t="inlineStr">
        <is>
          <t>Föryngringsavverkning</t>
        </is>
      </c>
      <c r="D43" s="1" t="n">
        <v>44797</v>
      </c>
      <c r="E43" s="1" t="n">
        <v>46216</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s="2" t="inlineStr"/>
    </row>
    <row r="44" ht="15" customHeight="1">
      <c r="A44" t="inlineStr">
        <is>
          <t>A 46661-2021</t>
        </is>
      </c>
      <c r="B44" t="inlineStr">
        <is>
          <t>avverkningsanmälan</t>
        </is>
      </c>
      <c r="C44" t="inlineStr">
        <is>
          <t>Föryngringsavverkning</t>
        </is>
      </c>
      <c r="D44" s="1" t="n">
        <v>44445</v>
      </c>
      <c r="E44" s="1" t="n">
        <v>46216</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s="2" t="inlineStr"/>
    </row>
    <row r="45" ht="15" customHeight="1">
      <c r="A45" t="inlineStr">
        <is>
          <t>A 69656-2021</t>
        </is>
      </c>
      <c r="B45" t="inlineStr">
        <is>
          <t>avverkningsanmälan</t>
        </is>
      </c>
      <c r="C45" t="inlineStr">
        <is>
          <t>Föryngringsavverkning</t>
        </is>
      </c>
      <c r="D45" s="1" t="n">
        <v>44532</v>
      </c>
      <c r="E45" s="1" t="n">
        <v>46216</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s="2" t="inlineStr"/>
    </row>
    <row r="46" ht="15" customHeight="1">
      <c r="A46" t="inlineStr">
        <is>
          <t>A 56249-2021</t>
        </is>
      </c>
      <c r="B46" t="inlineStr">
        <is>
          <t>avverkningsanmälan</t>
        </is>
      </c>
      <c r="C46" t="inlineStr">
        <is>
          <t>Föryngringsavverkning</t>
        </is>
      </c>
      <c r="D46" s="1" t="n">
        <v>44479</v>
      </c>
      <c r="E46" s="1" t="n">
        <v>46216</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s="2" t="inlineStr"/>
    </row>
    <row r="47" ht="15" customHeight="1">
      <c r="A47" t="inlineStr">
        <is>
          <t>A 58551-2021</t>
        </is>
      </c>
      <c r="B47" t="inlineStr">
        <is>
          <t>avverkningsanmälan</t>
        </is>
      </c>
      <c r="C47" t="inlineStr">
        <is>
          <t>Föryngringsavverkning</t>
        </is>
      </c>
      <c r="D47" s="1" t="n">
        <v>44488</v>
      </c>
      <c r="E47" s="1" t="n">
        <v>46216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s="2" t="inlineStr"/>
    </row>
    <row r="48" ht="15" customHeight="1">
      <c r="A48" t="inlineStr">
        <is>
          <t>A 46343-2021</t>
        </is>
      </c>
      <c r="B48" t="inlineStr">
        <is>
          <t>avverkningsanmälan</t>
        </is>
      </c>
      <c r="C48" t="inlineStr">
        <is>
          <t>Föryngringsavverkning</t>
        </is>
      </c>
      <c r="D48" s="1" t="n">
        <v>44442</v>
      </c>
      <c r="E48" s="1" t="n">
        <v>46216</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46216</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46216</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39162-2021</t>
        </is>
      </c>
      <c r="B51" t="inlineStr">
        <is>
          <t>avverkningsanmälan</t>
        </is>
      </c>
      <c r="C51" t="inlineStr">
        <is>
          <t>Föryngringsavverkning</t>
        </is>
      </c>
      <c r="D51" s="1" t="n">
        <v>44412</v>
      </c>
      <c r="E51" s="1" t="n">
        <v>46216</v>
      </c>
      <c r="F51" t="inlineStr">
        <is>
          <t>VÄSTMANLANDS LÄN</t>
        </is>
      </c>
      <c r="G51" t="inlineStr">
        <is>
          <t>KÖPING</t>
        </is>
      </c>
      <c r="I51" t="n">
        <v>1.1</v>
      </c>
      <c r="J51" t="n">
        <v>0</v>
      </c>
      <c r="K51" t="n">
        <v>0</v>
      </c>
      <c r="L51" t="n">
        <v>0</v>
      </c>
      <c r="M51" t="n">
        <v>0</v>
      </c>
      <c r="N51" t="n">
        <v>0</v>
      </c>
      <c r="O51" t="n">
        <v>0</v>
      </c>
      <c r="P51" t="n">
        <v>0</v>
      </c>
      <c r="Q51" t="n">
        <v>0</v>
      </c>
      <c r="R51" t="n">
        <v>0</v>
      </c>
      <c r="S51" t="n">
        <v>0</v>
      </c>
      <c r="T51" t="n">
        <v>0</v>
      </c>
      <c r="U51" s="2" t="inlineStr"/>
    </row>
    <row r="52" ht="15" customHeight="1">
      <c r="A52" t="inlineStr">
        <is>
          <t>A 41052-2022</t>
        </is>
      </c>
      <c r="B52" t="inlineStr">
        <is>
          <t>avverkningsanmälan</t>
        </is>
      </c>
      <c r="C52" t="inlineStr">
        <is>
          <t>Föryngringsavverkning</t>
        </is>
      </c>
      <c r="D52" s="1" t="n">
        <v>44825</v>
      </c>
      <c r="E52" s="1" t="n">
        <v>46216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s="2" t="inlineStr"/>
    </row>
    <row r="53" ht="15" customHeight="1">
      <c r="A53" t="inlineStr">
        <is>
          <t>A 42491-2022</t>
        </is>
      </c>
      <c r="B53" t="inlineStr">
        <is>
          <t>avverkningsanmälan</t>
        </is>
      </c>
      <c r="C53" t="inlineStr">
        <is>
          <t>Föryngringsavverkning</t>
        </is>
      </c>
      <c r="D53" s="1" t="n">
        <v>44831</v>
      </c>
      <c r="E53" s="1" t="n">
        <v>46216</v>
      </c>
      <c r="F53" t="inlineStr">
        <is>
          <t>VÄSTMANLANDS LÄN</t>
        </is>
      </c>
      <c r="G53" t="inlineStr">
        <is>
          <t>KÖPING</t>
        </is>
      </c>
      <c r="I53" t="n">
        <v>1.7</v>
      </c>
      <c r="J53" t="n">
        <v>0</v>
      </c>
      <c r="K53" t="n">
        <v>0</v>
      </c>
      <c r="L53" t="n">
        <v>0</v>
      </c>
      <c r="M53" t="n">
        <v>0</v>
      </c>
      <c r="N53" t="n">
        <v>0</v>
      </c>
      <c r="O53" t="n">
        <v>0</v>
      </c>
      <c r="P53" t="n">
        <v>0</v>
      </c>
      <c r="Q53" t="n">
        <v>0</v>
      </c>
      <c r="R53" t="n">
        <v>0</v>
      </c>
      <c r="S53" t="n">
        <v>0</v>
      </c>
      <c r="T53" t="n">
        <v>0</v>
      </c>
      <c r="U53" s="2" t="inlineStr"/>
    </row>
    <row r="54" ht="15" customHeight="1">
      <c r="A54" t="inlineStr">
        <is>
          <t>A 69645-2021</t>
        </is>
      </c>
      <c r="B54" t="inlineStr">
        <is>
          <t>avverkningsanmälan</t>
        </is>
      </c>
      <c r="C54" t="inlineStr">
        <is>
          <t>Föryngringsavverkning</t>
        </is>
      </c>
      <c r="D54" s="1" t="n">
        <v>44532</v>
      </c>
      <c r="E54" s="1" t="n">
        <v>46216</v>
      </c>
      <c r="F54" t="inlineStr">
        <is>
          <t>VÄSTMANLANDS LÄN</t>
        </is>
      </c>
      <c r="G54" t="inlineStr">
        <is>
          <t>KÖPING</t>
        </is>
      </c>
      <c r="I54" t="n">
        <v>4.6</v>
      </c>
      <c r="J54" t="n">
        <v>0</v>
      </c>
      <c r="K54" t="n">
        <v>0</v>
      </c>
      <c r="L54" t="n">
        <v>0</v>
      </c>
      <c r="M54" t="n">
        <v>0</v>
      </c>
      <c r="N54" t="n">
        <v>0</v>
      </c>
      <c r="O54" t="n">
        <v>0</v>
      </c>
      <c r="P54" t="n">
        <v>0</v>
      </c>
      <c r="Q54" t="n">
        <v>0</v>
      </c>
      <c r="R54" t="n">
        <v>0</v>
      </c>
      <c r="S54" t="n">
        <v>0</v>
      </c>
      <c r="T54" t="n">
        <v>0</v>
      </c>
      <c r="U54" s="2" t="inlineStr"/>
    </row>
    <row r="55" ht="15" customHeight="1">
      <c r="A55" t="inlineStr">
        <is>
          <t>A 45910-2021</t>
        </is>
      </c>
      <c r="B55" t="inlineStr">
        <is>
          <t>avverkningsanmälan</t>
        </is>
      </c>
      <c r="C55" t="inlineStr">
        <is>
          <t>Föryngringsavverkning</t>
        </is>
      </c>
      <c r="D55" s="1" t="n">
        <v>44441</v>
      </c>
      <c r="E55" s="1" t="n">
        <v>46216</v>
      </c>
      <c r="F55" t="inlineStr">
        <is>
          <t>VÄSTMANLANDS LÄN</t>
        </is>
      </c>
      <c r="G55" t="inlineStr">
        <is>
          <t>KÖPING</t>
        </is>
      </c>
      <c r="I55" t="n">
        <v>5</v>
      </c>
      <c r="J55" t="n">
        <v>0</v>
      </c>
      <c r="K55" t="n">
        <v>0</v>
      </c>
      <c r="L55" t="n">
        <v>0</v>
      </c>
      <c r="M55" t="n">
        <v>0</v>
      </c>
      <c r="N55" t="n">
        <v>0</v>
      </c>
      <c r="O55" t="n">
        <v>0</v>
      </c>
      <c r="P55" t="n">
        <v>0</v>
      </c>
      <c r="Q55" t="n">
        <v>0</v>
      </c>
      <c r="R55" t="n">
        <v>0</v>
      </c>
      <c r="S55" t="n">
        <v>0</v>
      </c>
      <c r="T55" t="n">
        <v>0</v>
      </c>
      <c r="U55" s="2" t="inlineStr"/>
    </row>
    <row r="56" ht="15" customHeight="1">
      <c r="A56" t="inlineStr">
        <is>
          <t>A 36866-2021</t>
        </is>
      </c>
      <c r="B56" t="inlineStr">
        <is>
          <t>avverkningsanmälan</t>
        </is>
      </c>
      <c r="C56" t="inlineStr">
        <is>
          <t>Föryngringsavverkning</t>
        </is>
      </c>
      <c r="D56" s="1" t="n">
        <v>44393</v>
      </c>
      <c r="E56" s="1" t="n">
        <v>46216</v>
      </c>
      <c r="F56" t="inlineStr">
        <is>
          <t>VÄSTMANLANDS LÄN</t>
        </is>
      </c>
      <c r="G56" t="inlineStr">
        <is>
          <t>KÖPING</t>
        </is>
      </c>
      <c r="I56" t="n">
        <v>3.4</v>
      </c>
      <c r="J56" t="n">
        <v>0</v>
      </c>
      <c r="K56" t="n">
        <v>0</v>
      </c>
      <c r="L56" t="n">
        <v>0</v>
      </c>
      <c r="M56" t="n">
        <v>0</v>
      </c>
      <c r="N56" t="n">
        <v>0</v>
      </c>
      <c r="O56" t="n">
        <v>0</v>
      </c>
      <c r="P56" t="n">
        <v>0</v>
      </c>
      <c r="Q56" t="n">
        <v>0</v>
      </c>
      <c r="R56" t="n">
        <v>0</v>
      </c>
      <c r="S56" t="n">
        <v>0</v>
      </c>
      <c r="T56" t="n">
        <v>0</v>
      </c>
      <c r="U56" s="2" t="inlineStr"/>
    </row>
    <row r="57" ht="15" customHeight="1">
      <c r="A57" t="inlineStr">
        <is>
          <t>A 54301-2021</t>
        </is>
      </c>
      <c r="B57" t="inlineStr">
        <is>
          <t>avverkningsanmälan</t>
        </is>
      </c>
      <c r="C57" t="inlineStr">
        <is>
          <t>Föryngringsavverkning</t>
        </is>
      </c>
      <c r="D57" s="1" t="n">
        <v>44472</v>
      </c>
      <c r="E57" s="1" t="n">
        <v>46216</v>
      </c>
      <c r="F57" t="inlineStr">
        <is>
          <t>VÄSTMANLANDS LÄN</t>
        </is>
      </c>
      <c r="G57" t="inlineStr">
        <is>
          <t>KÖPING</t>
        </is>
      </c>
      <c r="I57" t="n">
        <v>2.6</v>
      </c>
      <c r="J57" t="n">
        <v>0</v>
      </c>
      <c r="K57" t="n">
        <v>0</v>
      </c>
      <c r="L57" t="n">
        <v>0</v>
      </c>
      <c r="M57" t="n">
        <v>0</v>
      </c>
      <c r="N57" t="n">
        <v>0</v>
      </c>
      <c r="O57" t="n">
        <v>0</v>
      </c>
      <c r="P57" t="n">
        <v>0</v>
      </c>
      <c r="Q57" t="n">
        <v>0</v>
      </c>
      <c r="R57" t="n">
        <v>0</v>
      </c>
      <c r="S57" t="n">
        <v>0</v>
      </c>
      <c r="T57" t="n">
        <v>0</v>
      </c>
      <c r="U57" s="2" t="inlineStr"/>
    </row>
    <row r="58" ht="15" customHeight="1">
      <c r="A58" t="inlineStr">
        <is>
          <t>A 71717-2021</t>
        </is>
      </c>
      <c r="B58" t="inlineStr">
        <is>
          <t>avverkningsanmälan</t>
        </is>
      </c>
      <c r="C58" t="inlineStr">
        <is>
          <t>Föryngringsavverkning</t>
        </is>
      </c>
      <c r="D58" s="1" t="n">
        <v>44539</v>
      </c>
      <c r="E58" s="1" t="n">
        <v>46216</v>
      </c>
      <c r="F58" t="inlineStr">
        <is>
          <t>VÄSTMANLANDS LÄN</t>
        </is>
      </c>
      <c r="G58" t="inlineStr">
        <is>
          <t>KÖPING</t>
        </is>
      </c>
      <c r="I58" t="n">
        <v>9.300000000000001</v>
      </c>
      <c r="J58" t="n">
        <v>0</v>
      </c>
      <c r="K58" t="n">
        <v>0</v>
      </c>
      <c r="L58" t="n">
        <v>0</v>
      </c>
      <c r="M58" t="n">
        <v>0</v>
      </c>
      <c r="N58" t="n">
        <v>0</v>
      </c>
      <c r="O58" t="n">
        <v>0</v>
      </c>
      <c r="P58" t="n">
        <v>0</v>
      </c>
      <c r="Q58" t="n">
        <v>0</v>
      </c>
      <c r="R58" t="n">
        <v>0</v>
      </c>
      <c r="S58" t="n">
        <v>0</v>
      </c>
      <c r="T58" t="n">
        <v>0</v>
      </c>
      <c r="U58" s="2" t="inlineStr"/>
    </row>
    <row r="59" ht="15" customHeight="1">
      <c r="A59" t="inlineStr">
        <is>
          <t>A 17810-2022</t>
        </is>
      </c>
      <c r="B59" t="inlineStr">
        <is>
          <t>avverkningsanmälan</t>
        </is>
      </c>
      <c r="C59" t="inlineStr">
        <is>
          <t>Föryngringsavverkning</t>
        </is>
      </c>
      <c r="D59" s="1" t="n">
        <v>44683</v>
      </c>
      <c r="E59" s="1" t="n">
        <v>46216</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8687-2022</t>
        </is>
      </c>
      <c r="B60" t="inlineStr">
        <is>
          <t>avverkningsanmälan</t>
        </is>
      </c>
      <c r="C60" t="inlineStr">
        <is>
          <t>Avverkning för annat ändamål</t>
        </is>
      </c>
      <c r="D60" s="1" t="n">
        <v>44613</v>
      </c>
      <c r="E60" s="1" t="n">
        <v>46216</v>
      </c>
      <c r="F60" t="inlineStr">
        <is>
          <t>VÄSTMANLANDS LÄN</t>
        </is>
      </c>
      <c r="G60" t="inlineStr">
        <is>
          <t>KÖPING</t>
        </is>
      </c>
      <c r="I60" t="n">
        <v>0.4</v>
      </c>
      <c r="J60" t="n">
        <v>0</v>
      </c>
      <c r="K60" t="n">
        <v>0</v>
      </c>
      <c r="L60" t="n">
        <v>0</v>
      </c>
      <c r="M60" t="n">
        <v>0</v>
      </c>
      <c r="N60" t="n">
        <v>0</v>
      </c>
      <c r="O60" t="n">
        <v>0</v>
      </c>
      <c r="P60" t="n">
        <v>0</v>
      </c>
      <c r="Q60" t="n">
        <v>0</v>
      </c>
      <c r="R60" t="n">
        <v>0</v>
      </c>
      <c r="S60" t="n">
        <v>0</v>
      </c>
      <c r="T60" t="n">
        <v>0</v>
      </c>
      <c r="U60" s="2" t="inlineStr"/>
    </row>
    <row r="61" ht="15" customHeight="1">
      <c r="A61" t="inlineStr">
        <is>
          <t>A 35144-2022</t>
        </is>
      </c>
      <c r="B61" t="inlineStr">
        <is>
          <t>avverkningsanmälan</t>
        </is>
      </c>
      <c r="C61" t="inlineStr">
        <is>
          <t>Föryngringsavverkning</t>
        </is>
      </c>
      <c r="D61" s="1" t="n">
        <v>44797</v>
      </c>
      <c r="E61" s="1" t="n">
        <v>46216</v>
      </c>
      <c r="F61" t="inlineStr">
        <is>
          <t>VÄSTMANLANDS LÄN</t>
        </is>
      </c>
      <c r="G61" t="inlineStr">
        <is>
          <t>KÖPING</t>
        </is>
      </c>
      <c r="I61" t="n">
        <v>1.2</v>
      </c>
      <c r="J61" t="n">
        <v>0</v>
      </c>
      <c r="K61" t="n">
        <v>0</v>
      </c>
      <c r="L61" t="n">
        <v>0</v>
      </c>
      <c r="M61" t="n">
        <v>0</v>
      </c>
      <c r="N61" t="n">
        <v>0</v>
      </c>
      <c r="O61" t="n">
        <v>0</v>
      </c>
      <c r="P61" t="n">
        <v>0</v>
      </c>
      <c r="Q61" t="n">
        <v>0</v>
      </c>
      <c r="R61" t="n">
        <v>0</v>
      </c>
      <c r="S61" t="n">
        <v>0</v>
      </c>
      <c r="T61" t="n">
        <v>0</v>
      </c>
      <c r="U61" s="2" t="inlineStr"/>
    </row>
    <row r="62" ht="15" customHeight="1">
      <c r="A62" t="inlineStr">
        <is>
          <t>A 51203-2022</t>
        </is>
      </c>
      <c r="B62" t="inlineStr">
        <is>
          <t>avverkningsanmälan</t>
        </is>
      </c>
      <c r="C62" t="inlineStr">
        <is>
          <t>Föryngringsavverkning</t>
        </is>
      </c>
      <c r="D62" s="1" t="n">
        <v>44868</v>
      </c>
      <c r="E62" s="1" t="n">
        <v>46216</v>
      </c>
      <c r="F62" t="inlineStr">
        <is>
          <t>VÄSTMANLANDS LÄN</t>
        </is>
      </c>
      <c r="G62" t="inlineStr">
        <is>
          <t>KÖPING</t>
        </is>
      </c>
      <c r="I62" t="n">
        <v>0.9</v>
      </c>
      <c r="J62" t="n">
        <v>0</v>
      </c>
      <c r="K62" t="n">
        <v>0</v>
      </c>
      <c r="L62" t="n">
        <v>0</v>
      </c>
      <c r="M62" t="n">
        <v>0</v>
      </c>
      <c r="N62" t="n">
        <v>0</v>
      </c>
      <c r="O62" t="n">
        <v>0</v>
      </c>
      <c r="P62" t="n">
        <v>0</v>
      </c>
      <c r="Q62" t="n">
        <v>0</v>
      </c>
      <c r="R62" t="n">
        <v>0</v>
      </c>
      <c r="S62" t="n">
        <v>0</v>
      </c>
      <c r="T62" t="n">
        <v>0</v>
      </c>
      <c r="U62" s="2" t="inlineStr"/>
    </row>
    <row r="63" ht="15" customHeight="1">
      <c r="A63" t="inlineStr">
        <is>
          <t>A 73890-2021</t>
        </is>
      </c>
      <c r="B63" t="inlineStr">
        <is>
          <t>avverkningsanmälan</t>
        </is>
      </c>
      <c r="C63" t="inlineStr">
        <is>
          <t>Föryngringsavverkning</t>
        </is>
      </c>
      <c r="D63" s="1" t="n">
        <v>44553</v>
      </c>
      <c r="E63" s="1" t="n">
        <v>46216</v>
      </c>
      <c r="F63" t="inlineStr">
        <is>
          <t>VÄSTMANLANDS LÄN</t>
        </is>
      </c>
      <c r="G63" t="inlineStr">
        <is>
          <t>KÖPING</t>
        </is>
      </c>
      <c r="I63" t="n">
        <v>2.9</v>
      </c>
      <c r="J63" t="n">
        <v>0</v>
      </c>
      <c r="K63" t="n">
        <v>0</v>
      </c>
      <c r="L63" t="n">
        <v>0</v>
      </c>
      <c r="M63" t="n">
        <v>0</v>
      </c>
      <c r="N63" t="n">
        <v>0</v>
      </c>
      <c r="O63" t="n">
        <v>0</v>
      </c>
      <c r="P63" t="n">
        <v>0</v>
      </c>
      <c r="Q63" t="n">
        <v>0</v>
      </c>
      <c r="R63" t="n">
        <v>0</v>
      </c>
      <c r="S63" t="n">
        <v>0</v>
      </c>
      <c r="T63" t="n">
        <v>0</v>
      </c>
      <c r="U63" s="2" t="inlineStr"/>
    </row>
    <row r="64" ht="15" customHeight="1">
      <c r="A64" t="inlineStr">
        <is>
          <t>A 15160-2022</t>
        </is>
      </c>
      <c r="B64" t="inlineStr">
        <is>
          <t>avverkningsanmälan</t>
        </is>
      </c>
      <c r="C64" t="inlineStr">
        <is>
          <t>Föryngringsavverkning</t>
        </is>
      </c>
      <c r="D64" s="1" t="n">
        <v>44658</v>
      </c>
      <c r="E64" s="1" t="n">
        <v>46216</v>
      </c>
      <c r="F64" t="inlineStr">
        <is>
          <t>VÄSTMANLANDS LÄN</t>
        </is>
      </c>
      <c r="G64" t="inlineStr">
        <is>
          <t>KÖPING</t>
        </is>
      </c>
      <c r="I64" t="n">
        <v>0.5</v>
      </c>
      <c r="J64" t="n">
        <v>0</v>
      </c>
      <c r="K64" t="n">
        <v>0</v>
      </c>
      <c r="L64" t="n">
        <v>0</v>
      </c>
      <c r="M64" t="n">
        <v>0</v>
      </c>
      <c r="N64" t="n">
        <v>0</v>
      </c>
      <c r="O64" t="n">
        <v>0</v>
      </c>
      <c r="P64" t="n">
        <v>0</v>
      </c>
      <c r="Q64" t="n">
        <v>0</v>
      </c>
      <c r="R64" t="n">
        <v>0</v>
      </c>
      <c r="S64" t="n">
        <v>0</v>
      </c>
      <c r="T64" t="n">
        <v>0</v>
      </c>
      <c r="U64" s="2" t="inlineStr"/>
    </row>
    <row r="65" ht="15" customHeight="1">
      <c r="A65" t="inlineStr">
        <is>
          <t>A 15165-2022</t>
        </is>
      </c>
      <c r="B65" t="inlineStr">
        <is>
          <t>avverkningsanmälan</t>
        </is>
      </c>
      <c r="C65" t="inlineStr">
        <is>
          <t>Föryngringsavverkning</t>
        </is>
      </c>
      <c r="D65" s="1" t="n">
        <v>44658</v>
      </c>
      <c r="E65" s="1" t="n">
        <v>46216</v>
      </c>
      <c r="F65" t="inlineStr">
        <is>
          <t>VÄSTMANLANDS LÄN</t>
        </is>
      </c>
      <c r="G65" t="inlineStr">
        <is>
          <t>KÖPING</t>
        </is>
      </c>
      <c r="I65" t="n">
        <v>0.8</v>
      </c>
      <c r="J65" t="n">
        <v>0</v>
      </c>
      <c r="K65" t="n">
        <v>0</v>
      </c>
      <c r="L65" t="n">
        <v>0</v>
      </c>
      <c r="M65" t="n">
        <v>0</v>
      </c>
      <c r="N65" t="n">
        <v>0</v>
      </c>
      <c r="O65" t="n">
        <v>0</v>
      </c>
      <c r="P65" t="n">
        <v>0</v>
      </c>
      <c r="Q65" t="n">
        <v>0</v>
      </c>
      <c r="R65" t="n">
        <v>0</v>
      </c>
      <c r="S65" t="n">
        <v>0</v>
      </c>
      <c r="T65" t="n">
        <v>0</v>
      </c>
      <c r="U65" s="2" t="inlineStr"/>
    </row>
    <row r="66" ht="15" customHeight="1">
      <c r="A66" t="inlineStr">
        <is>
          <t>A 70909-2021</t>
        </is>
      </c>
      <c r="B66" t="inlineStr">
        <is>
          <t>avverkningsanmälan</t>
        </is>
      </c>
      <c r="C66" t="inlineStr">
        <is>
          <t>Föryngringsavverkning</t>
        </is>
      </c>
      <c r="D66" s="1" t="n">
        <v>44538</v>
      </c>
      <c r="E66" s="1" t="n">
        <v>46216</v>
      </c>
      <c r="F66" t="inlineStr">
        <is>
          <t>VÄSTMANLANDS LÄN</t>
        </is>
      </c>
      <c r="G66" t="inlineStr">
        <is>
          <t>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31193-2022</t>
        </is>
      </c>
      <c r="B67" t="inlineStr">
        <is>
          <t>avverkningsanmälan</t>
        </is>
      </c>
      <c r="C67" t="inlineStr">
        <is>
          <t>Föryngringsavverkning</t>
        </is>
      </c>
      <c r="D67" s="1" t="n">
        <v>44770</v>
      </c>
      <c r="E67" s="1" t="n">
        <v>46216</v>
      </c>
      <c r="F67" t="inlineStr">
        <is>
          <t>VÄSTMANLANDS LÄN</t>
        </is>
      </c>
      <c r="G67" t="inlineStr">
        <is>
          <t>KÖPING</t>
        </is>
      </c>
      <c r="H67" t="inlineStr">
        <is>
          <t>Sveaskog</t>
        </is>
      </c>
      <c r="I67" t="n">
        <v>0.5</v>
      </c>
      <c r="J67" t="n">
        <v>0</v>
      </c>
      <c r="K67" t="n">
        <v>0</v>
      </c>
      <c r="L67" t="n">
        <v>0</v>
      </c>
      <c r="M67" t="n">
        <v>0</v>
      </c>
      <c r="N67" t="n">
        <v>0</v>
      </c>
      <c r="O67" t="n">
        <v>0</v>
      </c>
      <c r="P67" t="n">
        <v>0</v>
      </c>
      <c r="Q67" t="n">
        <v>0</v>
      </c>
      <c r="R67" t="n">
        <v>0</v>
      </c>
      <c r="S67" t="n">
        <v>0</v>
      </c>
      <c r="T67" t="n">
        <v>0</v>
      </c>
      <c r="U67" s="2" t="inlineStr"/>
    </row>
    <row r="68" ht="15" customHeight="1">
      <c r="A68" t="inlineStr">
        <is>
          <t>A 72460-2021</t>
        </is>
      </c>
      <c r="B68" t="inlineStr">
        <is>
          <t>avverkningsanmälan</t>
        </is>
      </c>
      <c r="C68" t="inlineStr">
        <is>
          <t>Föryngringsavverkning</t>
        </is>
      </c>
      <c r="D68" s="1" t="n">
        <v>44545</v>
      </c>
      <c r="E68" s="1" t="n">
        <v>46216</v>
      </c>
      <c r="F68" t="inlineStr">
        <is>
          <t>VÄSTMANLANDS LÄN</t>
        </is>
      </c>
      <c r="G68" t="inlineStr">
        <is>
          <t>KÖPING</t>
        </is>
      </c>
      <c r="I68" t="n">
        <v>2.6</v>
      </c>
      <c r="J68" t="n">
        <v>0</v>
      </c>
      <c r="K68" t="n">
        <v>0</v>
      </c>
      <c r="L68" t="n">
        <v>0</v>
      </c>
      <c r="M68" t="n">
        <v>0</v>
      </c>
      <c r="N68" t="n">
        <v>0</v>
      </c>
      <c r="O68" t="n">
        <v>0</v>
      </c>
      <c r="P68" t="n">
        <v>0</v>
      </c>
      <c r="Q68" t="n">
        <v>0</v>
      </c>
      <c r="R68" t="n">
        <v>0</v>
      </c>
      <c r="S68" t="n">
        <v>0</v>
      </c>
      <c r="T68" t="n">
        <v>0</v>
      </c>
      <c r="U68" s="2" t="inlineStr"/>
    </row>
    <row r="69" ht="15" customHeight="1">
      <c r="A69" t="inlineStr">
        <is>
          <t>A 53148-2021</t>
        </is>
      </c>
      <c r="B69" t="inlineStr">
        <is>
          <t>avverkningsanmälan</t>
        </is>
      </c>
      <c r="C69" t="inlineStr">
        <is>
          <t>Avverkning för att bevara och utveckla /försöksver</t>
        </is>
      </c>
      <c r="D69" s="1" t="n">
        <v>44468</v>
      </c>
      <c r="E69" s="1" t="n">
        <v>46216</v>
      </c>
      <c r="F69" t="inlineStr">
        <is>
          <t>VÄSTMANLANDS LÄN</t>
        </is>
      </c>
      <c r="G69" t="inlineStr">
        <is>
          <t>KÖPING</t>
        </is>
      </c>
      <c r="H69" t="inlineStr">
        <is>
          <t>Sveaskog</t>
        </is>
      </c>
      <c r="I69" t="n">
        <v>3.8</v>
      </c>
      <c r="J69" t="n">
        <v>0</v>
      </c>
      <c r="K69" t="n">
        <v>0</v>
      </c>
      <c r="L69" t="n">
        <v>0</v>
      </c>
      <c r="M69" t="n">
        <v>0</v>
      </c>
      <c r="N69" t="n">
        <v>0</v>
      </c>
      <c r="O69" t="n">
        <v>0</v>
      </c>
      <c r="P69" t="n">
        <v>0</v>
      </c>
      <c r="Q69" t="n">
        <v>0</v>
      </c>
      <c r="R69" t="n">
        <v>0</v>
      </c>
      <c r="S69" t="n">
        <v>0</v>
      </c>
      <c r="T69" t="n">
        <v>0</v>
      </c>
      <c r="U69" s="2" t="inlineStr"/>
    </row>
    <row r="70" ht="15" customHeight="1">
      <c r="A70" t="inlineStr">
        <is>
          <t>A 60627-2021</t>
        </is>
      </c>
      <c r="B70" t="inlineStr">
        <is>
          <t>avverkningsanmälan</t>
        </is>
      </c>
      <c r="C70" t="inlineStr">
        <is>
          <t>Avverkning för annat ändamål</t>
        </is>
      </c>
      <c r="D70" s="1" t="n">
        <v>44496</v>
      </c>
      <c r="E70" s="1" t="n">
        <v>46216</v>
      </c>
      <c r="F70" t="inlineStr">
        <is>
          <t>VÄSTMANLANDS LÄN</t>
        </is>
      </c>
      <c r="G70" t="inlineStr">
        <is>
          <t>KÖPING</t>
        </is>
      </c>
      <c r="I70" t="n">
        <v>1.4</v>
      </c>
      <c r="J70" t="n">
        <v>0</v>
      </c>
      <c r="K70" t="n">
        <v>0</v>
      </c>
      <c r="L70" t="n">
        <v>0</v>
      </c>
      <c r="M70" t="n">
        <v>0</v>
      </c>
      <c r="N70" t="n">
        <v>0</v>
      </c>
      <c r="O70" t="n">
        <v>0</v>
      </c>
      <c r="P70" t="n">
        <v>0</v>
      </c>
      <c r="Q70" t="n">
        <v>0</v>
      </c>
      <c r="R70" t="n">
        <v>0</v>
      </c>
      <c r="S70" t="n">
        <v>0</v>
      </c>
      <c r="T70" t="n">
        <v>0</v>
      </c>
      <c r="U70" s="2" t="inlineStr"/>
    </row>
    <row r="71" ht="15" customHeight="1">
      <c r="A71" t="inlineStr">
        <is>
          <t>A 23624-2022</t>
        </is>
      </c>
      <c r="B71" t="inlineStr">
        <is>
          <t>avverkningsanmälan</t>
        </is>
      </c>
      <c r="C71" t="inlineStr">
        <is>
          <t>Föryngringsavverkning</t>
        </is>
      </c>
      <c r="D71" s="1" t="n">
        <v>44721</v>
      </c>
      <c r="E71" s="1" t="n">
        <v>46216</v>
      </c>
      <c r="F71" t="inlineStr">
        <is>
          <t>VÄSTMANLANDS LÄN</t>
        </is>
      </c>
      <c r="G71" t="inlineStr">
        <is>
          <t>KÖPING</t>
        </is>
      </c>
      <c r="I71" t="n">
        <v>14.1</v>
      </c>
      <c r="J71" t="n">
        <v>0</v>
      </c>
      <c r="K71" t="n">
        <v>0</v>
      </c>
      <c r="L71" t="n">
        <v>0</v>
      </c>
      <c r="M71" t="n">
        <v>0</v>
      </c>
      <c r="N71" t="n">
        <v>0</v>
      </c>
      <c r="O71" t="n">
        <v>0</v>
      </c>
      <c r="P71" t="n">
        <v>0</v>
      </c>
      <c r="Q71" t="n">
        <v>0</v>
      </c>
      <c r="R71" t="n">
        <v>0</v>
      </c>
      <c r="S71" t="n">
        <v>0</v>
      </c>
      <c r="T71" t="n">
        <v>0</v>
      </c>
      <c r="U71" s="2" t="inlineStr"/>
    </row>
    <row r="72" ht="15" customHeight="1">
      <c r="A72" t="inlineStr">
        <is>
          <t>A 16693-2022</t>
        </is>
      </c>
      <c r="B72" t="inlineStr">
        <is>
          <t>avverkningsanmälan</t>
        </is>
      </c>
      <c r="C72" t="inlineStr">
        <is>
          <t>Föryngringsavverkning</t>
        </is>
      </c>
      <c r="D72" s="1" t="n">
        <v>44673</v>
      </c>
      <c r="E72" s="1" t="n">
        <v>46216</v>
      </c>
      <c r="F72" t="inlineStr">
        <is>
          <t>VÄSTMANLANDS LÄN</t>
        </is>
      </c>
      <c r="G72" t="inlineStr">
        <is>
          <t>KÖPING</t>
        </is>
      </c>
      <c r="I72" t="n">
        <v>4.8</v>
      </c>
      <c r="J72" t="n">
        <v>0</v>
      </c>
      <c r="K72" t="n">
        <v>0</v>
      </c>
      <c r="L72" t="n">
        <v>0</v>
      </c>
      <c r="M72" t="n">
        <v>0</v>
      </c>
      <c r="N72" t="n">
        <v>0</v>
      </c>
      <c r="O72" t="n">
        <v>0</v>
      </c>
      <c r="P72" t="n">
        <v>0</v>
      </c>
      <c r="Q72" t="n">
        <v>0</v>
      </c>
      <c r="R72" t="n">
        <v>0</v>
      </c>
      <c r="S72" t="n">
        <v>0</v>
      </c>
      <c r="T72" t="n">
        <v>0</v>
      </c>
      <c r="U72" s="2" t="inlineStr"/>
    </row>
    <row r="73" ht="15" customHeight="1">
      <c r="A73" t="inlineStr">
        <is>
          <t>A 73888-2021</t>
        </is>
      </c>
      <c r="B73" t="inlineStr">
        <is>
          <t>avverkningsanmälan</t>
        </is>
      </c>
      <c r="C73" t="inlineStr">
        <is>
          <t>Föryngringsavverkning</t>
        </is>
      </c>
      <c r="D73" s="1" t="n">
        <v>44553</v>
      </c>
      <c r="E73" s="1" t="n">
        <v>46216</v>
      </c>
      <c r="F73" t="inlineStr">
        <is>
          <t>VÄSTMANLANDS LÄN</t>
        </is>
      </c>
      <c r="G73" t="inlineStr">
        <is>
          <t>KÖPING</t>
        </is>
      </c>
      <c r="I73" t="n">
        <v>2.4</v>
      </c>
      <c r="J73" t="n">
        <v>0</v>
      </c>
      <c r="K73" t="n">
        <v>0</v>
      </c>
      <c r="L73" t="n">
        <v>0</v>
      </c>
      <c r="M73" t="n">
        <v>0</v>
      </c>
      <c r="N73" t="n">
        <v>0</v>
      </c>
      <c r="O73" t="n">
        <v>0</v>
      </c>
      <c r="P73" t="n">
        <v>0</v>
      </c>
      <c r="Q73" t="n">
        <v>0</v>
      </c>
      <c r="R73" t="n">
        <v>0</v>
      </c>
      <c r="S73" t="n">
        <v>0</v>
      </c>
      <c r="T73" t="n">
        <v>0</v>
      </c>
      <c r="U73" s="2" t="inlineStr"/>
    </row>
    <row r="74" ht="15" customHeight="1">
      <c r="A74" t="inlineStr">
        <is>
          <t>A 6949-2023</t>
        </is>
      </c>
      <c r="B74" t="inlineStr">
        <is>
          <t>avverkningsanmälan</t>
        </is>
      </c>
      <c r="C74" t="inlineStr">
        <is>
          <t>Föryngringsavverkning</t>
        </is>
      </c>
      <c r="D74" s="1" t="n">
        <v>44967</v>
      </c>
      <c r="E74" s="1" t="n">
        <v>46216</v>
      </c>
      <c r="F74" t="inlineStr">
        <is>
          <t>VÄSTMANLANDS LÄN</t>
        </is>
      </c>
      <c r="G74" t="inlineStr">
        <is>
          <t>KÖPING</t>
        </is>
      </c>
      <c r="H74" t="inlineStr">
        <is>
          <t>Sveaskog</t>
        </is>
      </c>
      <c r="I74" t="n">
        <v>1.1</v>
      </c>
      <c r="J74" t="n">
        <v>0</v>
      </c>
      <c r="K74" t="n">
        <v>0</v>
      </c>
      <c r="L74" t="n">
        <v>0</v>
      </c>
      <c r="M74" t="n">
        <v>0</v>
      </c>
      <c r="N74" t="n">
        <v>0</v>
      </c>
      <c r="O74" t="n">
        <v>0</v>
      </c>
      <c r="P74" t="n">
        <v>0</v>
      </c>
      <c r="Q74" t="n">
        <v>0</v>
      </c>
      <c r="R74" t="n">
        <v>0</v>
      </c>
      <c r="S74" t="n">
        <v>0</v>
      </c>
      <c r="T74" t="n">
        <v>0</v>
      </c>
      <c r="U74" s="2" t="inlineStr"/>
    </row>
    <row r="75" ht="15" customHeight="1">
      <c r="A75" t="inlineStr">
        <is>
          <t>A 29960-2024</t>
        </is>
      </c>
      <c r="B75" t="inlineStr">
        <is>
          <t>avverkningsanmälan</t>
        </is>
      </c>
      <c r="C75" t="inlineStr">
        <is>
          <t>Föryngringsavverkning</t>
        </is>
      </c>
      <c r="D75" s="1" t="n">
        <v>45488</v>
      </c>
      <c r="E75" s="1" t="n">
        <v>46216</v>
      </c>
      <c r="F75" t="inlineStr">
        <is>
          <t>VÄSTMANLANDS LÄN</t>
        </is>
      </c>
      <c r="G75" t="inlineStr">
        <is>
          <t>KÖPING</t>
        </is>
      </c>
      <c r="I75" t="n">
        <v>11.5</v>
      </c>
      <c r="J75" t="n">
        <v>0</v>
      </c>
      <c r="K75" t="n">
        <v>0</v>
      </c>
      <c r="L75" t="n">
        <v>0</v>
      </c>
      <c r="M75" t="n">
        <v>0</v>
      </c>
      <c r="N75" t="n">
        <v>0</v>
      </c>
      <c r="O75" t="n">
        <v>0</v>
      </c>
      <c r="P75" t="n">
        <v>0</v>
      </c>
      <c r="Q75" t="n">
        <v>0</v>
      </c>
      <c r="R75" t="n">
        <v>0</v>
      </c>
      <c r="S75" t="n">
        <v>0</v>
      </c>
      <c r="T75" t="n">
        <v>0</v>
      </c>
      <c r="U75" s="2" t="inlineStr"/>
    </row>
    <row r="76" ht="15" customHeight="1">
      <c r="A76" t="inlineStr">
        <is>
          <t>A 25660-2024</t>
        </is>
      </c>
      <c r="B76" t="inlineStr">
        <is>
          <t>avverkningsanmälan</t>
        </is>
      </c>
      <c r="C76" t="inlineStr">
        <is>
          <t>Föryngringsavverkning</t>
        </is>
      </c>
      <c r="D76" s="1" t="n">
        <v>45463</v>
      </c>
      <c r="E76" s="1" t="n">
        <v>46216</v>
      </c>
      <c r="F76" t="inlineStr">
        <is>
          <t>VÄSTMANLANDS LÄN</t>
        </is>
      </c>
      <c r="G76" t="inlineStr">
        <is>
          <t>KÖPING</t>
        </is>
      </c>
      <c r="I76" t="n">
        <v>0.9</v>
      </c>
      <c r="J76" t="n">
        <v>0</v>
      </c>
      <c r="K76" t="n">
        <v>0</v>
      </c>
      <c r="L76" t="n">
        <v>0</v>
      </c>
      <c r="M76" t="n">
        <v>0</v>
      </c>
      <c r="N76" t="n">
        <v>0</v>
      </c>
      <c r="O76" t="n">
        <v>0</v>
      </c>
      <c r="P76" t="n">
        <v>0</v>
      </c>
      <c r="Q76" t="n">
        <v>0</v>
      </c>
      <c r="R76" t="n">
        <v>0</v>
      </c>
      <c r="S76" t="n">
        <v>0</v>
      </c>
      <c r="T76" t="n">
        <v>0</v>
      </c>
      <c r="U76" s="2" t="inlineStr"/>
    </row>
    <row r="77" ht="15" customHeight="1">
      <c r="A77" t="inlineStr">
        <is>
          <t>A 33989-2024</t>
        </is>
      </c>
      <c r="B77" t="inlineStr">
        <is>
          <t>avverkningsanmälan</t>
        </is>
      </c>
      <c r="C77" t="inlineStr">
        <is>
          <t>Avverkning för annat ändamål</t>
        </is>
      </c>
      <c r="D77" s="1" t="n">
        <v>45523</v>
      </c>
      <c r="E77" s="1" t="n">
        <v>46216</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s="2" t="inlineStr"/>
    </row>
    <row r="78" ht="15" customHeight="1">
      <c r="A78" t="inlineStr">
        <is>
          <t>A 2584-2024</t>
        </is>
      </c>
      <c r="B78" t="inlineStr">
        <is>
          <t>avverkningsanmälan</t>
        </is>
      </c>
      <c r="C78" t="inlineStr">
        <is>
          <t>Avverkning för annat ändamål</t>
        </is>
      </c>
      <c r="D78" s="1" t="n">
        <v>45313</v>
      </c>
      <c r="E78" s="1" t="n">
        <v>46216</v>
      </c>
      <c r="F78" t="inlineStr">
        <is>
          <t>VÄSTMANLANDS LÄN</t>
        </is>
      </c>
      <c r="G78" t="inlineStr">
        <is>
          <t>KÖPING</t>
        </is>
      </c>
      <c r="I78" t="n">
        <v>3.5</v>
      </c>
      <c r="J78" t="n">
        <v>0</v>
      </c>
      <c r="K78" t="n">
        <v>0</v>
      </c>
      <c r="L78" t="n">
        <v>0</v>
      </c>
      <c r="M78" t="n">
        <v>0</v>
      </c>
      <c r="N78" t="n">
        <v>0</v>
      </c>
      <c r="O78" t="n">
        <v>0</v>
      </c>
      <c r="P78" t="n">
        <v>0</v>
      </c>
      <c r="Q78" t="n">
        <v>0</v>
      </c>
      <c r="R78" t="n">
        <v>0</v>
      </c>
      <c r="S78" t="n">
        <v>0</v>
      </c>
      <c r="T78" t="n">
        <v>0</v>
      </c>
      <c r="U78" s="2" t="inlineStr"/>
    </row>
    <row r="79" ht="15" customHeight="1">
      <c r="A79" t="inlineStr">
        <is>
          <t>A 45664-2024</t>
        </is>
      </c>
      <c r="B79" t="inlineStr">
        <is>
          <t>avverkningsanmälan</t>
        </is>
      </c>
      <c r="C79" t="inlineStr">
        <is>
          <t>Avverkning för annat ändamål</t>
        </is>
      </c>
      <c r="D79" s="1" t="n">
        <v>45579</v>
      </c>
      <c r="E79" s="1" t="n">
        <v>46216</v>
      </c>
      <c r="F79" t="inlineStr">
        <is>
          <t>VÄSTMANLANDS LÄN</t>
        </is>
      </c>
      <c r="G79" t="inlineStr">
        <is>
          <t>KÖPING</t>
        </is>
      </c>
      <c r="I79" t="n">
        <v>0.3</v>
      </c>
      <c r="J79" t="n">
        <v>0</v>
      </c>
      <c r="K79" t="n">
        <v>0</v>
      </c>
      <c r="L79" t="n">
        <v>0</v>
      </c>
      <c r="M79" t="n">
        <v>0</v>
      </c>
      <c r="N79" t="n">
        <v>0</v>
      </c>
      <c r="O79" t="n">
        <v>0</v>
      </c>
      <c r="P79" t="n">
        <v>0</v>
      </c>
      <c r="Q79" t="n">
        <v>0</v>
      </c>
      <c r="R79" t="n">
        <v>0</v>
      </c>
      <c r="S79" t="n">
        <v>0</v>
      </c>
      <c r="T79" t="n">
        <v>0</v>
      </c>
      <c r="U79" s="2" t="inlineStr"/>
    </row>
    <row r="80" ht="15" customHeight="1">
      <c r="A80" t="inlineStr">
        <is>
          <t>A 45308-2023</t>
        </is>
      </c>
      <c r="B80" t="inlineStr">
        <is>
          <t>avverkningsanmälan</t>
        </is>
      </c>
      <c r="C80" t="inlineStr">
        <is>
          <t>Föryngringsavverkning</t>
        </is>
      </c>
      <c r="D80" s="1" t="n">
        <v>45191</v>
      </c>
      <c r="E80" s="1" t="n">
        <v>46216</v>
      </c>
      <c r="F80" t="inlineStr">
        <is>
          <t>VÄSTMANLANDS LÄN</t>
        </is>
      </c>
      <c r="G80" t="inlineStr">
        <is>
          <t>KÖPING</t>
        </is>
      </c>
      <c r="I80" t="n">
        <v>5</v>
      </c>
      <c r="J80" t="n">
        <v>0</v>
      </c>
      <c r="K80" t="n">
        <v>0</v>
      </c>
      <c r="L80" t="n">
        <v>0</v>
      </c>
      <c r="M80" t="n">
        <v>0</v>
      </c>
      <c r="N80" t="n">
        <v>0</v>
      </c>
      <c r="O80" t="n">
        <v>0</v>
      </c>
      <c r="P80" t="n">
        <v>0</v>
      </c>
      <c r="Q80" t="n">
        <v>0</v>
      </c>
      <c r="R80" t="n">
        <v>0</v>
      </c>
      <c r="S80" t="n">
        <v>0</v>
      </c>
      <c r="T80" t="n">
        <v>0</v>
      </c>
      <c r="U80" s="2" t="inlineStr"/>
    </row>
    <row r="81" ht="15" customHeight="1">
      <c r="A81" t="inlineStr">
        <is>
          <t>A 60894-2022</t>
        </is>
      </c>
      <c r="B81" t="inlineStr">
        <is>
          <t>avverkningsanmälan</t>
        </is>
      </c>
      <c r="C81" t="inlineStr">
        <is>
          <t>Föryngringsavverkning</t>
        </is>
      </c>
      <c r="D81" s="1" t="n">
        <v>44914</v>
      </c>
      <c r="E81" s="1" t="n">
        <v>46216</v>
      </c>
      <c r="F81" t="inlineStr">
        <is>
          <t>VÄSTMANLANDS LÄN</t>
        </is>
      </c>
      <c r="G81" t="inlineStr">
        <is>
          <t>KÖPING</t>
        </is>
      </c>
      <c r="I81" t="n">
        <v>8.199999999999999</v>
      </c>
      <c r="J81" t="n">
        <v>0</v>
      </c>
      <c r="K81" t="n">
        <v>0</v>
      </c>
      <c r="L81" t="n">
        <v>0</v>
      </c>
      <c r="M81" t="n">
        <v>0</v>
      </c>
      <c r="N81" t="n">
        <v>0</v>
      </c>
      <c r="O81" t="n">
        <v>0</v>
      </c>
      <c r="P81" t="n">
        <v>0</v>
      </c>
      <c r="Q81" t="n">
        <v>0</v>
      </c>
      <c r="R81" t="n">
        <v>0</v>
      </c>
      <c r="S81" t="n">
        <v>0</v>
      </c>
      <c r="T81" t="n">
        <v>0</v>
      </c>
      <c r="U81" s="2" t="inlineStr"/>
    </row>
    <row r="82" ht="15" customHeight="1">
      <c r="A82" t="inlineStr">
        <is>
          <t>A 60924-2022</t>
        </is>
      </c>
      <c r="B82" t="inlineStr">
        <is>
          <t>avverkningsanmälan</t>
        </is>
      </c>
      <c r="C82" t="inlineStr">
        <is>
          <t>Föryngringsavverkning</t>
        </is>
      </c>
      <c r="D82" s="1" t="n">
        <v>44914</v>
      </c>
      <c r="E82" s="1" t="n">
        <v>46216</v>
      </c>
      <c r="F82" t="inlineStr">
        <is>
          <t>VÄSTMANLANDS LÄN</t>
        </is>
      </c>
      <c r="G82" t="inlineStr">
        <is>
          <t>KÖPING</t>
        </is>
      </c>
      <c r="I82" t="n">
        <v>0.8</v>
      </c>
      <c r="J82" t="n">
        <v>0</v>
      </c>
      <c r="K82" t="n">
        <v>0</v>
      </c>
      <c r="L82" t="n">
        <v>0</v>
      </c>
      <c r="M82" t="n">
        <v>0</v>
      </c>
      <c r="N82" t="n">
        <v>0</v>
      </c>
      <c r="O82" t="n">
        <v>0</v>
      </c>
      <c r="P82" t="n">
        <v>0</v>
      </c>
      <c r="Q82" t="n">
        <v>0</v>
      </c>
      <c r="R82" t="n">
        <v>0</v>
      </c>
      <c r="S82" t="n">
        <v>0</v>
      </c>
      <c r="T82" t="n">
        <v>0</v>
      </c>
      <c r="U82" s="2" t="inlineStr"/>
    </row>
    <row r="83" ht="15" customHeight="1">
      <c r="A83" t="inlineStr">
        <is>
          <t>A 10478-2022</t>
        </is>
      </c>
      <c r="B83" t="inlineStr">
        <is>
          <t>avverkningsanmälan</t>
        </is>
      </c>
      <c r="C83" t="inlineStr">
        <is>
          <t>Föryngringsavverkning</t>
        </is>
      </c>
      <c r="D83" s="1" t="n">
        <v>44623</v>
      </c>
      <c r="E83" s="1" t="n">
        <v>46216</v>
      </c>
      <c r="F83" t="inlineStr">
        <is>
          <t>VÄSTMANLANDS LÄN</t>
        </is>
      </c>
      <c r="G83" t="inlineStr">
        <is>
          <t>KÖPING</t>
        </is>
      </c>
      <c r="I83" t="n">
        <v>1.8</v>
      </c>
      <c r="J83" t="n">
        <v>0</v>
      </c>
      <c r="K83" t="n">
        <v>0</v>
      </c>
      <c r="L83" t="n">
        <v>0</v>
      </c>
      <c r="M83" t="n">
        <v>0</v>
      </c>
      <c r="N83" t="n">
        <v>0</v>
      </c>
      <c r="O83" t="n">
        <v>0</v>
      </c>
      <c r="P83" t="n">
        <v>0</v>
      </c>
      <c r="Q83" t="n">
        <v>0</v>
      </c>
      <c r="R83" t="n">
        <v>0</v>
      </c>
      <c r="S83" t="n">
        <v>0</v>
      </c>
      <c r="T83" t="n">
        <v>0</v>
      </c>
      <c r="U83" s="2" t="inlineStr"/>
    </row>
    <row r="84" ht="15" customHeight="1">
      <c r="A84" t="inlineStr">
        <is>
          <t>A 3945-2024</t>
        </is>
      </c>
      <c r="B84" t="inlineStr">
        <is>
          <t>avverkningsanmälan</t>
        </is>
      </c>
      <c r="C84" t="inlineStr">
        <is>
          <t>Föryngringsavverkning</t>
        </is>
      </c>
      <c r="D84" s="1" t="n">
        <v>45322</v>
      </c>
      <c r="E84" s="1" t="n">
        <v>46216</v>
      </c>
      <c r="F84" t="inlineStr">
        <is>
          <t>VÄSTMANLANDS LÄN</t>
        </is>
      </c>
      <c r="G84" t="inlineStr">
        <is>
          <t>KÖPING</t>
        </is>
      </c>
      <c r="I84" t="n">
        <v>1.6</v>
      </c>
      <c r="J84" t="n">
        <v>0</v>
      </c>
      <c r="K84" t="n">
        <v>0</v>
      </c>
      <c r="L84" t="n">
        <v>0</v>
      </c>
      <c r="M84" t="n">
        <v>0</v>
      </c>
      <c r="N84" t="n">
        <v>0</v>
      </c>
      <c r="O84" t="n">
        <v>0</v>
      </c>
      <c r="P84" t="n">
        <v>0</v>
      </c>
      <c r="Q84" t="n">
        <v>0</v>
      </c>
      <c r="R84" t="n">
        <v>0</v>
      </c>
      <c r="S84" t="n">
        <v>0</v>
      </c>
      <c r="T84" t="n">
        <v>0</v>
      </c>
      <c r="U84" s="2" t="inlineStr"/>
    </row>
    <row r="85" ht="15" customHeight="1">
      <c r="A85" t="inlineStr">
        <is>
          <t>A 37730-2022</t>
        </is>
      </c>
      <c r="B85" t="inlineStr">
        <is>
          <t>avverkningsanmälan</t>
        </is>
      </c>
      <c r="C85" t="inlineStr">
        <is>
          <t>Föryngringsavverkning</t>
        </is>
      </c>
      <c r="D85" s="1" t="n">
        <v>44810</v>
      </c>
      <c r="E85" s="1" t="n">
        <v>46216</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s="2" t="inlineStr"/>
    </row>
    <row r="86" ht="15" customHeight="1">
      <c r="A86" t="inlineStr">
        <is>
          <t>A 13160-2024</t>
        </is>
      </c>
      <c r="B86" t="inlineStr">
        <is>
          <t>avverkningsanmälan</t>
        </is>
      </c>
      <c r="C86" t="inlineStr">
        <is>
          <t>Föryngringsavverkning</t>
        </is>
      </c>
      <c r="D86" s="1" t="n">
        <v>45386</v>
      </c>
      <c r="E86" s="1" t="n">
        <v>46216</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s="2" t="inlineStr"/>
    </row>
    <row r="87" ht="15" customHeight="1">
      <c r="A87" t="inlineStr">
        <is>
          <t>A 65023-2021</t>
        </is>
      </c>
      <c r="B87" t="inlineStr">
        <is>
          <t>avverkningsanmälan</t>
        </is>
      </c>
      <c r="C87" t="inlineStr">
        <is>
          <t>Föryngringsavverkning</t>
        </is>
      </c>
      <c r="D87" s="1" t="n">
        <v>44512</v>
      </c>
      <c r="E87" s="1" t="n">
        <v>46216</v>
      </c>
      <c r="F87" t="inlineStr">
        <is>
          <t>VÄSTMANLANDS LÄN</t>
        </is>
      </c>
      <c r="G87" t="inlineStr">
        <is>
          <t>KÖPING</t>
        </is>
      </c>
      <c r="I87" t="n">
        <v>2</v>
      </c>
      <c r="J87" t="n">
        <v>0</v>
      </c>
      <c r="K87" t="n">
        <v>0</v>
      </c>
      <c r="L87" t="n">
        <v>0</v>
      </c>
      <c r="M87" t="n">
        <v>0</v>
      </c>
      <c r="N87" t="n">
        <v>0</v>
      </c>
      <c r="O87" t="n">
        <v>0</v>
      </c>
      <c r="P87" t="n">
        <v>0</v>
      </c>
      <c r="Q87" t="n">
        <v>0</v>
      </c>
      <c r="R87" t="n">
        <v>0</v>
      </c>
      <c r="S87" t="n">
        <v>0</v>
      </c>
      <c r="T87" t="n">
        <v>0</v>
      </c>
      <c r="U87" s="2" t="inlineStr"/>
    </row>
    <row r="88" ht="15" customHeight="1">
      <c r="A88" t="inlineStr">
        <is>
          <t>A 40823-2024</t>
        </is>
      </c>
      <c r="B88" t="inlineStr">
        <is>
          <t>avverkningsanmälan</t>
        </is>
      </c>
      <c r="C88" t="inlineStr">
        <is>
          <t>Föryngringsavverkning</t>
        </is>
      </c>
      <c r="D88" s="1" t="n">
        <v>45558</v>
      </c>
      <c r="E88" s="1" t="n">
        <v>46216</v>
      </c>
      <c r="F88" t="inlineStr">
        <is>
          <t>VÄSTMANLANDS LÄN</t>
        </is>
      </c>
      <c r="G88" t="inlineStr">
        <is>
          <t>KÖPING</t>
        </is>
      </c>
      <c r="I88" t="n">
        <v>3.5</v>
      </c>
      <c r="J88" t="n">
        <v>0</v>
      </c>
      <c r="K88" t="n">
        <v>0</v>
      </c>
      <c r="L88" t="n">
        <v>0</v>
      </c>
      <c r="M88" t="n">
        <v>0</v>
      </c>
      <c r="N88" t="n">
        <v>0</v>
      </c>
      <c r="O88" t="n">
        <v>0</v>
      </c>
      <c r="P88" t="n">
        <v>0</v>
      </c>
      <c r="Q88" t="n">
        <v>0</v>
      </c>
      <c r="R88" t="n">
        <v>0</v>
      </c>
      <c r="S88" t="n">
        <v>0</v>
      </c>
      <c r="T88" t="n">
        <v>0</v>
      </c>
      <c r="U88" s="2" t="inlineStr"/>
    </row>
    <row r="89" ht="15" customHeight="1">
      <c r="A89" t="inlineStr">
        <is>
          <t>A 18366-2025</t>
        </is>
      </c>
      <c r="B89" t="inlineStr">
        <is>
          <t>avverkningsanmälan</t>
        </is>
      </c>
      <c r="C89" t="inlineStr">
        <is>
          <t>Föryngringsavverkning</t>
        </is>
      </c>
      <c r="D89" s="1" t="n">
        <v>45762</v>
      </c>
      <c r="E89" s="1" t="n">
        <v>46216</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s="2" t="inlineStr"/>
    </row>
    <row r="90" ht="15" customHeight="1">
      <c r="A90" t="inlineStr">
        <is>
          <t>A 46659-2024</t>
        </is>
      </c>
      <c r="B90" t="inlineStr">
        <is>
          <t>avverkningsanmälan</t>
        </is>
      </c>
      <c r="C90" t="inlineStr">
        <is>
          <t>Föryngringsavverkning</t>
        </is>
      </c>
      <c r="D90" s="1" t="n">
        <v>45583</v>
      </c>
      <c r="E90" s="1" t="n">
        <v>46216</v>
      </c>
      <c r="F90" t="inlineStr">
        <is>
          <t>VÄSTMANLANDS LÄN</t>
        </is>
      </c>
      <c r="G90" t="inlineStr">
        <is>
          <t>KÖPING</t>
        </is>
      </c>
      <c r="I90" t="n">
        <v>4</v>
      </c>
      <c r="J90" t="n">
        <v>0</v>
      </c>
      <c r="K90" t="n">
        <v>0</v>
      </c>
      <c r="L90" t="n">
        <v>0</v>
      </c>
      <c r="M90" t="n">
        <v>0</v>
      </c>
      <c r="N90" t="n">
        <v>0</v>
      </c>
      <c r="O90" t="n">
        <v>0</v>
      </c>
      <c r="P90" t="n">
        <v>0</v>
      </c>
      <c r="Q90" t="n">
        <v>0</v>
      </c>
      <c r="R90" t="n">
        <v>0</v>
      </c>
      <c r="S90" t="n">
        <v>0</v>
      </c>
      <c r="T90" t="n">
        <v>0</v>
      </c>
      <c r="U90" s="2" t="inlineStr"/>
    </row>
    <row r="91" ht="15" customHeight="1">
      <c r="A91" t="inlineStr">
        <is>
          <t>A 34290-2023</t>
        </is>
      </c>
      <c r="B91" t="inlineStr">
        <is>
          <t>avverkningsanmälan</t>
        </is>
      </c>
      <c r="C91" t="inlineStr">
        <is>
          <t>Avverkning för annat ändamål</t>
        </is>
      </c>
      <c r="D91" s="1" t="n">
        <v>45138</v>
      </c>
      <c r="E91" s="1" t="n">
        <v>46216</v>
      </c>
      <c r="F91" t="inlineStr">
        <is>
          <t>VÄSTMANLANDS LÄN</t>
        </is>
      </c>
      <c r="G91" t="inlineStr">
        <is>
          <t>KÖPING</t>
        </is>
      </c>
      <c r="H91" t="inlineStr">
        <is>
          <t>Sveaskog</t>
        </is>
      </c>
      <c r="I91" t="n">
        <v>0.7</v>
      </c>
      <c r="J91" t="n">
        <v>0</v>
      </c>
      <c r="K91" t="n">
        <v>0</v>
      </c>
      <c r="L91" t="n">
        <v>0</v>
      </c>
      <c r="M91" t="n">
        <v>0</v>
      </c>
      <c r="N91" t="n">
        <v>0</v>
      </c>
      <c r="O91" t="n">
        <v>0</v>
      </c>
      <c r="P91" t="n">
        <v>0</v>
      </c>
      <c r="Q91" t="n">
        <v>0</v>
      </c>
      <c r="R91" t="n">
        <v>0</v>
      </c>
      <c r="S91" t="n">
        <v>0</v>
      </c>
      <c r="T91" t="n">
        <v>0</v>
      </c>
      <c r="U91" s="2" t="inlineStr"/>
    </row>
    <row r="92" ht="15" customHeight="1">
      <c r="A92" t="inlineStr">
        <is>
          <t>A 68954-2021</t>
        </is>
      </c>
      <c r="B92" t="inlineStr">
        <is>
          <t>avverkningsanmälan</t>
        </is>
      </c>
      <c r="C92" t="inlineStr">
        <is>
          <t>Föryngringsavverkning</t>
        </is>
      </c>
      <c r="D92" s="1" t="n">
        <v>44530</v>
      </c>
      <c r="E92" s="1" t="n">
        <v>46216</v>
      </c>
      <c r="F92" t="inlineStr">
        <is>
          <t>VÄSTMANLANDS LÄN</t>
        </is>
      </c>
      <c r="G92" t="inlineStr">
        <is>
          <t>KÖPING</t>
        </is>
      </c>
      <c r="I92" t="n">
        <v>6.8</v>
      </c>
      <c r="J92" t="n">
        <v>0</v>
      </c>
      <c r="K92" t="n">
        <v>0</v>
      </c>
      <c r="L92" t="n">
        <v>0</v>
      </c>
      <c r="M92" t="n">
        <v>0</v>
      </c>
      <c r="N92" t="n">
        <v>0</v>
      </c>
      <c r="O92" t="n">
        <v>0</v>
      </c>
      <c r="P92" t="n">
        <v>0</v>
      </c>
      <c r="Q92" t="n">
        <v>0</v>
      </c>
      <c r="R92" t="n">
        <v>0</v>
      </c>
      <c r="S92" t="n">
        <v>0</v>
      </c>
      <c r="T92" t="n">
        <v>0</v>
      </c>
      <c r="U92" s="2" t="inlineStr"/>
    </row>
    <row r="93" ht="15" customHeight="1">
      <c r="A93" t="inlineStr">
        <is>
          <t>A 2868-2023</t>
        </is>
      </c>
      <c r="B93" t="inlineStr">
        <is>
          <t>avverkningsanmälan</t>
        </is>
      </c>
      <c r="C93" t="inlineStr">
        <is>
          <t>Avverkning för att bevara och utveckla /försöksver</t>
        </is>
      </c>
      <c r="D93" s="1" t="n">
        <v>44945</v>
      </c>
      <c r="E93" s="1" t="n">
        <v>46216</v>
      </c>
      <c r="F93" t="inlineStr">
        <is>
          <t>VÄSTMANLANDS LÄN</t>
        </is>
      </c>
      <c r="G93" t="inlineStr">
        <is>
          <t>KÖPING</t>
        </is>
      </c>
      <c r="I93" t="n">
        <v>1.1</v>
      </c>
      <c r="J93" t="n">
        <v>0</v>
      </c>
      <c r="K93" t="n">
        <v>0</v>
      </c>
      <c r="L93" t="n">
        <v>0</v>
      </c>
      <c r="M93" t="n">
        <v>0</v>
      </c>
      <c r="N93" t="n">
        <v>0</v>
      </c>
      <c r="O93" t="n">
        <v>0</v>
      </c>
      <c r="P93" t="n">
        <v>0</v>
      </c>
      <c r="Q93" t="n">
        <v>0</v>
      </c>
      <c r="R93" t="n">
        <v>0</v>
      </c>
      <c r="S93" t="n">
        <v>0</v>
      </c>
      <c r="T93" t="n">
        <v>0</v>
      </c>
      <c r="U93" s="2" t="inlineStr"/>
    </row>
    <row r="94" ht="15" customHeight="1">
      <c r="A94" t="inlineStr">
        <is>
          <t>A 24473-2025</t>
        </is>
      </c>
      <c r="B94" t="inlineStr">
        <is>
          <t>avverkningsanmälan</t>
        </is>
      </c>
      <c r="C94" t="inlineStr">
        <is>
          <t>Föryngringsavverkning</t>
        </is>
      </c>
      <c r="D94" s="1" t="n">
        <v>45798</v>
      </c>
      <c r="E94" s="1" t="n">
        <v>46216</v>
      </c>
      <c r="F94" t="inlineStr">
        <is>
          <t>VÄSTMANLANDS LÄN</t>
        </is>
      </c>
      <c r="G94" t="inlineStr">
        <is>
          <t>KÖPING</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24477-2025</t>
        </is>
      </c>
      <c r="B95" t="inlineStr">
        <is>
          <t>avverkningsanmälan</t>
        </is>
      </c>
      <c r="C95" t="inlineStr">
        <is>
          <t>Föryngringsavverkning</t>
        </is>
      </c>
      <c r="D95" s="1" t="n">
        <v>45798</v>
      </c>
      <c r="E95" s="1" t="n">
        <v>46216</v>
      </c>
      <c r="F95" t="inlineStr">
        <is>
          <t>VÄSTMANLANDS LÄN</t>
        </is>
      </c>
      <c r="G95" t="inlineStr">
        <is>
          <t>KÖPING</t>
        </is>
      </c>
      <c r="H95" t="inlineStr">
        <is>
          <t>Sveaskog</t>
        </is>
      </c>
      <c r="I95" t="n">
        <v>2.1</v>
      </c>
      <c r="J95" t="n">
        <v>0</v>
      </c>
      <c r="K95" t="n">
        <v>0</v>
      </c>
      <c r="L95" t="n">
        <v>0</v>
      </c>
      <c r="M95" t="n">
        <v>0</v>
      </c>
      <c r="N95" t="n">
        <v>0</v>
      </c>
      <c r="O95" t="n">
        <v>0</v>
      </c>
      <c r="P95" t="n">
        <v>0</v>
      </c>
      <c r="Q95" t="n">
        <v>0</v>
      </c>
      <c r="R95" t="n">
        <v>0</v>
      </c>
      <c r="S95" t="n">
        <v>0</v>
      </c>
      <c r="T95" t="n">
        <v>0</v>
      </c>
      <c r="U95" s="2" t="inlineStr"/>
    </row>
    <row r="96" ht="15" customHeight="1">
      <c r="A96" t="inlineStr">
        <is>
          <t>A 24479-2025</t>
        </is>
      </c>
      <c r="B96" t="inlineStr">
        <is>
          <t>avverkningsanmälan</t>
        </is>
      </c>
      <c r="C96" t="inlineStr">
        <is>
          <t>Föryngringsavverkning</t>
        </is>
      </c>
      <c r="D96" s="1" t="n">
        <v>45798</v>
      </c>
      <c r="E96" s="1" t="n">
        <v>46216</v>
      </c>
      <c r="F96" t="inlineStr">
        <is>
          <t>VÄSTMANLANDS LÄN</t>
        </is>
      </c>
      <c r="G96" t="inlineStr">
        <is>
          <t>KÖPING</t>
        </is>
      </c>
      <c r="H96" t="inlineStr">
        <is>
          <t>Sveaskog</t>
        </is>
      </c>
      <c r="I96" t="n">
        <v>3</v>
      </c>
      <c r="J96" t="n">
        <v>0</v>
      </c>
      <c r="K96" t="n">
        <v>0</v>
      </c>
      <c r="L96" t="n">
        <v>0</v>
      </c>
      <c r="M96" t="n">
        <v>0</v>
      </c>
      <c r="N96" t="n">
        <v>0</v>
      </c>
      <c r="O96" t="n">
        <v>0</v>
      </c>
      <c r="P96" t="n">
        <v>0</v>
      </c>
      <c r="Q96" t="n">
        <v>0</v>
      </c>
      <c r="R96" t="n">
        <v>0</v>
      </c>
      <c r="S96" t="n">
        <v>0</v>
      </c>
      <c r="T96" t="n">
        <v>0</v>
      </c>
      <c r="U96" s="2" t="inlineStr"/>
    </row>
    <row r="97" ht="15" customHeight="1">
      <c r="A97" t="inlineStr">
        <is>
          <t>A 24130-2024</t>
        </is>
      </c>
      <c r="B97" t="inlineStr">
        <is>
          <t>avverkningsanmälan</t>
        </is>
      </c>
      <c r="C97" t="inlineStr">
        <is>
          <t>Föryngringsavverkning</t>
        </is>
      </c>
      <c r="D97" s="1" t="n">
        <v>45456</v>
      </c>
      <c r="E97" s="1" t="n">
        <v>46216</v>
      </c>
      <c r="F97" t="inlineStr">
        <is>
          <t>VÄSTMANLANDS LÄN</t>
        </is>
      </c>
      <c r="G97" t="inlineStr">
        <is>
          <t>KÖPING</t>
        </is>
      </c>
      <c r="H97" t="inlineStr">
        <is>
          <t>Sveaskog</t>
        </is>
      </c>
      <c r="I97" t="n">
        <v>1.4</v>
      </c>
      <c r="J97" t="n">
        <v>0</v>
      </c>
      <c r="K97" t="n">
        <v>0</v>
      </c>
      <c r="L97" t="n">
        <v>0</v>
      </c>
      <c r="M97" t="n">
        <v>0</v>
      </c>
      <c r="N97" t="n">
        <v>0</v>
      </c>
      <c r="O97" t="n">
        <v>0</v>
      </c>
      <c r="P97" t="n">
        <v>0</v>
      </c>
      <c r="Q97" t="n">
        <v>0</v>
      </c>
      <c r="R97" t="n">
        <v>0</v>
      </c>
      <c r="S97" t="n">
        <v>0</v>
      </c>
      <c r="T97" t="n">
        <v>0</v>
      </c>
      <c r="U97" s="2" t="inlineStr"/>
    </row>
    <row r="98" ht="15" customHeight="1">
      <c r="A98" t="inlineStr">
        <is>
          <t>A 25543-2025</t>
        </is>
      </c>
      <c r="B98" t="inlineStr">
        <is>
          <t>avverkningsanmälan</t>
        </is>
      </c>
      <c r="C98" t="inlineStr">
        <is>
          <t>Föryngringsavverkning</t>
        </is>
      </c>
      <c r="D98" s="1" t="n">
        <v>45803</v>
      </c>
      <c r="E98" s="1" t="n">
        <v>46216</v>
      </c>
      <c r="F98" t="inlineStr">
        <is>
          <t>VÄSTMANLANDS LÄN</t>
        </is>
      </c>
      <c r="G98" t="inlineStr">
        <is>
          <t>KÖPING</t>
        </is>
      </c>
      <c r="I98" t="n">
        <v>5.3</v>
      </c>
      <c r="J98" t="n">
        <v>0</v>
      </c>
      <c r="K98" t="n">
        <v>0</v>
      </c>
      <c r="L98" t="n">
        <v>0</v>
      </c>
      <c r="M98" t="n">
        <v>0</v>
      </c>
      <c r="N98" t="n">
        <v>0</v>
      </c>
      <c r="O98" t="n">
        <v>0</v>
      </c>
      <c r="P98" t="n">
        <v>0</v>
      </c>
      <c r="Q98" t="n">
        <v>0</v>
      </c>
      <c r="R98" t="n">
        <v>0</v>
      </c>
      <c r="S98" t="n">
        <v>0</v>
      </c>
      <c r="T98" t="n">
        <v>0</v>
      </c>
      <c r="U98" s="2" t="inlineStr"/>
    </row>
    <row r="99" ht="15" customHeight="1">
      <c r="A99" t="inlineStr">
        <is>
          <t>A 37752-2023</t>
        </is>
      </c>
      <c r="B99" t="inlineStr">
        <is>
          <t>avverkningsanmälan</t>
        </is>
      </c>
      <c r="C99" t="inlineStr">
        <is>
          <t>Föryngringsavverkning</t>
        </is>
      </c>
      <c r="D99" s="1" t="n">
        <v>45159</v>
      </c>
      <c r="E99" s="1" t="n">
        <v>46216</v>
      </c>
      <c r="F99" t="inlineStr">
        <is>
          <t>VÄSTMANLANDS LÄN</t>
        </is>
      </c>
      <c r="G99" t="inlineStr">
        <is>
          <t>KÖPING</t>
        </is>
      </c>
      <c r="I99" t="n">
        <v>1.6</v>
      </c>
      <c r="J99" t="n">
        <v>0</v>
      </c>
      <c r="K99" t="n">
        <v>0</v>
      </c>
      <c r="L99" t="n">
        <v>0</v>
      </c>
      <c r="M99" t="n">
        <v>0</v>
      </c>
      <c r="N99" t="n">
        <v>0</v>
      </c>
      <c r="O99" t="n">
        <v>0</v>
      </c>
      <c r="P99" t="n">
        <v>0</v>
      </c>
      <c r="Q99" t="n">
        <v>0</v>
      </c>
      <c r="R99" t="n">
        <v>0</v>
      </c>
      <c r="S99" t="n">
        <v>0</v>
      </c>
      <c r="T99" t="n">
        <v>0</v>
      </c>
      <c r="U99" s="2" t="inlineStr"/>
    </row>
    <row r="100" ht="15" customHeight="1">
      <c r="A100" t="inlineStr">
        <is>
          <t>A 15858-2025</t>
        </is>
      </c>
      <c r="B100" t="inlineStr">
        <is>
          <t>avverkningsanmälan</t>
        </is>
      </c>
      <c r="C100" t="inlineStr">
        <is>
          <t>Föryngringsavverkning</t>
        </is>
      </c>
      <c r="D100" s="1" t="n">
        <v>45749</v>
      </c>
      <c r="E100" s="1" t="n">
        <v>46216</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26839-2025</t>
        </is>
      </c>
      <c r="B101" t="inlineStr">
        <is>
          <t>avverkningsanmälan</t>
        </is>
      </c>
      <c r="C101" t="inlineStr">
        <is>
          <t>Föryngringsavverkning</t>
        </is>
      </c>
      <c r="D101" s="1" t="n">
        <v>45810</v>
      </c>
      <c r="E101" s="1" t="n">
        <v>46216</v>
      </c>
      <c r="F101" t="inlineStr">
        <is>
          <t>VÄSTMANLANDS LÄN</t>
        </is>
      </c>
      <c r="G101" t="inlineStr">
        <is>
          <t>KÖPING</t>
        </is>
      </c>
      <c r="H101" t="inlineStr">
        <is>
          <t>Sveaskog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55720-2022</t>
        </is>
      </c>
      <c r="B102" t="inlineStr">
        <is>
          <t>avverkningsanmälan</t>
        </is>
      </c>
      <c r="C102" t="inlineStr">
        <is>
          <t>Föryngringsavverkning</t>
        </is>
      </c>
      <c r="D102" s="1" t="n">
        <v>44888</v>
      </c>
      <c r="E102" s="1" t="n">
        <v>46216</v>
      </c>
      <c r="F102" t="inlineStr">
        <is>
          <t>VÄSTMANLANDS LÄN</t>
        </is>
      </c>
      <c r="G102" t="inlineStr">
        <is>
          <t>KÖPING</t>
        </is>
      </c>
      <c r="I102" t="n">
        <v>3.2</v>
      </c>
      <c r="J102" t="n">
        <v>0</v>
      </c>
      <c r="K102" t="n">
        <v>0</v>
      </c>
      <c r="L102" t="n">
        <v>0</v>
      </c>
      <c r="M102" t="n">
        <v>0</v>
      </c>
      <c r="N102" t="n">
        <v>0</v>
      </c>
      <c r="O102" t="n">
        <v>0</v>
      </c>
      <c r="P102" t="n">
        <v>0</v>
      </c>
      <c r="Q102" t="n">
        <v>0</v>
      </c>
      <c r="R102" t="n">
        <v>0</v>
      </c>
      <c r="S102" t="n">
        <v>0</v>
      </c>
      <c r="T102" t="n">
        <v>0</v>
      </c>
      <c r="U102" s="2" t="inlineStr"/>
    </row>
    <row r="103" ht="15" customHeight="1">
      <c r="A103" t="inlineStr">
        <is>
          <t>A 10512-2022</t>
        </is>
      </c>
      <c r="B103" t="inlineStr">
        <is>
          <t>avverkningsanmälan</t>
        </is>
      </c>
      <c r="C103" t="inlineStr">
        <is>
          <t>Föryngringsavverkning</t>
        </is>
      </c>
      <c r="D103" s="1" t="n">
        <v>44623</v>
      </c>
      <c r="E103" s="1" t="n">
        <v>46216</v>
      </c>
      <c r="F103" t="inlineStr">
        <is>
          <t>VÄSTMANLANDS LÄN</t>
        </is>
      </c>
      <c r="G103" t="inlineStr">
        <is>
          <t>KÖPING</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61083-2022</t>
        </is>
      </c>
      <c r="B104" t="inlineStr">
        <is>
          <t>avverkningsanmälan</t>
        </is>
      </c>
      <c r="C104" t="inlineStr">
        <is>
          <t>Föryngringsavverkning</t>
        </is>
      </c>
      <c r="D104" s="1" t="n">
        <v>44915</v>
      </c>
      <c r="E104" s="1" t="n">
        <v>46216</v>
      </c>
      <c r="F104" t="inlineStr">
        <is>
          <t>VÄSTMANLANDS LÄN</t>
        </is>
      </c>
      <c r="G104" t="inlineStr">
        <is>
          <t>KÖPING</t>
        </is>
      </c>
      <c r="I104" t="n">
        <v>6.7</v>
      </c>
      <c r="J104" t="n">
        <v>0</v>
      </c>
      <c r="K104" t="n">
        <v>0</v>
      </c>
      <c r="L104" t="n">
        <v>0</v>
      </c>
      <c r="M104" t="n">
        <v>0</v>
      </c>
      <c r="N104" t="n">
        <v>0</v>
      </c>
      <c r="O104" t="n">
        <v>0</v>
      </c>
      <c r="P104" t="n">
        <v>0</v>
      </c>
      <c r="Q104" t="n">
        <v>0</v>
      </c>
      <c r="R104" t="n">
        <v>0</v>
      </c>
      <c r="S104" t="n">
        <v>0</v>
      </c>
      <c r="T104" t="n">
        <v>0</v>
      </c>
      <c r="U104" s="2" t="inlineStr"/>
    </row>
    <row r="105" ht="15" customHeight="1">
      <c r="A105" t="inlineStr">
        <is>
          <t>A 20798-2022</t>
        </is>
      </c>
      <c r="B105" t="inlineStr">
        <is>
          <t>avverkningsanmälan</t>
        </is>
      </c>
      <c r="C105" t="inlineStr">
        <is>
          <t>Avverkning för att bevara och utveckla /försöksver</t>
        </is>
      </c>
      <c r="D105" s="1" t="n">
        <v>44701</v>
      </c>
      <c r="E105" s="1" t="n">
        <v>46216</v>
      </c>
      <c r="F105" t="inlineStr">
        <is>
          <t>VÄSTMANLANDS LÄN</t>
        </is>
      </c>
      <c r="G105" t="inlineStr">
        <is>
          <t>KÖPING</t>
        </is>
      </c>
      <c r="H105" t="inlineStr">
        <is>
          <t>Sveaskog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27207-2025</t>
        </is>
      </c>
      <c r="B106" t="inlineStr">
        <is>
          <t>avverkningsanmälan</t>
        </is>
      </c>
      <c r="C106" t="inlineStr">
        <is>
          <t>Föryngringsavverkning</t>
        </is>
      </c>
      <c r="D106" s="1" t="n">
        <v>45812</v>
      </c>
      <c r="E106" s="1" t="n">
        <v>46216</v>
      </c>
      <c r="F106" t="inlineStr">
        <is>
          <t>VÄSTMANLANDS LÄN</t>
        </is>
      </c>
      <c r="G106" t="inlineStr">
        <is>
          <t>KÖPING</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27261-2022</t>
        </is>
      </c>
      <c r="B107" t="inlineStr">
        <is>
          <t>avverkningsanmälan</t>
        </is>
      </c>
      <c r="C107" t="inlineStr">
        <is>
          <t>Föryngringsavverkning</t>
        </is>
      </c>
      <c r="D107" s="1" t="n">
        <v>44741</v>
      </c>
      <c r="E107" s="1" t="n">
        <v>46216</v>
      </c>
      <c r="F107" t="inlineStr">
        <is>
          <t>VÄSTMANLANDS LÄN</t>
        </is>
      </c>
      <c r="G107" t="inlineStr">
        <is>
          <t>KÖPING</t>
        </is>
      </c>
      <c r="H107" t="inlineStr">
        <is>
          <t>Sveaskog</t>
        </is>
      </c>
      <c r="I107" t="n">
        <v>3.5</v>
      </c>
      <c r="J107" t="n">
        <v>0</v>
      </c>
      <c r="K107" t="n">
        <v>0</v>
      </c>
      <c r="L107" t="n">
        <v>0</v>
      </c>
      <c r="M107" t="n">
        <v>0</v>
      </c>
      <c r="N107" t="n">
        <v>0</v>
      </c>
      <c r="O107" t="n">
        <v>0</v>
      </c>
      <c r="P107" t="n">
        <v>0</v>
      </c>
      <c r="Q107" t="n">
        <v>0</v>
      </c>
      <c r="R107" t="n">
        <v>0</v>
      </c>
      <c r="S107" t="n">
        <v>0</v>
      </c>
      <c r="T107" t="n">
        <v>0</v>
      </c>
      <c r="U107" s="2" t="inlineStr"/>
    </row>
    <row r="108" ht="15" customHeight="1">
      <c r="A108" t="inlineStr">
        <is>
          <t>A 5225-2025</t>
        </is>
      </c>
      <c r="B108" t="inlineStr">
        <is>
          <t>avverkningsanmälan</t>
        </is>
      </c>
      <c r="C108" t="inlineStr">
        <is>
          <t>Föryngringsavverkning</t>
        </is>
      </c>
      <c r="D108" s="1" t="n">
        <v>45691</v>
      </c>
      <c r="E108" s="1" t="n">
        <v>46216</v>
      </c>
      <c r="F108" t="inlineStr">
        <is>
          <t>VÄSTMANLANDS LÄN</t>
        </is>
      </c>
      <c r="G108" t="inlineStr">
        <is>
          <t>KÖPING</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1926-2025</t>
        </is>
      </c>
      <c r="B109" t="inlineStr">
        <is>
          <t>avverkningsanmälan</t>
        </is>
      </c>
      <c r="C109" t="inlineStr">
        <is>
          <t>Föryngringsavverkning</t>
        </is>
      </c>
      <c r="D109" s="1" t="n">
        <v>45671</v>
      </c>
      <c r="E109" s="1" t="n">
        <v>46216</v>
      </c>
      <c r="F109" t="inlineStr">
        <is>
          <t>VÄSTMANLANDS LÄN</t>
        </is>
      </c>
      <c r="G109" t="inlineStr">
        <is>
          <t>KÖPING</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14664-2022</t>
        </is>
      </c>
      <c r="B110" t="inlineStr">
        <is>
          <t>avverkningsanmälan</t>
        </is>
      </c>
      <c r="C110" t="inlineStr">
        <is>
          <t>Föryngringsavverkning</t>
        </is>
      </c>
      <c r="D110" s="1" t="n">
        <v>44655</v>
      </c>
      <c r="E110" s="1" t="n">
        <v>46216</v>
      </c>
      <c r="F110" t="inlineStr">
        <is>
          <t>VÄSTMANLANDS LÄN</t>
        </is>
      </c>
      <c r="G110" t="inlineStr">
        <is>
          <t>KÖPING</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40502-2025</t>
        </is>
      </c>
      <c r="B111" t="inlineStr">
        <is>
          <t>avverkningsanmälan</t>
        </is>
      </c>
      <c r="C111" t="inlineStr">
        <is>
          <t>Föryngringsavverkning</t>
        </is>
      </c>
      <c r="D111" s="1" t="n">
        <v>45896</v>
      </c>
      <c r="E111" s="1" t="n">
        <v>46216</v>
      </c>
      <c r="F111" t="inlineStr">
        <is>
          <t>VÄSTMANLANDS LÄN</t>
        </is>
      </c>
      <c r="G111" t="inlineStr">
        <is>
          <t>KÖPING</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28872-2025</t>
        </is>
      </c>
      <c r="B112" t="inlineStr">
        <is>
          <t>avverkningsanmälan</t>
        </is>
      </c>
      <c r="C112" t="inlineStr">
        <is>
          <t>Avverkning för annat ändamål</t>
        </is>
      </c>
      <c r="D112" s="1" t="n">
        <v>45820</v>
      </c>
      <c r="E112" s="1" t="n">
        <v>46216</v>
      </c>
      <c r="F112" t="inlineStr">
        <is>
          <t>VÄSTMANLANDS LÄN</t>
        </is>
      </c>
      <c r="G112" t="inlineStr">
        <is>
          <t>KÖPING</t>
        </is>
      </c>
      <c r="H112" t="inlineStr">
        <is>
          <t>Sveaskog</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28394-2024</t>
        </is>
      </c>
      <c r="B113" t="inlineStr">
        <is>
          <t>avverkningsanmälan</t>
        </is>
      </c>
      <c r="C113" t="inlineStr">
        <is>
          <t>Föryngringsavverkning</t>
        </is>
      </c>
      <c r="D113" s="1" t="n">
        <v>45477</v>
      </c>
      <c r="E113" s="1" t="n">
        <v>46216</v>
      </c>
      <c r="F113" t="inlineStr">
        <is>
          <t>VÄSTMANLANDS LÄN</t>
        </is>
      </c>
      <c r="G113" t="inlineStr">
        <is>
          <t>KÖPING</t>
        </is>
      </c>
      <c r="H113" t="inlineStr">
        <is>
          <t>Sveaskog</t>
        </is>
      </c>
      <c r="I113" t="n">
        <v>2</v>
      </c>
      <c r="J113" t="n">
        <v>0</v>
      </c>
      <c r="K113" t="n">
        <v>0</v>
      </c>
      <c r="L113" t="n">
        <v>0</v>
      </c>
      <c r="M113" t="n">
        <v>0</v>
      </c>
      <c r="N113" t="n">
        <v>0</v>
      </c>
      <c r="O113" t="n">
        <v>0</v>
      </c>
      <c r="P113" t="n">
        <v>0</v>
      </c>
      <c r="Q113" t="n">
        <v>0</v>
      </c>
      <c r="R113" t="n">
        <v>0</v>
      </c>
      <c r="S113" t="n">
        <v>0</v>
      </c>
      <c r="T113" t="n">
        <v>0</v>
      </c>
      <c r="U113" s="2" t="inlineStr"/>
    </row>
    <row r="114" ht="15" customHeight="1">
      <c r="A114" t="inlineStr">
        <is>
          <t>A 30136-2025</t>
        </is>
      </c>
      <c r="B114" t="inlineStr">
        <is>
          <t>avverkningsanmälan</t>
        </is>
      </c>
      <c r="C114" t="inlineStr">
        <is>
          <t>Föryngringsavverkning</t>
        </is>
      </c>
      <c r="D114" s="1" t="n">
        <v>45826</v>
      </c>
      <c r="E114" s="1" t="n">
        <v>46216</v>
      </c>
      <c r="F114" t="inlineStr">
        <is>
          <t>VÄSTMANLANDS LÄN</t>
        </is>
      </c>
      <c r="G114" t="inlineStr">
        <is>
          <t>KÖPING</t>
        </is>
      </c>
      <c r="I114" t="n">
        <v>3.3</v>
      </c>
      <c r="J114" t="n">
        <v>0</v>
      </c>
      <c r="K114" t="n">
        <v>0</v>
      </c>
      <c r="L114" t="n">
        <v>0</v>
      </c>
      <c r="M114" t="n">
        <v>0</v>
      </c>
      <c r="N114" t="n">
        <v>0</v>
      </c>
      <c r="O114" t="n">
        <v>0</v>
      </c>
      <c r="P114" t="n">
        <v>0</v>
      </c>
      <c r="Q114" t="n">
        <v>0</v>
      </c>
      <c r="R114" t="n">
        <v>0</v>
      </c>
      <c r="S114" t="n">
        <v>0</v>
      </c>
      <c r="T114" t="n">
        <v>0</v>
      </c>
      <c r="U114" s="2" t="inlineStr"/>
    </row>
    <row r="115" ht="15" customHeight="1">
      <c r="A115" t="inlineStr">
        <is>
          <t>A 7370-2022</t>
        </is>
      </c>
      <c r="B115" t="inlineStr">
        <is>
          <t>avverkningsanmälan</t>
        </is>
      </c>
      <c r="C115" t="inlineStr">
        <is>
          <t>Föryngringsavverkning</t>
        </is>
      </c>
      <c r="D115" s="1" t="n">
        <v>44606</v>
      </c>
      <c r="E115" s="1" t="n">
        <v>46216</v>
      </c>
      <c r="F115" t="inlineStr">
        <is>
          <t>VÄSTMANLANDS LÄN</t>
        </is>
      </c>
      <c r="G115" t="inlineStr">
        <is>
          <t>KÖPING</t>
        </is>
      </c>
      <c r="I115" t="n">
        <v>14.4</v>
      </c>
      <c r="J115" t="n">
        <v>0</v>
      </c>
      <c r="K115" t="n">
        <v>0</v>
      </c>
      <c r="L115" t="n">
        <v>0</v>
      </c>
      <c r="M115" t="n">
        <v>0</v>
      </c>
      <c r="N115" t="n">
        <v>0</v>
      </c>
      <c r="O115" t="n">
        <v>0</v>
      </c>
      <c r="P115" t="n">
        <v>0</v>
      </c>
      <c r="Q115" t="n">
        <v>0</v>
      </c>
      <c r="R115" t="n">
        <v>0</v>
      </c>
      <c r="S115" t="n">
        <v>0</v>
      </c>
      <c r="T115" t="n">
        <v>0</v>
      </c>
      <c r="U115" s="2" t="inlineStr"/>
    </row>
    <row r="116" ht="15" customHeight="1">
      <c r="A116" t="inlineStr">
        <is>
          <t>A 31068-2025</t>
        </is>
      </c>
      <c r="B116" t="inlineStr">
        <is>
          <t>avverkningsanmälan</t>
        </is>
      </c>
      <c r="C116" t="inlineStr">
        <is>
          <t>Föryngringsavverkning</t>
        </is>
      </c>
      <c r="D116" s="1" t="n">
        <v>45832</v>
      </c>
      <c r="E116" s="1" t="n">
        <v>46216</v>
      </c>
      <c r="F116" t="inlineStr">
        <is>
          <t>VÄSTMANLANDS LÄN</t>
        </is>
      </c>
      <c r="G116" t="inlineStr">
        <is>
          <t>KÖPING</t>
        </is>
      </c>
      <c r="H116" t="inlineStr">
        <is>
          <t>Sveaskog</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44906-2022</t>
        </is>
      </c>
      <c r="B117" t="inlineStr">
        <is>
          <t>avverkningsanmälan</t>
        </is>
      </c>
      <c r="C117" t="inlineStr">
        <is>
          <t>Föryngringsavverkning</t>
        </is>
      </c>
      <c r="D117" s="1" t="n">
        <v>44840</v>
      </c>
      <c r="E117" s="1" t="n">
        <v>46216</v>
      </c>
      <c r="F117" t="inlineStr">
        <is>
          <t>VÄSTMANLANDS LÄN</t>
        </is>
      </c>
      <c r="G117" t="inlineStr">
        <is>
          <t>KÖPING</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31071-2025</t>
        </is>
      </c>
      <c r="B118" t="inlineStr">
        <is>
          <t>avverkningsanmälan</t>
        </is>
      </c>
      <c r="C118" t="inlineStr">
        <is>
          <t>Föryngringsavverkning</t>
        </is>
      </c>
      <c r="D118" s="1" t="n">
        <v>45832</v>
      </c>
      <c r="E118" s="1" t="n">
        <v>46216</v>
      </c>
      <c r="F118" t="inlineStr">
        <is>
          <t>VÄSTMANLANDS LÄN</t>
        </is>
      </c>
      <c r="G118" t="inlineStr">
        <is>
          <t>KÖPING</t>
        </is>
      </c>
      <c r="H118" t="inlineStr">
        <is>
          <t>Sveaskog</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43183-2025</t>
        </is>
      </c>
      <c r="B119" t="inlineStr">
        <is>
          <t>avverkningsanmälan</t>
        </is>
      </c>
      <c r="C119" t="inlineStr">
        <is>
          <t>Föryngringsavverkning</t>
        </is>
      </c>
      <c r="D119" s="1" t="n">
        <v>45910</v>
      </c>
      <c r="E119" s="1" t="n">
        <v>46216</v>
      </c>
      <c r="F119" t="inlineStr">
        <is>
          <t>VÄSTMANLANDS LÄN</t>
        </is>
      </c>
      <c r="G119" t="inlineStr">
        <is>
          <t>KÖPING</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43192-2025</t>
        </is>
      </c>
      <c r="B120" t="inlineStr">
        <is>
          <t>avverkningsanmälan</t>
        </is>
      </c>
      <c r="C120" t="inlineStr">
        <is>
          <t>Föryngringsavverkning</t>
        </is>
      </c>
      <c r="D120" s="1" t="n">
        <v>45910</v>
      </c>
      <c r="E120" s="1" t="n">
        <v>46216</v>
      </c>
      <c r="F120" t="inlineStr">
        <is>
          <t>VÄSTMANLANDS LÄN</t>
        </is>
      </c>
      <c r="G120" t="inlineStr">
        <is>
          <t>KÖPING</t>
        </is>
      </c>
      <c r="H120" t="inlineStr">
        <is>
          <t>Sveaskog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43187-2025</t>
        </is>
      </c>
      <c r="B121" t="inlineStr">
        <is>
          <t>avverkningsanmälan</t>
        </is>
      </c>
      <c r="C121" t="inlineStr">
        <is>
          <t>Föryngringsavverkning</t>
        </is>
      </c>
      <c r="D121" s="1" t="n">
        <v>45910</v>
      </c>
      <c r="E121" s="1" t="n">
        <v>46216</v>
      </c>
      <c r="F121" t="inlineStr">
        <is>
          <t>VÄSTMANLANDS LÄN</t>
        </is>
      </c>
      <c r="G121" t="inlineStr">
        <is>
          <t>KÖPING</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31839-2025</t>
        </is>
      </c>
      <c r="B122" t="inlineStr">
        <is>
          <t>avverkningsanmälan</t>
        </is>
      </c>
      <c r="C122" t="inlineStr">
        <is>
          <t>Avverkning för att bevara och utveckla /försöksver</t>
        </is>
      </c>
      <c r="D122" s="1" t="n">
        <v>45834</v>
      </c>
      <c r="E122" s="1" t="n">
        <v>46216</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31830-2025</t>
        </is>
      </c>
      <c r="B123" t="inlineStr">
        <is>
          <t>avverkningsanmälan</t>
        </is>
      </c>
      <c r="C123" t="inlineStr">
        <is>
          <t>Föryngringsavverkning</t>
        </is>
      </c>
      <c r="D123" s="1" t="n">
        <v>45834</v>
      </c>
      <c r="E123" s="1" t="n">
        <v>46216</v>
      </c>
      <c r="F123" t="inlineStr">
        <is>
          <t>VÄSTMANLANDS LÄN</t>
        </is>
      </c>
      <c r="G123" t="inlineStr">
        <is>
          <t>KÖPING</t>
        </is>
      </c>
      <c r="H123" t="inlineStr">
        <is>
          <t>Sveaskog</t>
        </is>
      </c>
      <c r="I123" t="n">
        <v>2.7</v>
      </c>
      <c r="J123" t="n">
        <v>0</v>
      </c>
      <c r="K123" t="n">
        <v>0</v>
      </c>
      <c r="L123" t="n">
        <v>0</v>
      </c>
      <c r="M123" t="n">
        <v>0</v>
      </c>
      <c r="N123" t="n">
        <v>0</v>
      </c>
      <c r="O123" t="n">
        <v>0</v>
      </c>
      <c r="P123" t="n">
        <v>0</v>
      </c>
      <c r="Q123" t="n">
        <v>0</v>
      </c>
      <c r="R123" t="n">
        <v>0</v>
      </c>
      <c r="S123" t="n">
        <v>0</v>
      </c>
      <c r="T123" t="n">
        <v>0</v>
      </c>
      <c r="U123" s="2" t="inlineStr"/>
    </row>
    <row r="124" ht="15" customHeight="1">
      <c r="A124" t="inlineStr">
        <is>
          <t>A 31738-2025</t>
        </is>
      </c>
      <c r="B124" t="inlineStr">
        <is>
          <t>avverkningsanmälan</t>
        </is>
      </c>
      <c r="C124" t="inlineStr">
        <is>
          <t>Föryngringsavverkning</t>
        </is>
      </c>
      <c r="D124" s="1" t="n">
        <v>45834</v>
      </c>
      <c r="E124" s="1" t="n">
        <v>46216</v>
      </c>
      <c r="F124" t="inlineStr">
        <is>
          <t>VÄSTMANLANDS LÄN</t>
        </is>
      </c>
      <c r="G124" t="inlineStr">
        <is>
          <t>KÖPING</t>
        </is>
      </c>
      <c r="I124" t="n">
        <v>11.2</v>
      </c>
      <c r="J124" t="n">
        <v>0</v>
      </c>
      <c r="K124" t="n">
        <v>0</v>
      </c>
      <c r="L124" t="n">
        <v>0</v>
      </c>
      <c r="M124" t="n">
        <v>0</v>
      </c>
      <c r="N124" t="n">
        <v>0</v>
      </c>
      <c r="O124" t="n">
        <v>0</v>
      </c>
      <c r="P124" t="n">
        <v>0</v>
      </c>
      <c r="Q124" t="n">
        <v>0</v>
      </c>
      <c r="R124" t="n">
        <v>0</v>
      </c>
      <c r="S124" t="n">
        <v>0</v>
      </c>
      <c r="T124" t="n">
        <v>0</v>
      </c>
      <c r="U124" s="2" t="inlineStr"/>
    </row>
    <row r="125" ht="15" customHeight="1">
      <c r="A125" t="inlineStr">
        <is>
          <t>A 44171-2025</t>
        </is>
      </c>
      <c r="B125" t="inlineStr">
        <is>
          <t>avverkningsanmälan</t>
        </is>
      </c>
      <c r="C125" t="inlineStr">
        <is>
          <t>Föryngringsavverkning</t>
        </is>
      </c>
      <c r="D125" s="1" t="n">
        <v>45915</v>
      </c>
      <c r="E125" s="1" t="n">
        <v>46216</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65740-2021</t>
        </is>
      </c>
      <c r="B126" t="inlineStr">
        <is>
          <t>avverkningsanmälan</t>
        </is>
      </c>
      <c r="C126" t="inlineStr">
        <is>
          <t>Föryngringsavverkning</t>
        </is>
      </c>
      <c r="D126" s="1" t="n">
        <v>44516</v>
      </c>
      <c r="E126" s="1" t="n">
        <v>46216</v>
      </c>
      <c r="F126" t="inlineStr">
        <is>
          <t>VÄSTMANLANDS LÄN</t>
        </is>
      </c>
      <c r="G126" t="inlineStr">
        <is>
          <t>KÖPING</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21157-2025</t>
        </is>
      </c>
      <c r="B127" t="inlineStr">
        <is>
          <t>avverkningsanmälan</t>
        </is>
      </c>
      <c r="C127" t="inlineStr">
        <is>
          <t>Föryngringsavverkning</t>
        </is>
      </c>
      <c r="D127" s="1" t="n">
        <v>45779</v>
      </c>
      <c r="E127" s="1" t="n">
        <v>46216</v>
      </c>
      <c r="F127" t="inlineStr">
        <is>
          <t>VÄSTMANLANDS LÄN</t>
        </is>
      </c>
      <c r="G127" t="inlineStr">
        <is>
          <t>KÖPING</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53996-2021</t>
        </is>
      </c>
      <c r="B128" t="inlineStr">
        <is>
          <t>avverkningsanmälan</t>
        </is>
      </c>
      <c r="C128" t="inlineStr">
        <is>
          <t>Föryngringsavverkning</t>
        </is>
      </c>
      <c r="D128" s="1" t="n">
        <v>44470</v>
      </c>
      <c r="E128" s="1" t="n">
        <v>46216</v>
      </c>
      <c r="F128" t="inlineStr">
        <is>
          <t>VÄSTMANLANDS LÄN</t>
        </is>
      </c>
      <c r="G128" t="inlineStr">
        <is>
          <t>KÖPING</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8703-2024</t>
        </is>
      </c>
      <c r="B129" t="inlineStr">
        <is>
          <t>avverkningsanmälan</t>
        </is>
      </c>
      <c r="C129" t="inlineStr">
        <is>
          <t>Föryngringsavverkning</t>
        </is>
      </c>
      <c r="D129" s="1" t="n">
        <v>45356</v>
      </c>
      <c r="E129" s="1" t="n">
        <v>46216</v>
      </c>
      <c r="F129" t="inlineStr">
        <is>
          <t>VÄSTMANLANDS LÄN</t>
        </is>
      </c>
      <c r="G129" t="inlineStr">
        <is>
          <t>KÖPING</t>
        </is>
      </c>
      <c r="I129" t="n">
        <v>6.5</v>
      </c>
      <c r="J129" t="n">
        <v>0</v>
      </c>
      <c r="K129" t="n">
        <v>0</v>
      </c>
      <c r="L129" t="n">
        <v>0</v>
      </c>
      <c r="M129" t="n">
        <v>0</v>
      </c>
      <c r="N129" t="n">
        <v>0</v>
      </c>
      <c r="O129" t="n">
        <v>0</v>
      </c>
      <c r="P129" t="n">
        <v>0</v>
      </c>
      <c r="Q129" t="n">
        <v>0</v>
      </c>
      <c r="R129" t="n">
        <v>0</v>
      </c>
      <c r="S129" t="n">
        <v>0</v>
      </c>
      <c r="T129" t="n">
        <v>0</v>
      </c>
      <c r="U129" s="2" t="inlineStr"/>
    </row>
    <row r="130" ht="15" customHeight="1">
      <c r="A130" t="inlineStr">
        <is>
          <t>A 39646-2023</t>
        </is>
      </c>
      <c r="B130" t="inlineStr">
        <is>
          <t>avverkningsanmälan</t>
        </is>
      </c>
      <c r="C130" t="inlineStr">
        <is>
          <t>Föryngringsavverkning</t>
        </is>
      </c>
      <c r="D130" s="1" t="n">
        <v>45166</v>
      </c>
      <c r="E130" s="1" t="n">
        <v>46216</v>
      </c>
      <c r="F130" t="inlineStr">
        <is>
          <t>VÄSTMANLANDS LÄN</t>
        </is>
      </c>
      <c r="G130" t="inlineStr">
        <is>
          <t>KÖPING</t>
        </is>
      </c>
      <c r="I130" t="n">
        <v>9.300000000000001</v>
      </c>
      <c r="J130" t="n">
        <v>0</v>
      </c>
      <c r="K130" t="n">
        <v>0</v>
      </c>
      <c r="L130" t="n">
        <v>0</v>
      </c>
      <c r="M130" t="n">
        <v>0</v>
      </c>
      <c r="N130" t="n">
        <v>0</v>
      </c>
      <c r="O130" t="n">
        <v>0</v>
      </c>
      <c r="P130" t="n">
        <v>0</v>
      </c>
      <c r="Q130" t="n">
        <v>0</v>
      </c>
      <c r="R130" t="n">
        <v>0</v>
      </c>
      <c r="S130" t="n">
        <v>0</v>
      </c>
      <c r="T130" t="n">
        <v>0</v>
      </c>
      <c r="U130" s="2" t="inlineStr"/>
    </row>
    <row r="131" ht="15" customHeight="1">
      <c r="A131" t="inlineStr">
        <is>
          <t>A 30139-2025</t>
        </is>
      </c>
      <c r="B131" t="inlineStr">
        <is>
          <t>avverkningsanmälan</t>
        </is>
      </c>
      <c r="C131" t="inlineStr">
        <is>
          <t>Föryngringsavverkning</t>
        </is>
      </c>
      <c r="D131" s="1" t="n">
        <v>45826</v>
      </c>
      <c r="E131" s="1" t="n">
        <v>46216</v>
      </c>
      <c r="F131" t="inlineStr">
        <is>
          <t>VÄSTMANLANDS LÄN</t>
        </is>
      </c>
      <c r="G131" t="inlineStr">
        <is>
          <t>KÖPING</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47681-2025</t>
        </is>
      </c>
      <c r="B132" t="inlineStr">
        <is>
          <t>avverkningsanmälan</t>
        </is>
      </c>
      <c r="C132" t="inlineStr">
        <is>
          <t>Föryngringsavverkning</t>
        </is>
      </c>
      <c r="D132" s="1" t="n">
        <v>45931</v>
      </c>
      <c r="E132" s="1" t="n">
        <v>46216</v>
      </c>
      <c r="F132" t="inlineStr">
        <is>
          <t>VÄSTMANLANDS LÄN</t>
        </is>
      </c>
      <c r="G132" t="inlineStr">
        <is>
          <t>KÖPING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47576-2025</t>
        </is>
      </c>
      <c r="B133" t="inlineStr">
        <is>
          <t>avverkningsanmälan</t>
        </is>
      </c>
      <c r="C133" t="inlineStr">
        <is>
          <t>Avverkning för att bevara och utveckla /försöksver</t>
        </is>
      </c>
      <c r="D133" s="1" t="n">
        <v>45931</v>
      </c>
      <c r="E133" s="1" t="n">
        <v>46216</v>
      </c>
      <c r="F133" t="inlineStr">
        <is>
          <t>VÄSTMANLANDS LÄN</t>
        </is>
      </c>
      <c r="G133" t="inlineStr">
        <is>
          <t>KÖPING</t>
        </is>
      </c>
      <c r="H133" t="inlineStr">
        <is>
          <t>Sveaskog</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23791-2022</t>
        </is>
      </c>
      <c r="B134" t="inlineStr">
        <is>
          <t>avverkningsanmälan</t>
        </is>
      </c>
      <c r="C134" t="inlineStr">
        <is>
          <t>Föryngringsavverkning</t>
        </is>
      </c>
      <c r="D134" s="1" t="n">
        <v>44722</v>
      </c>
      <c r="E134" s="1" t="n">
        <v>46216</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51132-2023</t>
        </is>
      </c>
      <c r="B135" t="inlineStr">
        <is>
          <t>avverkningsanmälan</t>
        </is>
      </c>
      <c r="C135" t="inlineStr">
        <is>
          <t>Föryngringsavverkning</t>
        </is>
      </c>
      <c r="D135" s="1" t="n">
        <v>45219</v>
      </c>
      <c r="E135" s="1" t="n">
        <v>46216</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36726-2025</t>
        </is>
      </c>
      <c r="B136" t="inlineStr">
        <is>
          <t>avverkningsanmälan</t>
        </is>
      </c>
      <c r="C136" t="inlineStr">
        <is>
          <t>Föryngringsavverkning</t>
        </is>
      </c>
      <c r="D136" s="1" t="n">
        <v>45873</v>
      </c>
      <c r="E136" s="1" t="n">
        <v>46216</v>
      </c>
      <c r="F136" t="inlineStr">
        <is>
          <t>VÄSTMANLANDS LÄN</t>
        </is>
      </c>
      <c r="G136" t="inlineStr">
        <is>
          <t>KÖPING</t>
        </is>
      </c>
      <c r="I136" t="n">
        <v>8.5</v>
      </c>
      <c r="J136" t="n">
        <v>0</v>
      </c>
      <c r="K136" t="n">
        <v>0</v>
      </c>
      <c r="L136" t="n">
        <v>0</v>
      </c>
      <c r="M136" t="n">
        <v>0</v>
      </c>
      <c r="N136" t="n">
        <v>0</v>
      </c>
      <c r="O136" t="n">
        <v>0</v>
      </c>
      <c r="P136" t="n">
        <v>0</v>
      </c>
      <c r="Q136" t="n">
        <v>0</v>
      </c>
      <c r="R136" t="n">
        <v>0</v>
      </c>
      <c r="S136" t="n">
        <v>0</v>
      </c>
      <c r="T136" t="n">
        <v>0</v>
      </c>
      <c r="U136" s="2" t="inlineStr"/>
    </row>
    <row r="137" ht="15" customHeight="1">
      <c r="A137" t="inlineStr">
        <is>
          <t>A 48978-2025</t>
        </is>
      </c>
      <c r="B137" t="inlineStr">
        <is>
          <t>avverkningsanmälan</t>
        </is>
      </c>
      <c r="C137" t="inlineStr">
        <is>
          <t>Föryngringsavverkning</t>
        </is>
      </c>
      <c r="D137" s="1" t="n">
        <v>45937</v>
      </c>
      <c r="E137" s="1" t="n">
        <v>46216</v>
      </c>
      <c r="F137" t="inlineStr">
        <is>
          <t>VÄSTMANLANDS LÄN</t>
        </is>
      </c>
      <c r="G137" t="inlineStr">
        <is>
          <t>KÖPING</t>
        </is>
      </c>
      <c r="H137" t="inlineStr">
        <is>
          <t>Sveaskog</t>
        </is>
      </c>
      <c r="I137" t="n">
        <v>7.2</v>
      </c>
      <c r="J137" t="n">
        <v>0</v>
      </c>
      <c r="K137" t="n">
        <v>0</v>
      </c>
      <c r="L137" t="n">
        <v>0</v>
      </c>
      <c r="M137" t="n">
        <v>0</v>
      </c>
      <c r="N137" t="n">
        <v>0</v>
      </c>
      <c r="O137" t="n">
        <v>0</v>
      </c>
      <c r="P137" t="n">
        <v>0</v>
      </c>
      <c r="Q137" t="n">
        <v>0</v>
      </c>
      <c r="R137" t="n">
        <v>0</v>
      </c>
      <c r="S137" t="n">
        <v>0</v>
      </c>
      <c r="T137" t="n">
        <v>0</v>
      </c>
      <c r="U137" s="2" t="inlineStr"/>
    </row>
    <row r="138" ht="15" customHeight="1">
      <c r="A138" t="inlineStr">
        <is>
          <t>A 48979-2025</t>
        </is>
      </c>
      <c r="B138" t="inlineStr">
        <is>
          <t>avverkningsanmälan</t>
        </is>
      </c>
      <c r="C138" t="inlineStr">
        <is>
          <t>Föryngringsavverkning</t>
        </is>
      </c>
      <c r="D138" s="1" t="n">
        <v>45937</v>
      </c>
      <c r="E138" s="1" t="n">
        <v>46216</v>
      </c>
      <c r="F138" t="inlineStr">
        <is>
          <t>VÄSTMANLANDS LÄN</t>
        </is>
      </c>
      <c r="G138" t="inlineStr">
        <is>
          <t>KÖPING</t>
        </is>
      </c>
      <c r="H138" t="inlineStr">
        <is>
          <t>Sveaskog</t>
        </is>
      </c>
      <c r="I138" t="n">
        <v>5.6</v>
      </c>
      <c r="J138" t="n">
        <v>0</v>
      </c>
      <c r="K138" t="n">
        <v>0</v>
      </c>
      <c r="L138" t="n">
        <v>0</v>
      </c>
      <c r="M138" t="n">
        <v>0</v>
      </c>
      <c r="N138" t="n">
        <v>0</v>
      </c>
      <c r="O138" t="n">
        <v>0</v>
      </c>
      <c r="P138" t="n">
        <v>0</v>
      </c>
      <c r="Q138" t="n">
        <v>0</v>
      </c>
      <c r="R138" t="n">
        <v>0</v>
      </c>
      <c r="S138" t="n">
        <v>0</v>
      </c>
      <c r="T138" t="n">
        <v>0</v>
      </c>
      <c r="U138" s="2" t="inlineStr"/>
    </row>
    <row r="139" ht="15" customHeight="1">
      <c r="A139" t="inlineStr">
        <is>
          <t>A 13041-2025</t>
        </is>
      </c>
      <c r="B139" t="inlineStr">
        <is>
          <t>avverkningsanmälan</t>
        </is>
      </c>
      <c r="C139" t="inlineStr">
        <is>
          <t>Avverkning för att bevara och utveckla /försöksver</t>
        </is>
      </c>
      <c r="D139" s="1" t="n">
        <v>45734</v>
      </c>
      <c r="E139" s="1" t="n">
        <v>46216</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17295-2023</t>
        </is>
      </c>
      <c r="B140" t="inlineStr">
        <is>
          <t>avverkningsanmälan</t>
        </is>
      </c>
      <c r="C140" t="inlineStr">
        <is>
          <t>Föryngringsavverkning</t>
        </is>
      </c>
      <c r="D140" s="1" t="n">
        <v>45035</v>
      </c>
      <c r="E140" s="1" t="n">
        <v>46216</v>
      </c>
      <c r="F140" t="inlineStr">
        <is>
          <t>VÄSTMANLANDS LÄN</t>
        </is>
      </c>
      <c r="G140" t="inlineStr">
        <is>
          <t>KÖPING</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45714-2021</t>
        </is>
      </c>
      <c r="B141" t="inlineStr">
        <is>
          <t>avverkningsanmälan</t>
        </is>
      </c>
      <c r="C141" t="inlineStr">
        <is>
          <t>Föryngringsavverkning</t>
        </is>
      </c>
      <c r="D141" s="1" t="n">
        <v>44441</v>
      </c>
      <c r="E141" s="1" t="n">
        <v>46216</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41472-2024</t>
        </is>
      </c>
      <c r="B142" t="inlineStr">
        <is>
          <t>avverkningsanmälan</t>
        </is>
      </c>
      <c r="C142" t="inlineStr">
        <is>
          <t>Föryngringsavverkning</t>
        </is>
      </c>
      <c r="D142" s="1" t="n">
        <v>45560</v>
      </c>
      <c r="E142" s="1" t="n">
        <v>46216</v>
      </c>
      <c r="F142" t="inlineStr">
        <is>
          <t>VÄSTMANLANDS LÄN</t>
        </is>
      </c>
      <c r="G142" t="inlineStr">
        <is>
          <t>KÖPING</t>
        </is>
      </c>
      <c r="I142" t="n">
        <v>3.2</v>
      </c>
      <c r="J142" t="n">
        <v>0</v>
      </c>
      <c r="K142" t="n">
        <v>0</v>
      </c>
      <c r="L142" t="n">
        <v>0</v>
      </c>
      <c r="M142" t="n">
        <v>0</v>
      </c>
      <c r="N142" t="n">
        <v>0</v>
      </c>
      <c r="O142" t="n">
        <v>0</v>
      </c>
      <c r="P142" t="n">
        <v>0</v>
      </c>
      <c r="Q142" t="n">
        <v>0</v>
      </c>
      <c r="R142" t="n">
        <v>0</v>
      </c>
      <c r="S142" t="n">
        <v>0</v>
      </c>
      <c r="T142" t="n">
        <v>0</v>
      </c>
      <c r="U142" s="2" t="inlineStr"/>
    </row>
    <row r="143" ht="15" customHeight="1">
      <c r="A143" t="inlineStr">
        <is>
          <t>A 4418-2026</t>
        </is>
      </c>
      <c r="B143" t="inlineStr">
        <is>
          <t>avverkningsanmälan</t>
        </is>
      </c>
      <c r="C143" t="inlineStr">
        <is>
          <t>Föryngringsavverkning</t>
        </is>
      </c>
      <c r="D143" s="1" t="n">
        <v>46044</v>
      </c>
      <c r="E143" s="1" t="n">
        <v>46216</v>
      </c>
      <c r="F143" t="inlineStr">
        <is>
          <t>VÄSTMANLANDS LÄN</t>
        </is>
      </c>
      <c r="G143" t="inlineStr">
        <is>
          <t>KÖPING</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28230-2023</t>
        </is>
      </c>
      <c r="B144" t="inlineStr">
        <is>
          <t>avverkningsanmälan</t>
        </is>
      </c>
      <c r="C144" t="inlineStr">
        <is>
          <t>Föryngringsavverkning</t>
        </is>
      </c>
      <c r="D144" s="1" t="n">
        <v>45099</v>
      </c>
      <c r="E144" s="1" t="n">
        <v>46216</v>
      </c>
      <c r="F144" t="inlineStr">
        <is>
          <t>VÄSTMANLANDS LÄN</t>
        </is>
      </c>
      <c r="G144" t="inlineStr">
        <is>
          <t>KÖPING</t>
        </is>
      </c>
      <c r="I144" t="n">
        <v>6.7</v>
      </c>
      <c r="J144" t="n">
        <v>0</v>
      </c>
      <c r="K144" t="n">
        <v>0</v>
      </c>
      <c r="L144" t="n">
        <v>0</v>
      </c>
      <c r="M144" t="n">
        <v>0</v>
      </c>
      <c r="N144" t="n">
        <v>0</v>
      </c>
      <c r="O144" t="n">
        <v>0</v>
      </c>
      <c r="P144" t="n">
        <v>0</v>
      </c>
      <c r="Q144" t="n">
        <v>0</v>
      </c>
      <c r="R144" t="n">
        <v>0</v>
      </c>
      <c r="S144" t="n">
        <v>0</v>
      </c>
      <c r="T144" t="n">
        <v>0</v>
      </c>
      <c r="U144" s="2" t="inlineStr"/>
    </row>
    <row r="145" ht="15" customHeight="1">
      <c r="A145" t="inlineStr">
        <is>
          <t>A 53351-2025</t>
        </is>
      </c>
      <c r="B145" t="inlineStr">
        <is>
          <t>avverkningsanmälan</t>
        </is>
      </c>
      <c r="C145" t="inlineStr">
        <is>
          <t>Föryngringsavverkning</t>
        </is>
      </c>
      <c r="D145" s="1" t="n">
        <v>45959</v>
      </c>
      <c r="E145" s="1" t="n">
        <v>46216</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64044-2023</t>
        </is>
      </c>
      <c r="B146" t="inlineStr">
        <is>
          <t>avverkningsanmälan</t>
        </is>
      </c>
      <c r="C146" t="inlineStr">
        <is>
          <t>Föryngringsavverkning</t>
        </is>
      </c>
      <c r="D146" s="1" t="n">
        <v>45278</v>
      </c>
      <c r="E146" s="1" t="n">
        <v>46216</v>
      </c>
      <c r="F146" t="inlineStr">
        <is>
          <t>VÄSTMANLANDS LÄN</t>
        </is>
      </c>
      <c r="G146" t="inlineStr">
        <is>
          <t>KÖPING</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5711-2026</t>
        </is>
      </c>
      <c r="B147" t="inlineStr">
        <is>
          <t>avverkningsanmälan</t>
        </is>
      </c>
      <c r="C147" t="inlineStr">
        <is>
          <t>Föryngringsavverkning</t>
        </is>
      </c>
      <c r="D147" s="1" t="n">
        <v>46051</v>
      </c>
      <c r="E147" s="1" t="n">
        <v>46216</v>
      </c>
      <c r="F147" t="inlineStr">
        <is>
          <t>VÄSTMANLANDS LÄN</t>
        </is>
      </c>
      <c r="G147" t="inlineStr">
        <is>
          <t>KÖPING</t>
        </is>
      </c>
      <c r="H147" t="inlineStr">
        <is>
          <t>Sveaskog</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17380-2023</t>
        </is>
      </c>
      <c r="B148" t="inlineStr">
        <is>
          <t>avverkningsanmälan</t>
        </is>
      </c>
      <c r="C148" t="inlineStr">
        <is>
          <t>Föryngringsavverkning</t>
        </is>
      </c>
      <c r="D148" s="1" t="n">
        <v>45035</v>
      </c>
      <c r="E148" s="1" t="n">
        <v>46216</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5710-2026</t>
        </is>
      </c>
      <c r="B149" t="inlineStr">
        <is>
          <t>avverkningsanmälan</t>
        </is>
      </c>
      <c r="C149" t="inlineStr">
        <is>
          <t>Föryngringsavverkning</t>
        </is>
      </c>
      <c r="D149" s="1" t="n">
        <v>46051</v>
      </c>
      <c r="E149" s="1" t="n">
        <v>46216</v>
      </c>
      <c r="F149" t="inlineStr">
        <is>
          <t>VÄSTMANLANDS LÄN</t>
        </is>
      </c>
      <c r="G149" t="inlineStr">
        <is>
          <t>KÖPING</t>
        </is>
      </c>
      <c r="H149" t="inlineStr">
        <is>
          <t>Sveaskog</t>
        </is>
      </c>
      <c r="I149" t="n">
        <v>4.4</v>
      </c>
      <c r="J149" t="n">
        <v>0</v>
      </c>
      <c r="K149" t="n">
        <v>0</v>
      </c>
      <c r="L149" t="n">
        <v>0</v>
      </c>
      <c r="M149" t="n">
        <v>0</v>
      </c>
      <c r="N149" t="n">
        <v>0</v>
      </c>
      <c r="O149" t="n">
        <v>0</v>
      </c>
      <c r="P149" t="n">
        <v>0</v>
      </c>
      <c r="Q149" t="n">
        <v>0</v>
      </c>
      <c r="R149" t="n">
        <v>0</v>
      </c>
      <c r="S149" t="n">
        <v>0</v>
      </c>
      <c r="T149" t="n">
        <v>0</v>
      </c>
      <c r="U149" s="2" t="inlineStr"/>
    </row>
    <row r="150" ht="15" customHeight="1">
      <c r="A150" t="inlineStr">
        <is>
          <t>A 40693-2023</t>
        </is>
      </c>
      <c r="B150" t="inlineStr">
        <is>
          <t>avverkningsanmälan</t>
        </is>
      </c>
      <c r="C150" t="inlineStr">
        <is>
          <t>Avverkning för att bevara och utveckla /försöksver</t>
        </is>
      </c>
      <c r="D150" s="1" t="n">
        <v>45170</v>
      </c>
      <c r="E150" s="1" t="n">
        <v>46216</v>
      </c>
      <c r="F150" t="inlineStr">
        <is>
          <t>VÄSTMANLANDS LÄN</t>
        </is>
      </c>
      <c r="G150" t="inlineStr">
        <is>
          <t>KÖPING</t>
        </is>
      </c>
      <c r="H150" t="inlineStr">
        <is>
          <t>Sveaskog</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54657-2023</t>
        </is>
      </c>
      <c r="B151" t="inlineStr">
        <is>
          <t>avverkningsanmälan</t>
        </is>
      </c>
      <c r="C151" t="inlineStr">
        <is>
          <t>Föryngringsavverkning</t>
        </is>
      </c>
      <c r="D151" s="1" t="n">
        <v>45235</v>
      </c>
      <c r="E151" s="1" t="n">
        <v>46216</v>
      </c>
      <c r="F151" t="inlineStr">
        <is>
          <t>VÄSTMANLANDS LÄN</t>
        </is>
      </c>
      <c r="G151" t="inlineStr">
        <is>
          <t>KÖPING</t>
        </is>
      </c>
      <c r="I151" t="n">
        <v>4.2</v>
      </c>
      <c r="J151" t="n">
        <v>0</v>
      </c>
      <c r="K151" t="n">
        <v>0</v>
      </c>
      <c r="L151" t="n">
        <v>0</v>
      </c>
      <c r="M151" t="n">
        <v>0</v>
      </c>
      <c r="N151" t="n">
        <v>0</v>
      </c>
      <c r="O151" t="n">
        <v>0</v>
      </c>
      <c r="P151" t="n">
        <v>0</v>
      </c>
      <c r="Q151" t="n">
        <v>0</v>
      </c>
      <c r="R151" t="n">
        <v>0</v>
      </c>
      <c r="S151" t="n">
        <v>0</v>
      </c>
      <c r="T151" t="n">
        <v>0</v>
      </c>
      <c r="U151" s="2" t="inlineStr"/>
    </row>
    <row r="152" ht="15" customHeight="1">
      <c r="A152" t="inlineStr">
        <is>
          <t>A 55114-2025</t>
        </is>
      </c>
      <c r="B152" t="inlineStr">
        <is>
          <t>avverkningsanmälan</t>
        </is>
      </c>
      <c r="C152" t="inlineStr">
        <is>
          <t>Föryngringsavverkning</t>
        </is>
      </c>
      <c r="D152" s="1" t="n">
        <v>45968</v>
      </c>
      <c r="E152" s="1" t="n">
        <v>46216</v>
      </c>
      <c r="F152" t="inlineStr">
        <is>
          <t>VÄSTMANLANDS LÄN</t>
        </is>
      </c>
      <c r="G152" t="inlineStr">
        <is>
          <t>KÖPING</t>
        </is>
      </c>
      <c r="I152" t="n">
        <v>15.5</v>
      </c>
      <c r="J152" t="n">
        <v>0</v>
      </c>
      <c r="K152" t="n">
        <v>0</v>
      </c>
      <c r="L152" t="n">
        <v>0</v>
      </c>
      <c r="M152" t="n">
        <v>0</v>
      </c>
      <c r="N152" t="n">
        <v>0</v>
      </c>
      <c r="O152" t="n">
        <v>0</v>
      </c>
      <c r="P152" t="n">
        <v>0</v>
      </c>
      <c r="Q152" t="n">
        <v>0</v>
      </c>
      <c r="R152" t="n">
        <v>0</v>
      </c>
      <c r="S152" t="n">
        <v>0</v>
      </c>
      <c r="T152" t="n">
        <v>0</v>
      </c>
      <c r="U152" s="2" t="inlineStr"/>
    </row>
    <row r="153" ht="15" customHeight="1">
      <c r="A153" t="inlineStr">
        <is>
          <t>A 51407-2023</t>
        </is>
      </c>
      <c r="B153" t="inlineStr">
        <is>
          <t>avverkningsanmälan</t>
        </is>
      </c>
      <c r="C153" t="inlineStr">
        <is>
          <t>Föryngringsavverkning</t>
        </is>
      </c>
      <c r="D153" s="1" t="n">
        <v>45219</v>
      </c>
      <c r="E153" s="1" t="n">
        <v>46216</v>
      </c>
      <c r="F153" t="inlineStr">
        <is>
          <t>VÄSTMANLANDS LÄN</t>
        </is>
      </c>
      <c r="G153" t="inlineStr">
        <is>
          <t>KÖPING</t>
        </is>
      </c>
      <c r="I153" t="n">
        <v>4</v>
      </c>
      <c r="J153" t="n">
        <v>0</v>
      </c>
      <c r="K153" t="n">
        <v>0</v>
      </c>
      <c r="L153" t="n">
        <v>0</v>
      </c>
      <c r="M153" t="n">
        <v>0</v>
      </c>
      <c r="N153" t="n">
        <v>0</v>
      </c>
      <c r="O153" t="n">
        <v>0</v>
      </c>
      <c r="P153" t="n">
        <v>0</v>
      </c>
      <c r="Q153" t="n">
        <v>0</v>
      </c>
      <c r="R153" t="n">
        <v>0</v>
      </c>
      <c r="S153" t="n">
        <v>0</v>
      </c>
      <c r="T153" t="n">
        <v>0</v>
      </c>
      <c r="U153" s="2" t="inlineStr"/>
    </row>
    <row r="154" ht="15" customHeight="1">
      <c r="A154" t="inlineStr">
        <is>
          <t>A 56298-2025</t>
        </is>
      </c>
      <c r="B154" t="inlineStr">
        <is>
          <t>avverkningsanmälan</t>
        </is>
      </c>
      <c r="C154" t="inlineStr">
        <is>
          <t>Föryngringsavverkning</t>
        </is>
      </c>
      <c r="D154" s="1" t="n">
        <v>45974</v>
      </c>
      <c r="E154" s="1" t="n">
        <v>46216</v>
      </c>
      <c r="F154" t="inlineStr">
        <is>
          <t>VÄSTMANLANDS LÄN</t>
        </is>
      </c>
      <c r="G154" t="inlineStr">
        <is>
          <t>KÖPING</t>
        </is>
      </c>
      <c r="H154" t="inlineStr">
        <is>
          <t>Sveaskog</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56301-2025</t>
        </is>
      </c>
      <c r="B155" t="inlineStr">
        <is>
          <t>avverkningsanmälan</t>
        </is>
      </c>
      <c r="C155" t="inlineStr">
        <is>
          <t>Föryngringsavverkning</t>
        </is>
      </c>
      <c r="D155" s="1" t="n">
        <v>45974</v>
      </c>
      <c r="E155" s="1" t="n">
        <v>46216</v>
      </c>
      <c r="F155" t="inlineStr">
        <is>
          <t>VÄSTMANLANDS LÄN</t>
        </is>
      </c>
      <c r="G155" t="inlineStr">
        <is>
          <t>KÖPING</t>
        </is>
      </c>
      <c r="H155" t="inlineStr">
        <is>
          <t>Sveaskog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56296-2025</t>
        </is>
      </c>
      <c r="B156" t="inlineStr">
        <is>
          <t>avverkningsanmälan</t>
        </is>
      </c>
      <c r="C156" t="inlineStr">
        <is>
          <t>Föryngringsavverkning</t>
        </is>
      </c>
      <c r="D156" s="1" t="n">
        <v>45974</v>
      </c>
      <c r="E156" s="1" t="n">
        <v>46216</v>
      </c>
      <c r="F156" t="inlineStr">
        <is>
          <t>VÄSTMANLANDS LÄN</t>
        </is>
      </c>
      <c r="G156" t="inlineStr">
        <is>
          <t>KÖPING</t>
        </is>
      </c>
      <c r="H156" t="inlineStr">
        <is>
          <t>Sveaskog</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23386-2023</t>
        </is>
      </c>
      <c r="B157" t="inlineStr">
        <is>
          <t>avverkningsanmälan</t>
        </is>
      </c>
      <c r="C157" t="inlineStr">
        <is>
          <t>Föryngringsavverkning</t>
        </is>
      </c>
      <c r="D157" s="1" t="n">
        <v>45076</v>
      </c>
      <c r="E157" s="1" t="n">
        <v>46216</v>
      </c>
      <c r="F157" t="inlineStr">
        <is>
          <t>VÄSTMANLANDS LÄN</t>
        </is>
      </c>
      <c r="G157" t="inlineStr">
        <is>
          <t>KÖPING</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56294-2025</t>
        </is>
      </c>
      <c r="B158" t="inlineStr">
        <is>
          <t>avverkningsanmälan</t>
        </is>
      </c>
      <c r="C158" t="inlineStr">
        <is>
          <t>Föryngringsavverkning</t>
        </is>
      </c>
      <c r="D158" s="1" t="n">
        <v>45974</v>
      </c>
      <c r="E158" s="1" t="n">
        <v>46216</v>
      </c>
      <c r="F158" t="inlineStr">
        <is>
          <t>VÄSTMANLANDS LÄN</t>
        </is>
      </c>
      <c r="G158" t="inlineStr">
        <is>
          <t>KÖPING</t>
        </is>
      </c>
      <c r="H158" t="inlineStr">
        <is>
          <t>Sveaskog</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56936-2025</t>
        </is>
      </c>
      <c r="B159" t="inlineStr">
        <is>
          <t>avverkningsanmälan</t>
        </is>
      </c>
      <c r="C159" t="inlineStr">
        <is>
          <t>Föryngringsavverkning</t>
        </is>
      </c>
      <c r="D159" s="1" t="n">
        <v>45978</v>
      </c>
      <c r="E159" s="1" t="n">
        <v>46216</v>
      </c>
      <c r="F159" t="inlineStr">
        <is>
          <t>VÄSTMANLANDS LÄN</t>
        </is>
      </c>
      <c r="G159" t="inlineStr">
        <is>
          <t>KÖPING</t>
        </is>
      </c>
      <c r="I159" t="n">
        <v>2.8</v>
      </c>
      <c r="J159" t="n">
        <v>0</v>
      </c>
      <c r="K159" t="n">
        <v>0</v>
      </c>
      <c r="L159" t="n">
        <v>0</v>
      </c>
      <c r="M159" t="n">
        <v>0</v>
      </c>
      <c r="N159" t="n">
        <v>0</v>
      </c>
      <c r="O159" t="n">
        <v>0</v>
      </c>
      <c r="P159" t="n">
        <v>0</v>
      </c>
      <c r="Q159" t="n">
        <v>0</v>
      </c>
      <c r="R159" t="n">
        <v>0</v>
      </c>
      <c r="S159" t="n">
        <v>0</v>
      </c>
      <c r="T159" t="n">
        <v>0</v>
      </c>
      <c r="U159" s="2" t="inlineStr"/>
    </row>
    <row r="160" ht="15" customHeight="1">
      <c r="A160" t="inlineStr">
        <is>
          <t>A 28374-2024</t>
        </is>
      </c>
      <c r="B160" t="inlineStr">
        <is>
          <t>avverkningsanmälan</t>
        </is>
      </c>
      <c r="C160" t="inlineStr">
        <is>
          <t>Föryngringsavverkning</t>
        </is>
      </c>
      <c r="D160" s="1" t="n">
        <v>45477</v>
      </c>
      <c r="E160" s="1" t="n">
        <v>46216</v>
      </c>
      <c r="F160" t="inlineStr">
        <is>
          <t>VÄSTMANLANDS LÄN</t>
        </is>
      </c>
      <c r="G160" t="inlineStr">
        <is>
          <t>KÖPING</t>
        </is>
      </c>
      <c r="H160" t="inlineStr">
        <is>
          <t>Sveaskog</t>
        </is>
      </c>
      <c r="I160" t="n">
        <v>2.6</v>
      </c>
      <c r="J160" t="n">
        <v>0</v>
      </c>
      <c r="K160" t="n">
        <v>0</v>
      </c>
      <c r="L160" t="n">
        <v>0</v>
      </c>
      <c r="M160" t="n">
        <v>0</v>
      </c>
      <c r="N160" t="n">
        <v>0</v>
      </c>
      <c r="O160" t="n">
        <v>0</v>
      </c>
      <c r="P160" t="n">
        <v>0</v>
      </c>
      <c r="Q160" t="n">
        <v>0</v>
      </c>
      <c r="R160" t="n">
        <v>0</v>
      </c>
      <c r="S160" t="n">
        <v>0</v>
      </c>
      <c r="T160" t="n">
        <v>0</v>
      </c>
      <c r="U160" s="2" t="inlineStr"/>
    </row>
    <row r="161" ht="15" customHeight="1">
      <c r="A161" t="inlineStr">
        <is>
          <t>A 57048-2025</t>
        </is>
      </c>
      <c r="B161" t="inlineStr">
        <is>
          <t>avverkningsanmälan</t>
        </is>
      </c>
      <c r="C161" t="inlineStr">
        <is>
          <t>Föryngringsavverkning</t>
        </is>
      </c>
      <c r="D161" s="1" t="n">
        <v>45979</v>
      </c>
      <c r="E161" s="1" t="n">
        <v>46216</v>
      </c>
      <c r="F161" t="inlineStr">
        <is>
          <t>VÄSTMANLANDS LÄN</t>
        </is>
      </c>
      <c r="G161" t="inlineStr">
        <is>
          <t>KÖPING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57318-2025</t>
        </is>
      </c>
      <c r="B162" t="inlineStr">
        <is>
          <t>avverkningsanmälan</t>
        </is>
      </c>
      <c r="C162" t="inlineStr">
        <is>
          <t>Föryngringsavverkning</t>
        </is>
      </c>
      <c r="D162" s="1" t="n">
        <v>45980</v>
      </c>
      <c r="E162" s="1" t="n">
        <v>46216</v>
      </c>
      <c r="F162" t="inlineStr">
        <is>
          <t>VÄSTMANLANDS LÄN</t>
        </is>
      </c>
      <c r="G162" t="inlineStr">
        <is>
          <t>KÖPING</t>
        </is>
      </c>
      <c r="H162" t="inlineStr">
        <is>
          <t>Sveaskog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57572-2025</t>
        </is>
      </c>
      <c r="B163" t="inlineStr">
        <is>
          <t>avverkningsanmälan</t>
        </is>
      </c>
      <c r="C163" t="inlineStr">
        <is>
          <t>Föryngringsavverkning</t>
        </is>
      </c>
      <c r="D163" s="1" t="n">
        <v>45980</v>
      </c>
      <c r="E163" s="1" t="n">
        <v>46216</v>
      </c>
      <c r="F163" t="inlineStr">
        <is>
          <t>VÄSTMANLANDS LÄN</t>
        </is>
      </c>
      <c r="G163" t="inlineStr">
        <is>
          <t>KÖPING</t>
        </is>
      </c>
      <c r="H163" t="inlineStr">
        <is>
          <t>Sveaskog</t>
        </is>
      </c>
      <c r="I163" t="n">
        <v>2.6</v>
      </c>
      <c r="J163" t="n">
        <v>0</v>
      </c>
      <c r="K163" t="n">
        <v>0</v>
      </c>
      <c r="L163" t="n">
        <v>0</v>
      </c>
      <c r="M163" t="n">
        <v>0</v>
      </c>
      <c r="N163" t="n">
        <v>0</v>
      </c>
      <c r="O163" t="n">
        <v>0</v>
      </c>
      <c r="P163" t="n">
        <v>0</v>
      </c>
      <c r="Q163" t="n">
        <v>0</v>
      </c>
      <c r="R163" t="n">
        <v>0</v>
      </c>
      <c r="S163" t="n">
        <v>0</v>
      </c>
      <c r="T163" t="n">
        <v>0</v>
      </c>
      <c r="U163" s="2" t="inlineStr"/>
    </row>
    <row r="164" ht="15" customHeight="1">
      <c r="A164" t="inlineStr">
        <is>
          <t>A 43303-2022</t>
        </is>
      </c>
      <c r="B164" t="inlineStr">
        <is>
          <t>avverkningsanmälan</t>
        </is>
      </c>
      <c r="C164" t="inlineStr">
        <is>
          <t>Föryngringsavverkning</t>
        </is>
      </c>
      <c r="D164" s="1" t="n">
        <v>44834</v>
      </c>
      <c r="E164" s="1" t="n">
        <v>46216</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58079-2025</t>
        </is>
      </c>
      <c r="B165" t="inlineStr">
        <is>
          <t>avverkningsanmälan</t>
        </is>
      </c>
      <c r="C165" t="inlineStr">
        <is>
          <t>Föryngringsavverkning</t>
        </is>
      </c>
      <c r="D165" s="1" t="n">
        <v>45982</v>
      </c>
      <c r="E165" s="1" t="n">
        <v>46216</v>
      </c>
      <c r="F165" t="inlineStr">
        <is>
          <t>VÄSTMANLANDS LÄN</t>
        </is>
      </c>
      <c r="G165" t="inlineStr">
        <is>
          <t>KÖPING</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65582-2021</t>
        </is>
      </c>
      <c r="B166" t="inlineStr">
        <is>
          <t>avverkningsanmälan</t>
        </is>
      </c>
      <c r="C166" t="inlineStr">
        <is>
          <t>Föryngringsavverkning</t>
        </is>
      </c>
      <c r="D166" s="1" t="n">
        <v>44516</v>
      </c>
      <c r="E166" s="1" t="n">
        <v>46216</v>
      </c>
      <c r="F166" t="inlineStr">
        <is>
          <t>VÄSTMANLANDS LÄN</t>
        </is>
      </c>
      <c r="G166" t="inlineStr">
        <is>
          <t>KÖPING</t>
        </is>
      </c>
      <c r="I166" t="n">
        <v>7.7</v>
      </c>
      <c r="J166" t="n">
        <v>0</v>
      </c>
      <c r="K166" t="n">
        <v>0</v>
      </c>
      <c r="L166" t="n">
        <v>0</v>
      </c>
      <c r="M166" t="n">
        <v>0</v>
      </c>
      <c r="N166" t="n">
        <v>0</v>
      </c>
      <c r="O166" t="n">
        <v>0</v>
      </c>
      <c r="P166" t="n">
        <v>0</v>
      </c>
      <c r="Q166" t="n">
        <v>0</v>
      </c>
      <c r="R166" t="n">
        <v>0</v>
      </c>
      <c r="S166" t="n">
        <v>0</v>
      </c>
      <c r="T166" t="n">
        <v>0</v>
      </c>
      <c r="U166" s="2" t="inlineStr"/>
    </row>
    <row r="167" ht="15" customHeight="1">
      <c r="A167" t="inlineStr">
        <is>
          <t>A 44408-2022</t>
        </is>
      </c>
      <c r="B167" t="inlineStr">
        <is>
          <t>avverkningsanmälan</t>
        </is>
      </c>
      <c r="C167" t="inlineStr">
        <is>
          <t>Föryngringsavverkning</t>
        </is>
      </c>
      <c r="D167" s="1" t="n">
        <v>44839</v>
      </c>
      <c r="E167" s="1" t="n">
        <v>46216</v>
      </c>
      <c r="F167" t="inlineStr">
        <is>
          <t>VÄSTMANLANDS LÄN</t>
        </is>
      </c>
      <c r="G167" t="inlineStr">
        <is>
          <t>KÖPING</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30141-2022</t>
        </is>
      </c>
      <c r="B168" t="inlineStr">
        <is>
          <t>avverkningsanmälan</t>
        </is>
      </c>
      <c r="C168" t="inlineStr">
        <is>
          <t>Föryngringsavverkning</t>
        </is>
      </c>
      <c r="D168" s="1" t="n">
        <v>44757</v>
      </c>
      <c r="E168" s="1" t="n">
        <v>46216</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60963-2025</t>
        </is>
      </c>
      <c r="B169" t="inlineStr">
        <is>
          <t>avverkningsanmälan</t>
        </is>
      </c>
      <c r="C169" t="inlineStr">
        <is>
          <t>Föryngringsavverkning</t>
        </is>
      </c>
      <c r="D169" s="1" t="n">
        <v>45999</v>
      </c>
      <c r="E169" s="1" t="n">
        <v>46216</v>
      </c>
      <c r="F169" t="inlineStr">
        <is>
          <t>VÄSTMANLANDS LÄN</t>
        </is>
      </c>
      <c r="G169" t="inlineStr">
        <is>
          <t>KÖPING</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60830-2025</t>
        </is>
      </c>
      <c r="B170" t="inlineStr">
        <is>
          <t>avverkningsanmälan</t>
        </is>
      </c>
      <c r="C170" t="inlineStr">
        <is>
          <t>Föryngringsavverkning</t>
        </is>
      </c>
      <c r="D170" s="1" t="n">
        <v>45999</v>
      </c>
      <c r="E170" s="1" t="n">
        <v>46216</v>
      </c>
      <c r="F170" t="inlineStr">
        <is>
          <t>VÄSTMANLANDS LÄN</t>
        </is>
      </c>
      <c r="G170" t="inlineStr">
        <is>
          <t>KÖPING</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44814-2023</t>
        </is>
      </c>
      <c r="B171" t="inlineStr">
        <is>
          <t>avverkningsanmälan</t>
        </is>
      </c>
      <c r="C171" t="inlineStr">
        <is>
          <t>Avverkning för annat ändamål</t>
        </is>
      </c>
      <c r="D171" s="1" t="n">
        <v>45190</v>
      </c>
      <c r="E171" s="1" t="n">
        <v>46216</v>
      </c>
      <c r="F171" t="inlineStr">
        <is>
          <t>VÄSTMANLANDS LÄN</t>
        </is>
      </c>
      <c r="G171" t="inlineStr">
        <is>
          <t>KÖPING</t>
        </is>
      </c>
      <c r="I171" t="n">
        <v>24.2</v>
      </c>
      <c r="J171" t="n">
        <v>0</v>
      </c>
      <c r="K171" t="n">
        <v>0</v>
      </c>
      <c r="L171" t="n">
        <v>0</v>
      </c>
      <c r="M171" t="n">
        <v>0</v>
      </c>
      <c r="N171" t="n">
        <v>0</v>
      </c>
      <c r="O171" t="n">
        <v>0</v>
      </c>
      <c r="P171" t="n">
        <v>0</v>
      </c>
      <c r="Q171" t="n">
        <v>0</v>
      </c>
      <c r="R171" t="n">
        <v>0</v>
      </c>
      <c r="S171" t="n">
        <v>0</v>
      </c>
      <c r="T171" t="n">
        <v>0</v>
      </c>
      <c r="U171" s="2" t="inlineStr"/>
    </row>
    <row r="172" ht="15" customHeight="1">
      <c r="A172" t="inlineStr">
        <is>
          <t>A 33932-2024</t>
        </is>
      </c>
      <c r="B172" t="inlineStr">
        <is>
          <t>avverkningsanmälan</t>
        </is>
      </c>
      <c r="C172" t="inlineStr">
        <is>
          <t>Föryngringsavverkning</t>
        </is>
      </c>
      <c r="D172" s="1" t="n">
        <v>45523</v>
      </c>
      <c r="E172" s="1" t="n">
        <v>46216</v>
      </c>
      <c r="F172" t="inlineStr">
        <is>
          <t>VÄSTMANLANDS LÄN</t>
        </is>
      </c>
      <c r="G172" t="inlineStr">
        <is>
          <t>KÖPING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62596-2025</t>
        </is>
      </c>
      <c r="B173" t="inlineStr">
        <is>
          <t>avverkningsanmälan</t>
        </is>
      </c>
      <c r="C173" t="inlineStr">
        <is>
          <t>Föryngringsavverkning</t>
        </is>
      </c>
      <c r="D173" s="1" t="n">
        <v>46007</v>
      </c>
      <c r="E173" s="1" t="n">
        <v>46216</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63448-2025</t>
        </is>
      </c>
      <c r="B174" t="inlineStr">
        <is>
          <t>avverkningsanmälan</t>
        </is>
      </c>
      <c r="C174" t="inlineStr">
        <is>
          <t>Föryngringsavverkning</t>
        </is>
      </c>
      <c r="D174" s="1" t="n">
        <v>46013</v>
      </c>
      <c r="E174" s="1" t="n">
        <v>46216</v>
      </c>
      <c r="F174" t="inlineStr">
        <is>
          <t>VÄSTMANLANDS LÄN</t>
        </is>
      </c>
      <c r="G174" t="inlineStr">
        <is>
          <t>KÖPING</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6948-2023</t>
        </is>
      </c>
      <c r="B175" t="inlineStr">
        <is>
          <t>avverkningsanmälan</t>
        </is>
      </c>
      <c r="C175" t="inlineStr">
        <is>
          <t>Föryngringsavverkning</t>
        </is>
      </c>
      <c r="D175" s="1" t="n">
        <v>44967</v>
      </c>
      <c r="E175" s="1" t="n">
        <v>46216</v>
      </c>
      <c r="F175" t="inlineStr">
        <is>
          <t>VÄSTMANLANDS LÄN</t>
        </is>
      </c>
      <c r="G175" t="inlineStr">
        <is>
          <t>KÖPING</t>
        </is>
      </c>
      <c r="H175" t="inlineStr">
        <is>
          <t>Sveaskog</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13847-2025</t>
        </is>
      </c>
      <c r="B176" t="inlineStr">
        <is>
          <t>avverkningsanmälan</t>
        </is>
      </c>
      <c r="C176" t="inlineStr">
        <is>
          <t>Avverkning för annat ändamål</t>
        </is>
      </c>
      <c r="D176" s="1" t="n">
        <v>45737</v>
      </c>
      <c r="E176" s="1" t="n">
        <v>46216</v>
      </c>
      <c r="F176" t="inlineStr">
        <is>
          <t>VÄSTMANLANDS LÄN</t>
        </is>
      </c>
      <c r="G176" t="inlineStr">
        <is>
          <t>KÖPING</t>
        </is>
      </c>
      <c r="H176" t="inlineStr">
        <is>
          <t>Sveaskog</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62449-2025</t>
        </is>
      </c>
      <c r="B177" t="inlineStr">
        <is>
          <t>avverkningsanmälan</t>
        </is>
      </c>
      <c r="C177" t="inlineStr">
        <is>
          <t>Avverkning för att bevara och utveckla /försöksver</t>
        </is>
      </c>
      <c r="D177" s="1" t="n">
        <v>46007</v>
      </c>
      <c r="E177" s="1" t="n">
        <v>46216</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51190-2024</t>
        </is>
      </c>
      <c r="B178" t="inlineStr">
        <is>
          <t>avverkningsanmälan</t>
        </is>
      </c>
      <c r="C178" t="inlineStr">
        <is>
          <t>Föryngringsavverkning</t>
        </is>
      </c>
      <c r="D178" s="1" t="n">
        <v>45603</v>
      </c>
      <c r="E178" s="1" t="n">
        <v>46216</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2071-2025</t>
        </is>
      </c>
      <c r="B179" t="inlineStr">
        <is>
          <t>avverkningsanmälan</t>
        </is>
      </c>
      <c r="C179" t="inlineStr">
        <is>
          <t>Föryngringsavverkning</t>
        </is>
      </c>
      <c r="D179" s="1" t="n">
        <v>45672</v>
      </c>
      <c r="E179" s="1" t="n">
        <v>46216</v>
      </c>
      <c r="F179" t="inlineStr">
        <is>
          <t>VÄSTMANLANDS LÄN</t>
        </is>
      </c>
      <c r="G179" t="inlineStr">
        <is>
          <t>KÖPING</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44621-2023</t>
        </is>
      </c>
      <c r="B180" t="inlineStr">
        <is>
          <t>avverkningsanmälan</t>
        </is>
      </c>
      <c r="C180" t="inlineStr">
        <is>
          <t>Föryngringsavverkning</t>
        </is>
      </c>
      <c r="D180" s="1" t="n">
        <v>45189</v>
      </c>
      <c r="E180" s="1" t="n">
        <v>46216</v>
      </c>
      <c r="F180" t="inlineStr">
        <is>
          <t>VÄSTMANLANDS LÄN</t>
        </is>
      </c>
      <c r="G180" t="inlineStr">
        <is>
          <t>KÖPING</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13375-2026</t>
        </is>
      </c>
      <c r="B181" t="inlineStr">
        <is>
          <t>avverkningsanmälan</t>
        </is>
      </c>
      <c r="C181" t="inlineStr">
        <is>
          <t>Föryngringsavverkning</t>
        </is>
      </c>
      <c r="D181" s="1" t="n">
        <v>46094</v>
      </c>
      <c r="E181" s="1" t="n">
        <v>46216</v>
      </c>
      <c r="F181" t="inlineStr">
        <is>
          <t>VÄSTMANLANDS LÄN</t>
        </is>
      </c>
      <c r="G181" t="inlineStr">
        <is>
          <t>KÖPING</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30147-2022</t>
        </is>
      </c>
      <c r="B182" t="inlineStr">
        <is>
          <t>avverkningsanmälan</t>
        </is>
      </c>
      <c r="C182" t="inlineStr">
        <is>
          <t>Föryngringsavverkning</t>
        </is>
      </c>
      <c r="D182" s="1" t="n">
        <v>44757</v>
      </c>
      <c r="E182" s="1" t="n">
        <v>46216</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11034-2022</t>
        </is>
      </c>
      <c r="B183" t="inlineStr">
        <is>
          <t>avverkningsanmälan</t>
        </is>
      </c>
      <c r="C183" t="inlineStr">
        <is>
          <t>Föryngringsavverkning</t>
        </is>
      </c>
      <c r="D183" s="1" t="n">
        <v>44628</v>
      </c>
      <c r="E183" s="1" t="n">
        <v>46216</v>
      </c>
      <c r="F183" t="inlineStr">
        <is>
          <t>VÄSTMANLANDS LÄN</t>
        </is>
      </c>
      <c r="G183" t="inlineStr">
        <is>
          <t>KÖPING</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43567-2022</t>
        </is>
      </c>
      <c r="B184" t="inlineStr">
        <is>
          <t>avverkningsanmälan</t>
        </is>
      </c>
      <c r="C184" t="inlineStr">
        <is>
          <t>Föryngringsavverkning</t>
        </is>
      </c>
      <c r="D184" s="1" t="n">
        <v>44837</v>
      </c>
      <c r="E184" s="1" t="n">
        <v>46216</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s="2" t="inlineStr"/>
    </row>
    <row r="185" ht="15" customHeight="1">
      <c r="A185" t="inlineStr">
        <is>
          <t>A 22793-2024</t>
        </is>
      </c>
      <c r="B185" t="inlineStr">
        <is>
          <t>avverkningsanmälan</t>
        </is>
      </c>
      <c r="C185" t="inlineStr">
        <is>
          <t>Föryngringsavverkning</t>
        </is>
      </c>
      <c r="D185" s="1" t="n">
        <v>45448</v>
      </c>
      <c r="E185" s="1" t="n">
        <v>46216</v>
      </c>
      <c r="F185" t="inlineStr">
        <is>
          <t>VÄSTMANLANDS LÄN</t>
        </is>
      </c>
      <c r="G185" t="inlineStr">
        <is>
          <t>KÖPING</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46124-2022</t>
        </is>
      </c>
      <c r="B186" t="inlineStr">
        <is>
          <t>avverkningsanmälan</t>
        </is>
      </c>
      <c r="C186" t="inlineStr">
        <is>
          <t>Föryngringsavverkning</t>
        </is>
      </c>
      <c r="D186" s="1" t="n">
        <v>44847</v>
      </c>
      <c r="E186" s="1" t="n">
        <v>46216</v>
      </c>
      <c r="F186" t="inlineStr">
        <is>
          <t>VÄSTMANLANDS LÄN</t>
        </is>
      </c>
      <c r="G186" t="inlineStr">
        <is>
          <t>KÖPING</t>
        </is>
      </c>
      <c r="I186" t="n">
        <v>8</v>
      </c>
      <c r="J186" t="n">
        <v>0</v>
      </c>
      <c r="K186" t="n">
        <v>0</v>
      </c>
      <c r="L186" t="n">
        <v>0</v>
      </c>
      <c r="M186" t="n">
        <v>0</v>
      </c>
      <c r="N186" t="n">
        <v>0</v>
      </c>
      <c r="O186" t="n">
        <v>0</v>
      </c>
      <c r="P186" t="n">
        <v>0</v>
      </c>
      <c r="Q186" t="n">
        <v>0</v>
      </c>
      <c r="R186" t="n">
        <v>0</v>
      </c>
      <c r="S186" t="n">
        <v>0</v>
      </c>
      <c r="T186" t="n">
        <v>0</v>
      </c>
      <c r="U186" s="2" t="inlineStr"/>
    </row>
    <row r="187" ht="15" customHeight="1">
      <c r="A187" t="inlineStr">
        <is>
          <t>A 15055-2026</t>
        </is>
      </c>
      <c r="B187" t="inlineStr">
        <is>
          <t>avverkningsanmälan</t>
        </is>
      </c>
      <c r="C187" t="inlineStr">
        <is>
          <t>Föryngringsavverkning</t>
        </is>
      </c>
      <c r="D187" s="1" t="n">
        <v>46104</v>
      </c>
      <c r="E187" s="1" t="n">
        <v>46216</v>
      </c>
      <c r="F187" t="inlineStr">
        <is>
          <t>VÄSTMANLANDS LÄN</t>
        </is>
      </c>
      <c r="G187" t="inlineStr">
        <is>
          <t>KÖPING</t>
        </is>
      </c>
      <c r="H187" t="inlineStr">
        <is>
          <t>Sveaskog</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15053-2026</t>
        </is>
      </c>
      <c r="B188" t="inlineStr">
        <is>
          <t>avverkningsanmälan</t>
        </is>
      </c>
      <c r="C188" t="inlineStr">
        <is>
          <t>Föryngringsavverkning</t>
        </is>
      </c>
      <c r="D188" s="1" t="n">
        <v>46104</v>
      </c>
      <c r="E188" s="1" t="n">
        <v>46216</v>
      </c>
      <c r="F188" t="inlineStr">
        <is>
          <t>VÄSTMANLANDS LÄN</t>
        </is>
      </c>
      <c r="G188" t="inlineStr">
        <is>
          <t>KÖPING</t>
        </is>
      </c>
      <c r="H188" t="inlineStr">
        <is>
          <t>Sveaskog</t>
        </is>
      </c>
      <c r="I188" t="n">
        <v>17.5</v>
      </c>
      <c r="J188" t="n">
        <v>0</v>
      </c>
      <c r="K188" t="n">
        <v>0</v>
      </c>
      <c r="L188" t="n">
        <v>0</v>
      </c>
      <c r="M188" t="n">
        <v>0</v>
      </c>
      <c r="N188" t="n">
        <v>0</v>
      </c>
      <c r="O188" t="n">
        <v>0</v>
      </c>
      <c r="P188" t="n">
        <v>0</v>
      </c>
      <c r="Q188" t="n">
        <v>0</v>
      </c>
      <c r="R188" t="n">
        <v>0</v>
      </c>
      <c r="S188" t="n">
        <v>0</v>
      </c>
      <c r="T188" t="n">
        <v>0</v>
      </c>
      <c r="U188" s="2" t="inlineStr"/>
    </row>
    <row r="189" ht="15" customHeight="1">
      <c r="A189" t="inlineStr">
        <is>
          <t>A 41815-2023</t>
        </is>
      </c>
      <c r="B189" t="inlineStr">
        <is>
          <t>avverkningsanmälan</t>
        </is>
      </c>
      <c r="C189" t="inlineStr">
        <is>
          <t>Föryngringsavverkning</t>
        </is>
      </c>
      <c r="D189" s="1" t="n">
        <v>45176</v>
      </c>
      <c r="E189" s="1" t="n">
        <v>46216</v>
      </c>
      <c r="F189" t="inlineStr">
        <is>
          <t>VÄSTMANLANDS LÄN</t>
        </is>
      </c>
      <c r="G189" t="inlineStr">
        <is>
          <t>KÖPING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68976-2021</t>
        </is>
      </c>
      <c r="B190" t="inlineStr">
        <is>
          <t>avverkningsanmälan</t>
        </is>
      </c>
      <c r="C190" t="inlineStr">
        <is>
          <t>Föryngringsavverkning</t>
        </is>
      </c>
      <c r="D190" s="1" t="n">
        <v>44530</v>
      </c>
      <c r="E190" s="1" t="n">
        <v>46216</v>
      </c>
      <c r="F190" t="inlineStr">
        <is>
          <t>VÄSTMANLANDS LÄN</t>
        </is>
      </c>
      <c r="G190" t="inlineStr">
        <is>
          <t>KÖPING</t>
        </is>
      </c>
      <c r="I190" t="n">
        <v>13.1</v>
      </c>
      <c r="J190" t="n">
        <v>0</v>
      </c>
      <c r="K190" t="n">
        <v>0</v>
      </c>
      <c r="L190" t="n">
        <v>0</v>
      </c>
      <c r="M190" t="n">
        <v>0</v>
      </c>
      <c r="N190" t="n">
        <v>0</v>
      </c>
      <c r="O190" t="n">
        <v>0</v>
      </c>
      <c r="P190" t="n">
        <v>0</v>
      </c>
      <c r="Q190" t="n">
        <v>0</v>
      </c>
      <c r="R190" t="n">
        <v>0</v>
      </c>
      <c r="S190" t="n">
        <v>0</v>
      </c>
      <c r="T190" t="n">
        <v>0</v>
      </c>
      <c r="U190" s="2" t="inlineStr"/>
    </row>
    <row r="191" ht="15" customHeight="1">
      <c r="A191" t="inlineStr">
        <is>
          <t>A 1290-2023</t>
        </is>
      </c>
      <c r="B191" t="inlineStr">
        <is>
          <t>avverkningsanmälan</t>
        </is>
      </c>
      <c r="C191" t="inlineStr">
        <is>
          <t>Föryngringsavverkning</t>
        </is>
      </c>
      <c r="D191" s="1" t="n">
        <v>44936</v>
      </c>
      <c r="E191" s="1" t="n">
        <v>46216</v>
      </c>
      <c r="F191" t="inlineStr">
        <is>
          <t>VÄSTMANLANDS LÄN</t>
        </is>
      </c>
      <c r="G191" t="inlineStr">
        <is>
          <t>KÖPING</t>
        </is>
      </c>
      <c r="I191" t="n">
        <v>6</v>
      </c>
      <c r="J191" t="n">
        <v>0</v>
      </c>
      <c r="K191" t="n">
        <v>0</v>
      </c>
      <c r="L191" t="n">
        <v>0</v>
      </c>
      <c r="M191" t="n">
        <v>0</v>
      </c>
      <c r="N191" t="n">
        <v>0</v>
      </c>
      <c r="O191" t="n">
        <v>0</v>
      </c>
      <c r="P191" t="n">
        <v>0</v>
      </c>
      <c r="Q191" t="n">
        <v>0</v>
      </c>
      <c r="R191" t="n">
        <v>0</v>
      </c>
      <c r="S191" t="n">
        <v>0</v>
      </c>
      <c r="T191" t="n">
        <v>0</v>
      </c>
      <c r="U191" s="2" t="inlineStr"/>
    </row>
    <row r="192" ht="15" customHeight="1">
      <c r="A192" t="inlineStr">
        <is>
          <t>A 61322-2023</t>
        </is>
      </c>
      <c r="B192" t="inlineStr">
        <is>
          <t>avverkningsanmälan</t>
        </is>
      </c>
      <c r="C192" t="inlineStr">
        <is>
          <t>Föryngringsavverkning</t>
        </is>
      </c>
      <c r="D192" s="1" t="n">
        <v>45264</v>
      </c>
      <c r="E192" s="1" t="n">
        <v>46216</v>
      </c>
      <c r="F192" t="inlineStr">
        <is>
          <t>VÄSTMANLANDS LÄN</t>
        </is>
      </c>
      <c r="G192" t="inlineStr">
        <is>
          <t>KÖPING</t>
        </is>
      </c>
      <c r="I192" t="n">
        <v>17.5</v>
      </c>
      <c r="J192" t="n">
        <v>0</v>
      </c>
      <c r="K192" t="n">
        <v>0</v>
      </c>
      <c r="L192" t="n">
        <v>0</v>
      </c>
      <c r="M192" t="n">
        <v>0</v>
      </c>
      <c r="N192" t="n">
        <v>0</v>
      </c>
      <c r="O192" t="n">
        <v>0</v>
      </c>
      <c r="P192" t="n">
        <v>0</v>
      </c>
      <c r="Q192" t="n">
        <v>0</v>
      </c>
      <c r="R192" t="n">
        <v>0</v>
      </c>
      <c r="S192" t="n">
        <v>0</v>
      </c>
      <c r="T192" t="n">
        <v>0</v>
      </c>
      <c r="U192" s="2" t="inlineStr"/>
    </row>
    <row r="193" ht="15" customHeight="1">
      <c r="A193" t="inlineStr">
        <is>
          <t>A 29934-2022</t>
        </is>
      </c>
      <c r="B193" t="inlineStr">
        <is>
          <t>avverkningsanmälan</t>
        </is>
      </c>
      <c r="C193" t="inlineStr">
        <is>
          <t>Föryngringsavverkning</t>
        </is>
      </c>
      <c r="D193" s="1" t="n">
        <v>44757</v>
      </c>
      <c r="E193" s="1" t="n">
        <v>46216</v>
      </c>
      <c r="F193" t="inlineStr">
        <is>
          <t>VÄSTMANLANDS LÄN</t>
        </is>
      </c>
      <c r="G193" t="inlineStr">
        <is>
          <t>KÖPING</t>
        </is>
      </c>
      <c r="I193" t="n">
        <v>5.1</v>
      </c>
      <c r="J193" t="n">
        <v>0</v>
      </c>
      <c r="K193" t="n">
        <v>0</v>
      </c>
      <c r="L193" t="n">
        <v>0</v>
      </c>
      <c r="M193" t="n">
        <v>0</v>
      </c>
      <c r="N193" t="n">
        <v>0</v>
      </c>
      <c r="O193" t="n">
        <v>0</v>
      </c>
      <c r="P193" t="n">
        <v>0</v>
      </c>
      <c r="Q193" t="n">
        <v>0</v>
      </c>
      <c r="R193" t="n">
        <v>0</v>
      </c>
      <c r="S193" t="n">
        <v>0</v>
      </c>
      <c r="T193" t="n">
        <v>0</v>
      </c>
      <c r="U193" s="2" t="inlineStr"/>
    </row>
    <row r="194" ht="15" customHeight="1">
      <c r="A194" t="inlineStr">
        <is>
          <t>A 23656-2023</t>
        </is>
      </c>
      <c r="B194" t="inlineStr">
        <is>
          <t>avverkningsanmälan</t>
        </is>
      </c>
      <c r="C194" t="inlineStr">
        <is>
          <t>Föryngringsavverkning</t>
        </is>
      </c>
      <c r="D194" s="1" t="n">
        <v>45077</v>
      </c>
      <c r="E194" s="1" t="n">
        <v>46216</v>
      </c>
      <c r="F194" t="inlineStr">
        <is>
          <t>VÄSTMANLANDS LÄN</t>
        </is>
      </c>
      <c r="G194" t="inlineStr">
        <is>
          <t>KÖPING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23658-2023</t>
        </is>
      </c>
      <c r="B195" t="inlineStr">
        <is>
          <t>avverkningsanmälan</t>
        </is>
      </c>
      <c r="C195" t="inlineStr">
        <is>
          <t>Föryngringsavverkning</t>
        </is>
      </c>
      <c r="D195" s="1" t="n">
        <v>45077</v>
      </c>
      <c r="E195" s="1" t="n">
        <v>46216</v>
      </c>
      <c r="F195" t="inlineStr">
        <is>
          <t>VÄSTMANLANDS LÄN</t>
        </is>
      </c>
      <c r="G195" t="inlineStr">
        <is>
          <t>KÖPING</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22881-2024</t>
        </is>
      </c>
      <c r="B196" t="inlineStr">
        <is>
          <t>avverkningsanmälan</t>
        </is>
      </c>
      <c r="C196" t="inlineStr">
        <is>
          <t>Föryngringsavverkning</t>
        </is>
      </c>
      <c r="D196" s="1" t="n">
        <v>45448</v>
      </c>
      <c r="E196" s="1" t="n">
        <v>46216</v>
      </c>
      <c r="F196" t="inlineStr">
        <is>
          <t>VÄSTMANLANDS LÄN</t>
        </is>
      </c>
      <c r="G196" t="inlineStr">
        <is>
          <t>KÖPING</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15735-2024</t>
        </is>
      </c>
      <c r="B197" t="inlineStr">
        <is>
          <t>avverkningsanmälan</t>
        </is>
      </c>
      <c r="C197" t="inlineStr">
        <is>
          <t>Föryngringsavverkning</t>
        </is>
      </c>
      <c r="D197" s="1" t="n">
        <v>45404</v>
      </c>
      <c r="E197" s="1" t="n">
        <v>46216</v>
      </c>
      <c r="F197" t="inlineStr">
        <is>
          <t>VÄSTMANLANDS LÄN</t>
        </is>
      </c>
      <c r="G197" t="inlineStr">
        <is>
          <t>KÖPING</t>
        </is>
      </c>
      <c r="H197" t="inlineStr">
        <is>
          <t>Sveaskog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20395-2025</t>
        </is>
      </c>
      <c r="B198" t="inlineStr">
        <is>
          <t>avverkningsanmälan</t>
        </is>
      </c>
      <c r="C198" t="inlineStr">
        <is>
          <t>Föryngringsavverkning</t>
        </is>
      </c>
      <c r="D198" s="1" t="n">
        <v>45775</v>
      </c>
      <c r="E198" s="1" t="n">
        <v>46216</v>
      </c>
      <c r="F198" t="inlineStr">
        <is>
          <t>VÄSTMANLANDS LÄN</t>
        </is>
      </c>
      <c r="G198" t="inlineStr">
        <is>
          <t>KÖPING</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39358-2024</t>
        </is>
      </c>
      <c r="B199" t="inlineStr">
        <is>
          <t>avverkningsanmälan</t>
        </is>
      </c>
      <c r="C199" t="inlineStr">
        <is>
          <t>Föryngringsavverkning</t>
        </is>
      </c>
      <c r="D199" s="1" t="n">
        <v>45551</v>
      </c>
      <c r="E199" s="1" t="n">
        <v>46216</v>
      </c>
      <c r="F199" t="inlineStr">
        <is>
          <t>VÄSTMANLANDS LÄN</t>
        </is>
      </c>
      <c r="G199" t="inlineStr">
        <is>
          <t>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63241-2023</t>
        </is>
      </c>
      <c r="B200" t="inlineStr">
        <is>
          <t>avverkningsanmälan</t>
        </is>
      </c>
      <c r="C200" t="inlineStr">
        <is>
          <t>Föryngringsavverkning</t>
        </is>
      </c>
      <c r="D200" s="1" t="n">
        <v>45273</v>
      </c>
      <c r="E200" s="1" t="n">
        <v>46216</v>
      </c>
      <c r="F200" t="inlineStr">
        <is>
          <t>VÄSTMANLANDS LÄN</t>
        </is>
      </c>
      <c r="G200" t="inlineStr">
        <is>
          <t>KÖPING</t>
        </is>
      </c>
      <c r="I200" t="n">
        <v>4.5</v>
      </c>
      <c r="J200" t="n">
        <v>0</v>
      </c>
      <c r="K200" t="n">
        <v>0</v>
      </c>
      <c r="L200" t="n">
        <v>0</v>
      </c>
      <c r="M200" t="n">
        <v>0</v>
      </c>
      <c r="N200" t="n">
        <v>0</v>
      </c>
      <c r="O200" t="n">
        <v>0</v>
      </c>
      <c r="P200" t="n">
        <v>0</v>
      </c>
      <c r="Q200" t="n">
        <v>0</v>
      </c>
      <c r="R200" t="n">
        <v>0</v>
      </c>
      <c r="S200" t="n">
        <v>0</v>
      </c>
      <c r="T200" t="n">
        <v>0</v>
      </c>
      <c r="U200" s="2" t="inlineStr"/>
    </row>
    <row r="201" ht="15" customHeight="1">
      <c r="A201" t="inlineStr">
        <is>
          <t>A 11220-2023</t>
        </is>
      </c>
      <c r="B201" t="inlineStr">
        <is>
          <t>avverkningsanmälan</t>
        </is>
      </c>
      <c r="C201" t="inlineStr">
        <is>
          <t>Föryngringsavverkning</t>
        </is>
      </c>
      <c r="D201" s="1" t="n">
        <v>44988</v>
      </c>
      <c r="E201" s="1" t="n">
        <v>46216</v>
      </c>
      <c r="F201" t="inlineStr">
        <is>
          <t>VÄSTMANLANDS LÄN</t>
        </is>
      </c>
      <c r="G201" t="inlineStr">
        <is>
          <t>KÖPING</t>
        </is>
      </c>
      <c r="I201" t="n">
        <v>7</v>
      </c>
      <c r="J201" t="n">
        <v>0</v>
      </c>
      <c r="K201" t="n">
        <v>0</v>
      </c>
      <c r="L201" t="n">
        <v>0</v>
      </c>
      <c r="M201" t="n">
        <v>0</v>
      </c>
      <c r="N201" t="n">
        <v>0</v>
      </c>
      <c r="O201" t="n">
        <v>0</v>
      </c>
      <c r="P201" t="n">
        <v>0</v>
      </c>
      <c r="Q201" t="n">
        <v>0</v>
      </c>
      <c r="R201" t="n">
        <v>0</v>
      </c>
      <c r="S201" t="n">
        <v>0</v>
      </c>
      <c r="T201" t="n">
        <v>0</v>
      </c>
      <c r="U201" s="2" t="inlineStr"/>
    </row>
    <row r="202" ht="15" customHeight="1">
      <c r="A202" t="inlineStr">
        <is>
          <t>A 16430-2022</t>
        </is>
      </c>
      <c r="B202" t="inlineStr">
        <is>
          <t>avverkningsanmälan</t>
        </is>
      </c>
      <c r="C202" t="inlineStr">
        <is>
          <t>Föryngringsavverkning</t>
        </is>
      </c>
      <c r="D202" s="1" t="n">
        <v>44671</v>
      </c>
      <c r="E202" s="1" t="n">
        <v>46216</v>
      </c>
      <c r="F202" t="inlineStr">
        <is>
          <t>VÄSTMANLANDS LÄN</t>
        </is>
      </c>
      <c r="G202" t="inlineStr">
        <is>
          <t>KÖPING</t>
        </is>
      </c>
      <c r="I202" t="n">
        <v>3.3</v>
      </c>
      <c r="J202" t="n">
        <v>0</v>
      </c>
      <c r="K202" t="n">
        <v>0</v>
      </c>
      <c r="L202" t="n">
        <v>0</v>
      </c>
      <c r="M202" t="n">
        <v>0</v>
      </c>
      <c r="N202" t="n">
        <v>0</v>
      </c>
      <c r="O202" t="n">
        <v>0</v>
      </c>
      <c r="P202" t="n">
        <v>0</v>
      </c>
      <c r="Q202" t="n">
        <v>0</v>
      </c>
      <c r="R202" t="n">
        <v>0</v>
      </c>
      <c r="S202" t="n">
        <v>0</v>
      </c>
      <c r="T202" t="n">
        <v>0</v>
      </c>
      <c r="U202" s="2" t="inlineStr"/>
    </row>
    <row r="203" ht="15" customHeight="1">
      <c r="A203" t="inlineStr">
        <is>
          <t>A 57514-2022</t>
        </is>
      </c>
      <c r="B203" t="inlineStr">
        <is>
          <t>avverkningsanmälan</t>
        </is>
      </c>
      <c r="C203" t="inlineStr">
        <is>
          <t>Föryngringsavverkning</t>
        </is>
      </c>
      <c r="D203" s="1" t="n">
        <v>44896</v>
      </c>
      <c r="E203" s="1" t="n">
        <v>46216</v>
      </c>
      <c r="F203" t="inlineStr">
        <is>
          <t>VÄSTMANLANDS LÄN</t>
        </is>
      </c>
      <c r="G203" t="inlineStr">
        <is>
          <t>KÖPING</t>
        </is>
      </c>
      <c r="I203" t="n">
        <v>4.3</v>
      </c>
      <c r="J203" t="n">
        <v>0</v>
      </c>
      <c r="K203" t="n">
        <v>0</v>
      </c>
      <c r="L203" t="n">
        <v>0</v>
      </c>
      <c r="M203" t="n">
        <v>0</v>
      </c>
      <c r="N203" t="n">
        <v>0</v>
      </c>
      <c r="O203" t="n">
        <v>0</v>
      </c>
      <c r="P203" t="n">
        <v>0</v>
      </c>
      <c r="Q203" t="n">
        <v>0</v>
      </c>
      <c r="R203" t="n">
        <v>0</v>
      </c>
      <c r="S203" t="n">
        <v>0</v>
      </c>
      <c r="T203" t="n">
        <v>0</v>
      </c>
      <c r="U203" s="2" t="inlineStr"/>
    </row>
    <row r="204" ht="15" customHeight="1">
      <c r="A204" t="inlineStr">
        <is>
          <t>A 52799-2021</t>
        </is>
      </c>
      <c r="B204" t="inlineStr">
        <is>
          <t>avverkningsanmälan</t>
        </is>
      </c>
      <c r="C204" t="inlineStr">
        <is>
          <t>Föryngringsavverkning</t>
        </is>
      </c>
      <c r="D204" s="1" t="n">
        <v>44467</v>
      </c>
      <c r="E204" s="1" t="n">
        <v>46216</v>
      </c>
      <c r="F204" t="inlineStr">
        <is>
          <t>VÄSTMANLANDS LÄN</t>
        </is>
      </c>
      <c r="G204" t="inlineStr">
        <is>
          <t>KÖPING</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57760-2022</t>
        </is>
      </c>
      <c r="B205" t="inlineStr">
        <is>
          <t>avverkningsanmälan</t>
        </is>
      </c>
      <c r="C205" t="inlineStr">
        <is>
          <t>Föryngringsavverkning</t>
        </is>
      </c>
      <c r="D205" s="1" t="n">
        <v>44897</v>
      </c>
      <c r="E205" s="1" t="n">
        <v>46216</v>
      </c>
      <c r="F205" t="inlineStr">
        <is>
          <t>VÄSTMANLANDS LÄN</t>
        </is>
      </c>
      <c r="G205" t="inlineStr">
        <is>
          <t>KÖPING</t>
        </is>
      </c>
      <c r="I205" t="n">
        <v>6</v>
      </c>
      <c r="J205" t="n">
        <v>0</v>
      </c>
      <c r="K205" t="n">
        <v>0</v>
      </c>
      <c r="L205" t="n">
        <v>0</v>
      </c>
      <c r="M205" t="n">
        <v>0</v>
      </c>
      <c r="N205" t="n">
        <v>0</v>
      </c>
      <c r="O205" t="n">
        <v>0</v>
      </c>
      <c r="P205" t="n">
        <v>0</v>
      </c>
      <c r="Q205" t="n">
        <v>0</v>
      </c>
      <c r="R205" t="n">
        <v>0</v>
      </c>
      <c r="S205" t="n">
        <v>0</v>
      </c>
      <c r="T205" t="n">
        <v>0</v>
      </c>
      <c r="U205" s="2" t="inlineStr"/>
    </row>
    <row r="206" ht="15" customHeight="1">
      <c r="A206" t="inlineStr">
        <is>
          <t>A 17204-2023</t>
        </is>
      </c>
      <c r="B206" t="inlineStr">
        <is>
          <t>avverkningsanmälan</t>
        </is>
      </c>
      <c r="C206" t="inlineStr">
        <is>
          <t>Föryngringsavverkning</t>
        </is>
      </c>
      <c r="D206" s="1" t="n">
        <v>45034</v>
      </c>
      <c r="E206" s="1" t="n">
        <v>46216</v>
      </c>
      <c r="F206" t="inlineStr">
        <is>
          <t>VÄSTMANLANDS LÄN</t>
        </is>
      </c>
      <c r="G206" t="inlineStr">
        <is>
          <t>KÖPING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18785-2025</t>
        </is>
      </c>
      <c r="B207" t="inlineStr">
        <is>
          <t>avverkningsanmälan</t>
        </is>
      </c>
      <c r="C207" t="inlineStr">
        <is>
          <t>Avverkning för annat ändamål</t>
        </is>
      </c>
      <c r="D207" s="1" t="n">
        <v>45764</v>
      </c>
      <c r="E207" s="1" t="n">
        <v>46216</v>
      </c>
      <c r="F207" t="inlineStr">
        <is>
          <t>VÄSTMANLANDS LÄN</t>
        </is>
      </c>
      <c r="G207" t="inlineStr">
        <is>
          <t>KÖPING</t>
        </is>
      </c>
      <c r="H207" t="inlineStr">
        <is>
          <t>Sveaskog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18787-2025</t>
        </is>
      </c>
      <c r="B208" t="inlineStr">
        <is>
          <t>avverkningsanmälan</t>
        </is>
      </c>
      <c r="C208" t="inlineStr">
        <is>
          <t>Föryngringsavverkning</t>
        </is>
      </c>
      <c r="D208" s="1" t="n">
        <v>45764</v>
      </c>
      <c r="E208" s="1" t="n">
        <v>46216</v>
      </c>
      <c r="F208" t="inlineStr">
        <is>
          <t>VÄSTMANLANDS LÄN</t>
        </is>
      </c>
      <c r="G208" t="inlineStr">
        <is>
          <t>KÖPING</t>
        </is>
      </c>
      <c r="H208" t="inlineStr">
        <is>
          <t>Sveaskog</t>
        </is>
      </c>
      <c r="I208" t="n">
        <v>9.699999999999999</v>
      </c>
      <c r="J208" t="n">
        <v>0</v>
      </c>
      <c r="K208" t="n">
        <v>0</v>
      </c>
      <c r="L208" t="n">
        <v>0</v>
      </c>
      <c r="M208" t="n">
        <v>0</v>
      </c>
      <c r="N208" t="n">
        <v>0</v>
      </c>
      <c r="O208" t="n">
        <v>0</v>
      </c>
      <c r="P208" t="n">
        <v>0</v>
      </c>
      <c r="Q208" t="n">
        <v>0</v>
      </c>
      <c r="R208" t="n">
        <v>0</v>
      </c>
      <c r="S208" t="n">
        <v>0</v>
      </c>
      <c r="T208" t="n">
        <v>0</v>
      </c>
      <c r="U208" s="2" t="inlineStr"/>
    </row>
    <row r="209" ht="15" customHeight="1">
      <c r="A209" t="inlineStr">
        <is>
          <t>A 37660-2022</t>
        </is>
      </c>
      <c r="B209" t="inlineStr">
        <is>
          <t>avverkningsanmälan</t>
        </is>
      </c>
      <c r="C209" t="inlineStr">
        <is>
          <t>Föryngringsavverkning</t>
        </is>
      </c>
      <c r="D209" s="1" t="n">
        <v>44810</v>
      </c>
      <c r="E209" s="1" t="n">
        <v>46216</v>
      </c>
      <c r="F209" t="inlineStr">
        <is>
          <t>VÄSTMANLANDS LÄN</t>
        </is>
      </c>
      <c r="G209" t="inlineStr">
        <is>
          <t>KÖPING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37776-2022</t>
        </is>
      </c>
      <c r="B210" t="inlineStr">
        <is>
          <t>avverkningsanmälan</t>
        </is>
      </c>
      <c r="C210" t="inlineStr">
        <is>
          <t>Föryngringsavverkning</t>
        </is>
      </c>
      <c r="D210" s="1" t="n">
        <v>44810</v>
      </c>
      <c r="E210" s="1" t="n">
        <v>46216</v>
      </c>
      <c r="F210" t="inlineStr">
        <is>
          <t>VÄSTMANLANDS LÄN</t>
        </is>
      </c>
      <c r="G210" t="inlineStr">
        <is>
          <t>KÖPING</t>
        </is>
      </c>
      <c r="H210" t="inlineStr">
        <is>
          <t>Sveaskog</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25818-2026</t>
        </is>
      </c>
      <c r="B211" t="inlineStr">
        <is>
          <t>avverkningsanmälan</t>
        </is>
      </c>
      <c r="C211" t="inlineStr">
        <is>
          <t>Föryngringsavverkning</t>
        </is>
      </c>
      <c r="D211" s="1" t="n">
        <v>46178</v>
      </c>
      <c r="E211" s="1" t="n">
        <v>46216</v>
      </c>
      <c r="F211" t="inlineStr">
        <is>
          <t>VÄSTMANLANDS LÄN</t>
        </is>
      </c>
      <c r="G211" t="inlineStr">
        <is>
          <t>KÖPING</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25815-2026</t>
        </is>
      </c>
      <c r="B212" t="inlineStr">
        <is>
          <t>avverkningsanmälan</t>
        </is>
      </c>
      <c r="C212" t="inlineStr">
        <is>
          <t>Föryngringsavverkning</t>
        </is>
      </c>
      <c r="D212" s="1" t="n">
        <v>46178</v>
      </c>
      <c r="E212" s="1" t="n">
        <v>46216</v>
      </c>
      <c r="F212" t="inlineStr">
        <is>
          <t>VÄSTMANLANDS LÄN</t>
        </is>
      </c>
      <c r="G212" t="inlineStr">
        <is>
          <t>KÖPING</t>
        </is>
      </c>
      <c r="I212" t="n">
        <v>6.6</v>
      </c>
      <c r="J212" t="n">
        <v>0</v>
      </c>
      <c r="K212" t="n">
        <v>0</v>
      </c>
      <c r="L212" t="n">
        <v>0</v>
      </c>
      <c r="M212" t="n">
        <v>0</v>
      </c>
      <c r="N212" t="n">
        <v>0</v>
      </c>
      <c r="O212" t="n">
        <v>0</v>
      </c>
      <c r="P212" t="n">
        <v>0</v>
      </c>
      <c r="Q212" t="n">
        <v>0</v>
      </c>
      <c r="R212" t="n">
        <v>0</v>
      </c>
      <c r="S212" t="n">
        <v>0</v>
      </c>
      <c r="T212" t="n">
        <v>0</v>
      </c>
      <c r="U212" s="2" t="inlineStr"/>
    </row>
    <row r="213" ht="15" customHeight="1">
      <c r="A213" t="inlineStr">
        <is>
          <t>A 25819-2026</t>
        </is>
      </c>
      <c r="B213" t="inlineStr">
        <is>
          <t>avverkningsanmälan</t>
        </is>
      </c>
      <c r="C213" t="inlineStr">
        <is>
          <t>Föryngringsavverkning</t>
        </is>
      </c>
      <c r="D213" s="1" t="n">
        <v>46178</v>
      </c>
      <c r="E213" s="1" t="n">
        <v>46216</v>
      </c>
      <c r="F213" t="inlineStr">
        <is>
          <t>VÄSTMANLANDS LÄN</t>
        </is>
      </c>
      <c r="G213" t="inlineStr">
        <is>
          <t>KÖPING</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29749-2022</t>
        </is>
      </c>
      <c r="B214" t="inlineStr">
        <is>
          <t>avverkningsanmälan</t>
        </is>
      </c>
      <c r="C214" t="inlineStr">
        <is>
          <t>Föryngringsavverkning</t>
        </is>
      </c>
      <c r="D214" s="1" t="n">
        <v>44755</v>
      </c>
      <c r="E214" s="1" t="n">
        <v>46216</v>
      </c>
      <c r="F214" t="inlineStr">
        <is>
          <t>VÄSTMANLANDS LÄN</t>
        </is>
      </c>
      <c r="G214" t="inlineStr">
        <is>
          <t>KÖPING</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37669-2023</t>
        </is>
      </c>
      <c r="B215" t="inlineStr">
        <is>
          <t>avverkningsanmälan</t>
        </is>
      </c>
      <c r="C215" t="inlineStr">
        <is>
          <t>Föryngringsavverkning</t>
        </is>
      </c>
      <c r="D215" s="1" t="n">
        <v>45159</v>
      </c>
      <c r="E215" s="1" t="n">
        <v>46216</v>
      </c>
      <c r="F215" t="inlineStr">
        <is>
          <t>VÄSTMANLANDS LÄN</t>
        </is>
      </c>
      <c r="G215" t="inlineStr">
        <is>
          <t>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55835-2021</t>
        </is>
      </c>
      <c r="B216" t="inlineStr">
        <is>
          <t>avverkningsanmälan</t>
        </is>
      </c>
      <c r="C216" t="inlineStr">
        <is>
          <t>Föryngringsavverkning</t>
        </is>
      </c>
      <c r="D216" s="1" t="n">
        <v>44476</v>
      </c>
      <c r="E216" s="1" t="n">
        <v>46216</v>
      </c>
      <c r="F216" t="inlineStr">
        <is>
          <t>VÄSTMANLANDS LÄN</t>
        </is>
      </c>
      <c r="G216" t="inlineStr">
        <is>
          <t>KÖPING</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51412-2023</t>
        </is>
      </c>
      <c r="B217" t="inlineStr">
        <is>
          <t>avverkningsanmälan</t>
        </is>
      </c>
      <c r="C217" t="inlineStr">
        <is>
          <t>Föryngringsavverkning</t>
        </is>
      </c>
      <c r="D217" s="1" t="n">
        <v>45219</v>
      </c>
      <c r="E217" s="1" t="n">
        <v>46216</v>
      </c>
      <c r="F217" t="inlineStr">
        <is>
          <t>VÄSTMANLANDS LÄN</t>
        </is>
      </c>
      <c r="G217" t="inlineStr">
        <is>
          <t>KÖPING</t>
        </is>
      </c>
      <c r="I217" t="n">
        <v>3.2</v>
      </c>
      <c r="J217" t="n">
        <v>0</v>
      </c>
      <c r="K217" t="n">
        <v>0</v>
      </c>
      <c r="L217" t="n">
        <v>0</v>
      </c>
      <c r="M217" t="n">
        <v>0</v>
      </c>
      <c r="N217" t="n">
        <v>0</v>
      </c>
      <c r="O217" t="n">
        <v>0</v>
      </c>
      <c r="P217" t="n">
        <v>0</v>
      </c>
      <c r="Q217" t="n">
        <v>0</v>
      </c>
      <c r="R217" t="n">
        <v>0</v>
      </c>
      <c r="S217" t="n">
        <v>0</v>
      </c>
      <c r="T217" t="n">
        <v>0</v>
      </c>
      <c r="U217" s="2" t="inlineStr"/>
    </row>
    <row r="218" ht="15" customHeight="1">
      <c r="A218" t="inlineStr">
        <is>
          <t>A 51119-2023</t>
        </is>
      </c>
      <c r="B218" t="inlineStr">
        <is>
          <t>avverkningsanmälan</t>
        </is>
      </c>
      <c r="C218" t="inlineStr">
        <is>
          <t>Föryngringsavverkning</t>
        </is>
      </c>
      <c r="D218" s="1" t="n">
        <v>45219</v>
      </c>
      <c r="E218" s="1" t="n">
        <v>46216</v>
      </c>
      <c r="F218" t="inlineStr">
        <is>
          <t>VÄSTMANLANDS LÄN</t>
        </is>
      </c>
      <c r="G218" t="inlineStr">
        <is>
          <t>KÖPING</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36409-2023</t>
        </is>
      </c>
      <c r="B219" t="inlineStr">
        <is>
          <t>avverkningsanmälan</t>
        </is>
      </c>
      <c r="C219" t="inlineStr">
        <is>
          <t>Föryngringsavverkning</t>
        </is>
      </c>
      <c r="D219" s="1" t="n">
        <v>45152</v>
      </c>
      <c r="E219" s="1" t="n">
        <v>46216</v>
      </c>
      <c r="F219" t="inlineStr">
        <is>
          <t>VÄSTMANLANDS LÄN</t>
        </is>
      </c>
      <c r="G219" t="inlineStr">
        <is>
          <t>KÖPING</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61339-2023</t>
        </is>
      </c>
      <c r="B220" t="inlineStr">
        <is>
          <t>avverkningsanmälan</t>
        </is>
      </c>
      <c r="C220" t="inlineStr">
        <is>
          <t>Föryngringsavverkning</t>
        </is>
      </c>
      <c r="D220" s="1" t="n">
        <v>45264</v>
      </c>
      <c r="E220" s="1" t="n">
        <v>46216</v>
      </c>
      <c r="F220" t="inlineStr">
        <is>
          <t>VÄSTMANLANDS LÄN</t>
        </is>
      </c>
      <c r="G220" t="inlineStr">
        <is>
          <t>KÖPING</t>
        </is>
      </c>
      <c r="I220" t="n">
        <v>5</v>
      </c>
      <c r="J220" t="n">
        <v>0</v>
      </c>
      <c r="K220" t="n">
        <v>0</v>
      </c>
      <c r="L220" t="n">
        <v>0</v>
      </c>
      <c r="M220" t="n">
        <v>0</v>
      </c>
      <c r="N220" t="n">
        <v>0</v>
      </c>
      <c r="O220" t="n">
        <v>0</v>
      </c>
      <c r="P220" t="n">
        <v>0</v>
      </c>
      <c r="Q220" t="n">
        <v>0</v>
      </c>
      <c r="R220" t="n">
        <v>0</v>
      </c>
      <c r="S220" t="n">
        <v>0</v>
      </c>
      <c r="T220" t="n">
        <v>0</v>
      </c>
      <c r="U220" s="2" t="inlineStr"/>
    </row>
    <row r="221" ht="15" customHeight="1">
      <c r="A221" t="inlineStr">
        <is>
          <t>A 25798-2026</t>
        </is>
      </c>
      <c r="B221" t="inlineStr">
        <is>
          <t>avverkningsanmälan</t>
        </is>
      </c>
      <c r="C221" t="inlineStr">
        <is>
          <t>Föryngringsavverkning</t>
        </is>
      </c>
      <c r="D221" s="1" t="n">
        <v>46178</v>
      </c>
      <c r="E221" s="1" t="n">
        <v>46216</v>
      </c>
      <c r="F221" t="inlineStr">
        <is>
          <t>VÄSTMANLANDS LÄN</t>
        </is>
      </c>
      <c r="G221" t="inlineStr">
        <is>
          <t>KÖPING</t>
        </is>
      </c>
      <c r="I221" t="n">
        <v>4.6</v>
      </c>
      <c r="J221" t="n">
        <v>0</v>
      </c>
      <c r="K221" t="n">
        <v>0</v>
      </c>
      <c r="L221" t="n">
        <v>0</v>
      </c>
      <c r="M221" t="n">
        <v>0</v>
      </c>
      <c r="N221" t="n">
        <v>0</v>
      </c>
      <c r="O221" t="n">
        <v>0</v>
      </c>
      <c r="P221" t="n">
        <v>0</v>
      </c>
      <c r="Q221" t="n">
        <v>0</v>
      </c>
      <c r="R221" t="n">
        <v>0</v>
      </c>
      <c r="S221" t="n">
        <v>0</v>
      </c>
      <c r="T221" t="n">
        <v>0</v>
      </c>
      <c r="U221" s="2" t="inlineStr"/>
    </row>
    <row r="222" ht="15" customHeight="1">
      <c r="A222" t="inlineStr">
        <is>
          <t>A 50045-2021</t>
        </is>
      </c>
      <c r="B222" t="inlineStr">
        <is>
          <t>avverkningsanmälan</t>
        </is>
      </c>
      <c r="C222" t="inlineStr">
        <is>
          <t>Föryngringsavverkning</t>
        </is>
      </c>
      <c r="D222" s="1" t="n">
        <v>44456</v>
      </c>
      <c r="E222" s="1" t="n">
        <v>46216</v>
      </c>
      <c r="F222" t="inlineStr">
        <is>
          <t>VÄSTMANLANDS LÄN</t>
        </is>
      </c>
      <c r="G222" t="inlineStr">
        <is>
          <t>KÖPING</t>
        </is>
      </c>
      <c r="H222" t="inlineStr">
        <is>
          <t>Allmännings- och besparingsskogar</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25812-2026</t>
        </is>
      </c>
      <c r="B223" t="inlineStr">
        <is>
          <t>avverkningsanmälan</t>
        </is>
      </c>
      <c r="C223" t="inlineStr">
        <is>
          <t>Föryngringsavverkning</t>
        </is>
      </c>
      <c r="D223" s="1" t="n">
        <v>46178</v>
      </c>
      <c r="E223" s="1" t="n">
        <v>46216</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13049-2025</t>
        </is>
      </c>
      <c r="B224" t="inlineStr">
        <is>
          <t>avverkningsanmälan</t>
        </is>
      </c>
      <c r="C224" t="inlineStr">
        <is>
          <t>Föryngringsavverkning</t>
        </is>
      </c>
      <c r="D224" s="1" t="n">
        <v>45734</v>
      </c>
      <c r="E224" s="1" t="n">
        <v>46216</v>
      </c>
      <c r="F224" t="inlineStr">
        <is>
          <t>VÄSTMANLANDS LÄN</t>
        </is>
      </c>
      <c r="G224" t="inlineStr">
        <is>
          <t>KÖPING</t>
        </is>
      </c>
      <c r="H224" t="inlineStr">
        <is>
          <t>Sveaskog</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19593-2025</t>
        </is>
      </c>
      <c r="B225" t="inlineStr">
        <is>
          <t>avverkningsanmälan</t>
        </is>
      </c>
      <c r="C225" t="inlineStr">
        <is>
          <t>Föryngringsavverkning</t>
        </is>
      </c>
      <c r="D225" s="1" t="n">
        <v>45770</v>
      </c>
      <c r="E225" s="1" t="n">
        <v>46216</v>
      </c>
      <c r="F225" t="inlineStr">
        <is>
          <t>VÄSTMANLANDS LÄN</t>
        </is>
      </c>
      <c r="G225" t="inlineStr">
        <is>
          <t>KÖPING</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25662-2024</t>
        </is>
      </c>
      <c r="B226" t="inlineStr">
        <is>
          <t>avverkningsanmälan</t>
        </is>
      </c>
      <c r="C226" t="inlineStr">
        <is>
          <t>Föryngringsavverkning</t>
        </is>
      </c>
      <c r="D226" s="1" t="n">
        <v>45463</v>
      </c>
      <c r="E226" s="1" t="n">
        <v>46216</v>
      </c>
      <c r="F226" t="inlineStr">
        <is>
          <t>VÄSTMANLANDS LÄN</t>
        </is>
      </c>
      <c r="G226" t="inlineStr">
        <is>
          <t>KÖPING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15551-2024</t>
        </is>
      </c>
      <c r="B227" t="inlineStr">
        <is>
          <t>avverkningsanmälan</t>
        </is>
      </c>
      <c r="C227" t="inlineStr">
        <is>
          <t>Föryngringsavverkning</t>
        </is>
      </c>
      <c r="D227" s="1" t="n">
        <v>45401</v>
      </c>
      <c r="E227" s="1" t="n">
        <v>46216</v>
      </c>
      <c r="F227" t="inlineStr">
        <is>
          <t>VÄSTMANLANDS LÄN</t>
        </is>
      </c>
      <c r="G227" t="inlineStr">
        <is>
          <t>KÖPING</t>
        </is>
      </c>
      <c r="H227" t="inlineStr">
        <is>
          <t>Sveaskog</t>
        </is>
      </c>
      <c r="I227" t="n">
        <v>3.1</v>
      </c>
      <c r="J227" t="n">
        <v>0</v>
      </c>
      <c r="K227" t="n">
        <v>0</v>
      </c>
      <c r="L227" t="n">
        <v>0</v>
      </c>
      <c r="M227" t="n">
        <v>0</v>
      </c>
      <c r="N227" t="n">
        <v>0</v>
      </c>
      <c r="O227" t="n">
        <v>0</v>
      </c>
      <c r="P227" t="n">
        <v>0</v>
      </c>
      <c r="Q227" t="n">
        <v>0</v>
      </c>
      <c r="R227" t="n">
        <v>0</v>
      </c>
      <c r="S227" t="n">
        <v>0</v>
      </c>
      <c r="T227" t="n">
        <v>0</v>
      </c>
      <c r="U227" s="2" t="inlineStr"/>
    </row>
    <row r="228" ht="15" customHeight="1">
      <c r="A228" t="inlineStr">
        <is>
          <t>A 38852-2025</t>
        </is>
      </c>
      <c r="B228" t="inlineStr">
        <is>
          <t>avverkningsanmälan</t>
        </is>
      </c>
      <c r="C228" t="inlineStr">
        <is>
          <t>Föryngringsavverkning</t>
        </is>
      </c>
      <c r="D228" s="1" t="n">
        <v>45887</v>
      </c>
      <c r="E228" s="1" t="n">
        <v>46216</v>
      </c>
      <c r="F228" t="inlineStr">
        <is>
          <t>VÄSTMANLANDS LÄN</t>
        </is>
      </c>
      <c r="G228" t="inlineStr">
        <is>
          <t>KÖPING</t>
        </is>
      </c>
      <c r="H228" t="inlineStr">
        <is>
          <t>Sveaskog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25820-2026</t>
        </is>
      </c>
      <c r="B229" t="inlineStr">
        <is>
          <t>avverkningsanmälan</t>
        </is>
      </c>
      <c r="C229" t="inlineStr">
        <is>
          <t>Föryngringsavverkning</t>
        </is>
      </c>
      <c r="D229" s="1" t="n">
        <v>46178</v>
      </c>
      <c r="E229" s="1" t="n">
        <v>46216</v>
      </c>
      <c r="F229" t="inlineStr">
        <is>
          <t>VÄSTMANLANDS LÄN</t>
        </is>
      </c>
      <c r="G229" t="inlineStr">
        <is>
          <t>KÖPING</t>
        </is>
      </c>
      <c r="I229" t="n">
        <v>3.8</v>
      </c>
      <c r="J229" t="n">
        <v>0</v>
      </c>
      <c r="K229" t="n">
        <v>0</v>
      </c>
      <c r="L229" t="n">
        <v>0</v>
      </c>
      <c r="M229" t="n">
        <v>0</v>
      </c>
      <c r="N229" t="n">
        <v>0</v>
      </c>
      <c r="O229" t="n">
        <v>0</v>
      </c>
      <c r="P229" t="n">
        <v>0</v>
      </c>
      <c r="Q229" t="n">
        <v>0</v>
      </c>
      <c r="R229" t="n">
        <v>0</v>
      </c>
      <c r="S229" t="n">
        <v>0</v>
      </c>
      <c r="T229" t="n">
        <v>0</v>
      </c>
      <c r="U229" s="2" t="inlineStr"/>
    </row>
    <row r="230" ht="15" customHeight="1">
      <c r="A230" t="inlineStr">
        <is>
          <t>A 29317-2022</t>
        </is>
      </c>
      <c r="B230" t="inlineStr">
        <is>
          <t>avverkningsanmälan</t>
        </is>
      </c>
      <c r="C230" t="inlineStr">
        <is>
          <t>Föryngringsavverkning</t>
        </is>
      </c>
      <c r="D230" s="1" t="n">
        <v>44751</v>
      </c>
      <c r="E230" s="1" t="n">
        <v>46216</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38844-2024</t>
        </is>
      </c>
      <c r="B231" t="inlineStr">
        <is>
          <t>avverkningsanmälan</t>
        </is>
      </c>
      <c r="C231" t="inlineStr">
        <is>
          <t>Avverkning för annat ändamål</t>
        </is>
      </c>
      <c r="D231" s="1" t="n">
        <v>45547</v>
      </c>
      <c r="E231" s="1" t="n">
        <v>46216</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26327-2026</t>
        </is>
      </c>
      <c r="B232" t="inlineStr">
        <is>
          <t>avverkningsanmälan</t>
        </is>
      </c>
      <c r="C232" t="inlineStr">
        <is>
          <t>Föryngringsavverkning</t>
        </is>
      </c>
      <c r="D232" s="1" t="n">
        <v>46182</v>
      </c>
      <c r="E232" s="1" t="n">
        <v>46216</v>
      </c>
      <c r="F232" t="inlineStr">
        <is>
          <t>VÄSTMANLANDS LÄN</t>
        </is>
      </c>
      <c r="G232" t="inlineStr">
        <is>
          <t>KÖPING</t>
        </is>
      </c>
      <c r="H232" t="inlineStr">
        <is>
          <t>Sveaskog</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26328-2026</t>
        </is>
      </c>
      <c r="B233" t="inlineStr">
        <is>
          <t>avverkningsanmälan</t>
        </is>
      </c>
      <c r="C233" t="inlineStr">
        <is>
          <t>Föryngringsavverkning</t>
        </is>
      </c>
      <c r="D233" s="1" t="n">
        <v>46182</v>
      </c>
      <c r="E233" s="1" t="n">
        <v>46216</v>
      </c>
      <c r="F233" t="inlineStr">
        <is>
          <t>VÄSTMANLANDS LÄN</t>
        </is>
      </c>
      <c r="G233" t="inlineStr">
        <is>
          <t>KÖPING</t>
        </is>
      </c>
      <c r="H233" t="inlineStr">
        <is>
          <t>Sveaskog</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199-2025</t>
        </is>
      </c>
      <c r="B234" t="inlineStr">
        <is>
          <t>avverkningsanmälan</t>
        </is>
      </c>
      <c r="C234" t="inlineStr">
        <is>
          <t>Föryngringsavverkning</t>
        </is>
      </c>
      <c r="D234" s="1" t="n">
        <v>45659</v>
      </c>
      <c r="E234" s="1" t="n">
        <v>46216</v>
      </c>
      <c r="F234" t="inlineStr">
        <is>
          <t>VÄSTMANLANDS LÄN</t>
        </is>
      </c>
      <c r="G234" t="inlineStr">
        <is>
          <t>KÖPING</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20713-2026</t>
        </is>
      </c>
      <c r="B235" t="inlineStr">
        <is>
          <t>avverkningsanmälan</t>
        </is>
      </c>
      <c r="C235" t="inlineStr">
        <is>
          <t>Föryngringsavverkning</t>
        </is>
      </c>
      <c r="D235" s="1" t="n">
        <v>46141</v>
      </c>
      <c r="E235" s="1" t="n">
        <v>46216</v>
      </c>
      <c r="F235" t="inlineStr">
        <is>
          <t>VÄSTMANLANDS LÄN</t>
        </is>
      </c>
      <c r="G235" t="inlineStr">
        <is>
          <t>KÖPING</t>
        </is>
      </c>
      <c r="I235" t="n">
        <v>2.4</v>
      </c>
      <c r="J235" t="n">
        <v>0</v>
      </c>
      <c r="K235" t="n">
        <v>0</v>
      </c>
      <c r="L235" t="n">
        <v>0</v>
      </c>
      <c r="M235" t="n">
        <v>0</v>
      </c>
      <c r="N235" t="n">
        <v>0</v>
      </c>
      <c r="O235" t="n">
        <v>0</v>
      </c>
      <c r="P235" t="n">
        <v>0</v>
      </c>
      <c r="Q235" t="n">
        <v>0</v>
      </c>
      <c r="R235" t="n">
        <v>0</v>
      </c>
      <c r="S235" t="n">
        <v>0</v>
      </c>
      <c r="T235" t="n">
        <v>0</v>
      </c>
      <c r="U235" s="2" t="inlineStr"/>
    </row>
    <row r="236" ht="15" customHeight="1">
      <c r="A236" t="inlineStr">
        <is>
          <t>A 26332-2026</t>
        </is>
      </c>
      <c r="B236" t="inlineStr">
        <is>
          <t>avverkningsanmälan</t>
        </is>
      </c>
      <c r="C236" t="inlineStr">
        <is>
          <t>Föryngringsavverkning</t>
        </is>
      </c>
      <c r="D236" s="1" t="n">
        <v>46182</v>
      </c>
      <c r="E236" s="1" t="n">
        <v>46216</v>
      </c>
      <c r="F236" t="inlineStr">
        <is>
          <t>VÄSTMANLANDS LÄN</t>
        </is>
      </c>
      <c r="G236" t="inlineStr">
        <is>
          <t>KÖPING</t>
        </is>
      </c>
      <c r="H236" t="inlineStr">
        <is>
          <t>Sveaskog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72463-2021</t>
        </is>
      </c>
      <c r="B237" t="inlineStr">
        <is>
          <t>avverkningsanmälan</t>
        </is>
      </c>
      <c r="C237" t="inlineStr">
        <is>
          <t>Föryngringsavverkning</t>
        </is>
      </c>
      <c r="D237" s="1" t="n">
        <v>44545</v>
      </c>
      <c r="E237" s="1" t="n">
        <v>46216</v>
      </c>
      <c r="F237" t="inlineStr">
        <is>
          <t>VÄSTMANLANDS LÄN</t>
        </is>
      </c>
      <c r="G237" t="inlineStr">
        <is>
          <t>KÖPING</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54867-2024</t>
        </is>
      </c>
      <c r="B238" t="inlineStr">
        <is>
          <t>avverkningsanmälan</t>
        </is>
      </c>
      <c r="C238" t="inlineStr">
        <is>
          <t>Föryngringsavverkning</t>
        </is>
      </c>
      <c r="D238" s="1" t="n">
        <v>45618</v>
      </c>
      <c r="E238" s="1" t="n">
        <v>46216</v>
      </c>
      <c r="F238" t="inlineStr">
        <is>
          <t>VÄSTMANLANDS LÄN</t>
        </is>
      </c>
      <c r="G238" t="inlineStr">
        <is>
          <t>KÖPING</t>
        </is>
      </c>
      <c r="H238" t="inlineStr">
        <is>
          <t>Sveaskog</t>
        </is>
      </c>
      <c r="I238" t="n">
        <v>11.1</v>
      </c>
      <c r="J238" t="n">
        <v>0</v>
      </c>
      <c r="K238" t="n">
        <v>0</v>
      </c>
      <c r="L238" t="n">
        <v>0</v>
      </c>
      <c r="M238" t="n">
        <v>0</v>
      </c>
      <c r="N238" t="n">
        <v>0</v>
      </c>
      <c r="O238" t="n">
        <v>0</v>
      </c>
      <c r="P238" t="n">
        <v>0</v>
      </c>
      <c r="Q238" t="n">
        <v>0</v>
      </c>
      <c r="R238" t="n">
        <v>0</v>
      </c>
      <c r="S238" t="n">
        <v>0</v>
      </c>
      <c r="T238" t="n">
        <v>0</v>
      </c>
      <c r="U238" s="2" t="inlineStr"/>
    </row>
    <row r="239" ht="15" customHeight="1">
      <c r="A239" t="inlineStr">
        <is>
          <t>A 45684-2024</t>
        </is>
      </c>
      <c r="B239" t="inlineStr">
        <is>
          <t>avverkningsanmälan</t>
        </is>
      </c>
      <c r="C239" t="inlineStr">
        <is>
          <t>Avverkning för annat ändamål</t>
        </is>
      </c>
      <c r="D239" s="1" t="n">
        <v>45579</v>
      </c>
      <c r="E239" s="1" t="n">
        <v>46216</v>
      </c>
      <c r="F239" t="inlineStr">
        <is>
          <t>VÄSTMANLANDS LÄN</t>
        </is>
      </c>
      <c r="G239" t="inlineStr">
        <is>
          <t>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1812-2022</t>
        </is>
      </c>
      <c r="B240" t="inlineStr">
        <is>
          <t>avverkningsanmälan</t>
        </is>
      </c>
      <c r="C240" t="inlineStr">
        <is>
          <t>Föryngringsavverkning</t>
        </is>
      </c>
      <c r="D240" s="1" t="n">
        <v>44574</v>
      </c>
      <c r="E240" s="1" t="n">
        <v>46216</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36476-2024</t>
        </is>
      </c>
      <c r="B241" t="inlineStr">
        <is>
          <t>avverkningsanmälan</t>
        </is>
      </c>
      <c r="C241" t="inlineStr">
        <is>
          <t>Föryngringsavverkning</t>
        </is>
      </c>
      <c r="D241" s="1" t="n">
        <v>45537</v>
      </c>
      <c r="E241" s="1" t="n">
        <v>46216</v>
      </c>
      <c r="F241" t="inlineStr">
        <is>
          <t>VÄSTMANLANDS LÄN</t>
        </is>
      </c>
      <c r="G241" t="inlineStr">
        <is>
          <t>KÖPING</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32029-2024</t>
        </is>
      </c>
      <c r="B242" t="inlineStr">
        <is>
          <t>avverkningsanmälan</t>
        </is>
      </c>
      <c r="C242" t="inlineStr">
        <is>
          <t>Föryngringsavverkning</t>
        </is>
      </c>
      <c r="D242" s="1" t="n">
        <v>45510</v>
      </c>
      <c r="E242" s="1" t="n">
        <v>46216</v>
      </c>
      <c r="F242" t="inlineStr">
        <is>
          <t>VÄSTMANLANDS LÄN</t>
        </is>
      </c>
      <c r="G242" t="inlineStr">
        <is>
          <t>KÖPING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44616-2023</t>
        </is>
      </c>
      <c r="B243" t="inlineStr">
        <is>
          <t>avverkningsanmälan</t>
        </is>
      </c>
      <c r="C243" t="inlineStr">
        <is>
          <t>Föryngringsavverkning</t>
        </is>
      </c>
      <c r="D243" s="1" t="n">
        <v>45189</v>
      </c>
      <c r="E243" s="1" t="n">
        <v>46216</v>
      </c>
      <c r="F243" t="inlineStr">
        <is>
          <t>VÄSTMANLANDS LÄN</t>
        </is>
      </c>
      <c r="G243" t="inlineStr">
        <is>
          <t>KÖPING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26945-2026</t>
        </is>
      </c>
      <c r="B244" t="inlineStr">
        <is>
          <t>avverkningsanmälan</t>
        </is>
      </c>
      <c r="C244" t="inlineStr">
        <is>
          <t>Föryngringsavverkning</t>
        </is>
      </c>
      <c r="D244" s="1" t="n">
        <v>46185</v>
      </c>
      <c r="E244" s="1" t="n">
        <v>46216</v>
      </c>
      <c r="F244" t="inlineStr">
        <is>
          <t>VÄSTMANLANDS LÄN</t>
        </is>
      </c>
      <c r="G244" t="inlineStr">
        <is>
          <t>KÖPING</t>
        </is>
      </c>
      <c r="H244" t="inlineStr">
        <is>
          <t>Sveaskog</t>
        </is>
      </c>
      <c r="I244" t="n">
        <v>7.5</v>
      </c>
      <c r="J244" t="n">
        <v>0</v>
      </c>
      <c r="K244" t="n">
        <v>0</v>
      </c>
      <c r="L244" t="n">
        <v>0</v>
      </c>
      <c r="M244" t="n">
        <v>0</v>
      </c>
      <c r="N244" t="n">
        <v>0</v>
      </c>
      <c r="O244" t="n">
        <v>0</v>
      </c>
      <c r="P244" t="n">
        <v>0</v>
      </c>
      <c r="Q244" t="n">
        <v>0</v>
      </c>
      <c r="R244" t="n">
        <v>0</v>
      </c>
      <c r="S244" t="n">
        <v>0</v>
      </c>
      <c r="T244" t="n">
        <v>0</v>
      </c>
      <c r="U244" s="2" t="inlineStr"/>
    </row>
    <row r="245" ht="15" customHeight="1">
      <c r="A245" t="inlineStr">
        <is>
          <t>A 26948-2026</t>
        </is>
      </c>
      <c r="B245" t="inlineStr">
        <is>
          <t>avverkningsanmälan</t>
        </is>
      </c>
      <c r="C245" t="inlineStr">
        <is>
          <t>Föryngringsavverkning</t>
        </is>
      </c>
      <c r="D245" s="1" t="n">
        <v>46185</v>
      </c>
      <c r="E245" s="1" t="n">
        <v>46216</v>
      </c>
      <c r="F245" t="inlineStr">
        <is>
          <t>VÄSTMANLANDS LÄN</t>
        </is>
      </c>
      <c r="G245" t="inlineStr">
        <is>
          <t>KÖPING</t>
        </is>
      </c>
      <c r="H245" t="inlineStr">
        <is>
          <t>Sveaskog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51409-2023</t>
        </is>
      </c>
      <c r="B246" t="inlineStr">
        <is>
          <t>avverkningsanmälan</t>
        </is>
      </c>
      <c r="C246" t="inlineStr">
        <is>
          <t>Föryngringsavverkning</t>
        </is>
      </c>
      <c r="D246" s="1" t="n">
        <v>45219</v>
      </c>
      <c r="E246" s="1" t="n">
        <v>46216</v>
      </c>
      <c r="F246" t="inlineStr">
        <is>
          <t>VÄSTMANLANDS LÄN</t>
        </is>
      </c>
      <c r="G246" t="inlineStr">
        <is>
          <t>KÖPING</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40690-2023</t>
        </is>
      </c>
      <c r="B247" t="inlineStr">
        <is>
          <t>avverkningsanmälan</t>
        </is>
      </c>
      <c r="C247" t="inlineStr">
        <is>
          <t>Föryngringsavverkning</t>
        </is>
      </c>
      <c r="D247" s="1" t="n">
        <v>45170</v>
      </c>
      <c r="E247" s="1" t="n">
        <v>46216</v>
      </c>
      <c r="F247" t="inlineStr">
        <is>
          <t>VÄSTMANLANDS LÄN</t>
        </is>
      </c>
      <c r="G247" t="inlineStr">
        <is>
          <t>KÖPING</t>
        </is>
      </c>
      <c r="H247" t="inlineStr">
        <is>
          <t>Sveaskog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39836-2024</t>
        </is>
      </c>
      <c r="B248" t="inlineStr">
        <is>
          <t>avverkningsanmälan</t>
        </is>
      </c>
      <c r="C248" t="inlineStr">
        <is>
          <t>Föryngringsavverkning</t>
        </is>
      </c>
      <c r="D248" s="1" t="n">
        <v>45553</v>
      </c>
      <c r="E248" s="1" t="n">
        <v>46216</v>
      </c>
      <c r="F248" t="inlineStr">
        <is>
          <t>VÄSTMANLANDS LÄN</t>
        </is>
      </c>
      <c r="G248" t="inlineStr">
        <is>
          <t>KÖPING</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14114-2024</t>
        </is>
      </c>
      <c r="B249" t="inlineStr">
        <is>
          <t>avverkningsanmälan</t>
        </is>
      </c>
      <c r="C249" t="inlineStr">
        <is>
          <t>Föryngringsavverkning</t>
        </is>
      </c>
      <c r="D249" s="1" t="n">
        <v>45392</v>
      </c>
      <c r="E249" s="1" t="n">
        <v>46216</v>
      </c>
      <c r="F249" t="inlineStr">
        <is>
          <t>VÄSTMANLANDS LÄN</t>
        </is>
      </c>
      <c r="G249" t="inlineStr">
        <is>
          <t>KÖPING</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60485-2022</t>
        </is>
      </c>
      <c r="B250" t="inlineStr">
        <is>
          <t>avverkningsanmälan</t>
        </is>
      </c>
      <c r="C250" t="inlineStr">
        <is>
          <t>Föryngringsavverkning</t>
        </is>
      </c>
      <c r="D250" s="1" t="n">
        <v>44911</v>
      </c>
      <c r="E250" s="1" t="n">
        <v>46216</v>
      </c>
      <c r="F250" t="inlineStr">
        <is>
          <t>VÄSTMANLANDS LÄN</t>
        </is>
      </c>
      <c r="G250" t="inlineStr">
        <is>
          <t>KÖPING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15657-2023</t>
        </is>
      </c>
      <c r="B251" t="inlineStr">
        <is>
          <t>avverkningsanmälan</t>
        </is>
      </c>
      <c r="C251" t="inlineStr">
        <is>
          <t>Avverkning för annat ändamål</t>
        </is>
      </c>
      <c r="D251" s="1" t="n">
        <v>45021</v>
      </c>
      <c r="E251" s="1" t="n">
        <v>46216</v>
      </c>
      <c r="F251" t="inlineStr">
        <is>
          <t>VÄSTMANLANDS LÄN</t>
        </is>
      </c>
      <c r="G251" t="inlineStr">
        <is>
          <t>KÖPING</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14062-2024</t>
        </is>
      </c>
      <c r="B252" t="inlineStr">
        <is>
          <t>avverkningsanmälan</t>
        </is>
      </c>
      <c r="C252" t="inlineStr">
        <is>
          <t>Föryngringsavverkning</t>
        </is>
      </c>
      <c r="D252" s="1" t="n">
        <v>45392</v>
      </c>
      <c r="E252" s="1" t="n">
        <v>46216</v>
      </c>
      <c r="F252" t="inlineStr">
        <is>
          <t>VÄSTMANLANDS LÄN</t>
        </is>
      </c>
      <c r="G252" t="inlineStr">
        <is>
          <t>KÖPING</t>
        </is>
      </c>
      <c r="I252" t="n">
        <v>2.5</v>
      </c>
      <c r="J252" t="n">
        <v>0</v>
      </c>
      <c r="K252" t="n">
        <v>0</v>
      </c>
      <c r="L252" t="n">
        <v>0</v>
      </c>
      <c r="M252" t="n">
        <v>0</v>
      </c>
      <c r="N252" t="n">
        <v>0</v>
      </c>
      <c r="O252" t="n">
        <v>0</v>
      </c>
      <c r="P252" t="n">
        <v>0</v>
      </c>
      <c r="Q252" t="n">
        <v>0</v>
      </c>
      <c r="R252" t="n">
        <v>0</v>
      </c>
      <c r="S252" t="n">
        <v>0</v>
      </c>
      <c r="T252" t="n">
        <v>0</v>
      </c>
      <c r="U252" s="2" t="inlineStr"/>
    </row>
    <row r="253" ht="15" customHeight="1">
      <c r="A253" t="inlineStr">
        <is>
          <t>A 10948-2024</t>
        </is>
      </c>
      <c r="B253" t="inlineStr">
        <is>
          <t>avverkningsanmälan</t>
        </is>
      </c>
      <c r="C253" t="inlineStr">
        <is>
          <t>Föryngringsavverkning</t>
        </is>
      </c>
      <c r="D253" s="1" t="n">
        <v>45370</v>
      </c>
      <c r="E253" s="1" t="n">
        <v>46216</v>
      </c>
      <c r="F253" t="inlineStr">
        <is>
          <t>VÄSTMANLANDS LÄN</t>
        </is>
      </c>
      <c r="G253" t="inlineStr">
        <is>
          <t>KÖPING</t>
        </is>
      </c>
      <c r="I253" t="n">
        <v>3.4</v>
      </c>
      <c r="J253" t="n">
        <v>0</v>
      </c>
      <c r="K253" t="n">
        <v>0</v>
      </c>
      <c r="L253" t="n">
        <v>0</v>
      </c>
      <c r="M253" t="n">
        <v>0</v>
      </c>
      <c r="N253" t="n">
        <v>0</v>
      </c>
      <c r="O253" t="n">
        <v>0</v>
      </c>
      <c r="P253" t="n">
        <v>0</v>
      </c>
      <c r="Q253" t="n">
        <v>0</v>
      </c>
      <c r="R253" t="n">
        <v>0</v>
      </c>
      <c r="S253" t="n">
        <v>0</v>
      </c>
      <c r="T253" t="n">
        <v>0</v>
      </c>
      <c r="U253" s="2" t="inlineStr"/>
    </row>
    <row r="254" ht="15" customHeight="1">
      <c r="A254" t="inlineStr">
        <is>
          <t>A 10979-2024</t>
        </is>
      </c>
      <c r="B254" t="inlineStr">
        <is>
          <t>avverkningsanmälan</t>
        </is>
      </c>
      <c r="C254" t="inlineStr">
        <is>
          <t>Föryngringsavverkning</t>
        </is>
      </c>
      <c r="D254" s="1" t="n">
        <v>45370</v>
      </c>
      <c r="E254" s="1" t="n">
        <v>46216</v>
      </c>
      <c r="F254" t="inlineStr">
        <is>
          <t>VÄSTMANLANDS LÄN</t>
        </is>
      </c>
      <c r="G254" t="inlineStr">
        <is>
          <t>KÖPING</t>
        </is>
      </c>
      <c r="I254" t="n">
        <v>5.8</v>
      </c>
      <c r="J254" t="n">
        <v>0</v>
      </c>
      <c r="K254" t="n">
        <v>0</v>
      </c>
      <c r="L254" t="n">
        <v>0</v>
      </c>
      <c r="M254" t="n">
        <v>0</v>
      </c>
      <c r="N254" t="n">
        <v>0</v>
      </c>
      <c r="O254" t="n">
        <v>0</v>
      </c>
      <c r="P254" t="n">
        <v>0</v>
      </c>
      <c r="Q254" t="n">
        <v>0</v>
      </c>
      <c r="R254" t="n">
        <v>0</v>
      </c>
      <c r="S254" t="n">
        <v>0</v>
      </c>
      <c r="T254" t="n">
        <v>0</v>
      </c>
      <c r="U254" s="2" t="inlineStr"/>
    </row>
    <row r="255" ht="15" customHeight="1">
      <c r="A255" t="inlineStr">
        <is>
          <t>A 20151-2023</t>
        </is>
      </c>
      <c r="B255" t="inlineStr">
        <is>
          <t>avverkningsanmälan</t>
        </is>
      </c>
      <c r="C255" t="inlineStr">
        <is>
          <t>Föryngringsavverkning</t>
        </is>
      </c>
      <c r="D255" s="1" t="n">
        <v>45051</v>
      </c>
      <c r="E255" s="1" t="n">
        <v>46216</v>
      </c>
      <c r="F255" t="inlineStr">
        <is>
          <t>VÄSTMANLANDS LÄN</t>
        </is>
      </c>
      <c r="G255" t="inlineStr">
        <is>
          <t>KÖPING</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10750-2023</t>
        </is>
      </c>
      <c r="B256" t="inlineStr">
        <is>
          <t>avverkningsanmälan</t>
        </is>
      </c>
      <c r="C256" t="inlineStr">
        <is>
          <t>Föryngringsavverkning</t>
        </is>
      </c>
      <c r="D256" s="1" t="n">
        <v>44985</v>
      </c>
      <c r="E256" s="1" t="n">
        <v>46216</v>
      </c>
      <c r="F256" t="inlineStr">
        <is>
          <t>VÄSTMANLANDS LÄN</t>
        </is>
      </c>
      <c r="G256" t="inlineStr">
        <is>
          <t>KÖPING</t>
        </is>
      </c>
      <c r="I256" t="n">
        <v>5.9</v>
      </c>
      <c r="J256" t="n">
        <v>0</v>
      </c>
      <c r="K256" t="n">
        <v>0</v>
      </c>
      <c r="L256" t="n">
        <v>0</v>
      </c>
      <c r="M256" t="n">
        <v>0</v>
      </c>
      <c r="N256" t="n">
        <v>0</v>
      </c>
      <c r="O256" t="n">
        <v>0</v>
      </c>
      <c r="P256" t="n">
        <v>0</v>
      </c>
      <c r="Q256" t="n">
        <v>0</v>
      </c>
      <c r="R256" t="n">
        <v>0</v>
      </c>
      <c r="S256" t="n">
        <v>0</v>
      </c>
      <c r="T256" t="n">
        <v>0</v>
      </c>
      <c r="U256" s="2" t="inlineStr"/>
    </row>
    <row r="257" ht="15" customHeight="1">
      <c r="A257" t="inlineStr">
        <is>
          <t>A 18799-2025</t>
        </is>
      </c>
      <c r="B257" t="inlineStr">
        <is>
          <t>avverkningsanmälan</t>
        </is>
      </c>
      <c r="C257" t="inlineStr">
        <is>
          <t>Föryngringsavverkning</t>
        </is>
      </c>
      <c r="D257" s="1" t="n">
        <v>45764</v>
      </c>
      <c r="E257" s="1" t="n">
        <v>46216</v>
      </c>
      <c r="F257" t="inlineStr">
        <is>
          <t>VÄSTMANLANDS LÄN</t>
        </is>
      </c>
      <c r="G257" t="inlineStr">
        <is>
          <t>KÖPING</t>
        </is>
      </c>
      <c r="H257" t="inlineStr">
        <is>
          <t>Sveaskog</t>
        </is>
      </c>
      <c r="I257" t="n">
        <v>7.2</v>
      </c>
      <c r="J257" t="n">
        <v>0</v>
      </c>
      <c r="K257" t="n">
        <v>0</v>
      </c>
      <c r="L257" t="n">
        <v>0</v>
      </c>
      <c r="M257" t="n">
        <v>0</v>
      </c>
      <c r="N257" t="n">
        <v>0</v>
      </c>
      <c r="O257" t="n">
        <v>0</v>
      </c>
      <c r="P257" t="n">
        <v>0</v>
      </c>
      <c r="Q257" t="n">
        <v>0</v>
      </c>
      <c r="R257" t="n">
        <v>0</v>
      </c>
      <c r="S257" t="n">
        <v>0</v>
      </c>
      <c r="T257" t="n">
        <v>0</v>
      </c>
      <c r="U257" s="2" t="inlineStr"/>
    </row>
    <row r="258" ht="15" customHeight="1">
      <c r="A258" t="inlineStr">
        <is>
          <t>A 38055-2023</t>
        </is>
      </c>
      <c r="B258" t="inlineStr">
        <is>
          <t>avverkningsanmälan</t>
        </is>
      </c>
      <c r="C258" t="inlineStr">
        <is>
          <t>Föryngringsavverkning</t>
        </is>
      </c>
      <c r="D258" s="1" t="n">
        <v>45160</v>
      </c>
      <c r="E258" s="1" t="n">
        <v>46216</v>
      </c>
      <c r="F258" t="inlineStr">
        <is>
          <t>VÄSTMANLANDS LÄN</t>
        </is>
      </c>
      <c r="G258" t="inlineStr">
        <is>
          <t>KÖPING</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22402-2026</t>
        </is>
      </c>
      <c r="B259" t="inlineStr">
        <is>
          <t>avverkningsanmälan</t>
        </is>
      </c>
      <c r="C259" t="inlineStr">
        <is>
          <t>Föryngringsavverkning</t>
        </is>
      </c>
      <c r="D259" s="1" t="n">
        <v>46154</v>
      </c>
      <c r="E259" s="1" t="n">
        <v>46216</v>
      </c>
      <c r="F259" t="inlineStr">
        <is>
          <t>VÄSTMANLANDS LÄN</t>
        </is>
      </c>
      <c r="G259" t="inlineStr">
        <is>
          <t>KÖPING</t>
        </is>
      </c>
      <c r="H259" t="inlineStr">
        <is>
          <t>Sveaskog</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28357-2026</t>
        </is>
      </c>
      <c r="B260" t="inlineStr">
        <is>
          <t>avverkningsanmälan</t>
        </is>
      </c>
      <c r="C260" t="inlineStr">
        <is>
          <t>Avverkning för att bevara och utveckla /försöksver</t>
        </is>
      </c>
      <c r="D260" s="1" t="n">
        <v>46196</v>
      </c>
      <c r="E260" s="1" t="n">
        <v>46216</v>
      </c>
      <c r="F260" t="inlineStr">
        <is>
          <t>VÄSTMANLANDS LÄN</t>
        </is>
      </c>
      <c r="G260" t="inlineStr">
        <is>
          <t>KÖPING</t>
        </is>
      </c>
      <c r="H260" t="inlineStr">
        <is>
          <t>Sveaskog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22457-2026</t>
        </is>
      </c>
      <c r="B261" t="inlineStr">
        <is>
          <t>avverkningsanmälan</t>
        </is>
      </c>
      <c r="C261" t="inlineStr">
        <is>
          <t>Föryngringsavverkning</t>
        </is>
      </c>
      <c r="D261" s="1" t="n">
        <v>46155</v>
      </c>
      <c r="E261" s="1" t="n">
        <v>46216</v>
      </c>
      <c r="F261" t="inlineStr">
        <is>
          <t>VÄSTMANLANDS LÄN</t>
        </is>
      </c>
      <c r="G261" t="inlineStr">
        <is>
          <t>KÖPING</t>
        </is>
      </c>
      <c r="I261" t="n">
        <v>7</v>
      </c>
      <c r="J261" t="n">
        <v>0</v>
      </c>
      <c r="K261" t="n">
        <v>0</v>
      </c>
      <c r="L261" t="n">
        <v>0</v>
      </c>
      <c r="M261" t="n">
        <v>0</v>
      </c>
      <c r="N261" t="n">
        <v>0</v>
      </c>
      <c r="O261" t="n">
        <v>0</v>
      </c>
      <c r="P261" t="n">
        <v>0</v>
      </c>
      <c r="Q261" t="n">
        <v>0</v>
      </c>
      <c r="R261" t="n">
        <v>0</v>
      </c>
      <c r="S261" t="n">
        <v>0</v>
      </c>
      <c r="T261" t="n">
        <v>0</v>
      </c>
      <c r="U261" s="2" t="inlineStr"/>
    </row>
    <row r="262" ht="15" customHeight="1">
      <c r="A262" t="inlineStr">
        <is>
          <t>A 37751-2022</t>
        </is>
      </c>
      <c r="B262" t="inlineStr">
        <is>
          <t>avverkningsanmälan</t>
        </is>
      </c>
      <c r="C262" t="inlineStr">
        <is>
          <t>Föryngringsavverkning</t>
        </is>
      </c>
      <c r="D262" s="1" t="n">
        <v>44810</v>
      </c>
      <c r="E262" s="1" t="n">
        <v>46216</v>
      </c>
      <c r="F262" t="inlineStr">
        <is>
          <t>VÄSTMANLANDS LÄN</t>
        </is>
      </c>
      <c r="G262" t="inlineStr">
        <is>
          <t>KÖPING</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28353-2026</t>
        </is>
      </c>
      <c r="B263" t="inlineStr">
        <is>
          <t>avverkningsanmälan</t>
        </is>
      </c>
      <c r="C263" t="inlineStr">
        <is>
          <t>Föryngringsavverkning</t>
        </is>
      </c>
      <c r="D263" s="1" t="n">
        <v>46196</v>
      </c>
      <c r="E263" s="1" t="n">
        <v>46216</v>
      </c>
      <c r="F263" t="inlineStr">
        <is>
          <t>VÄSTMANLANDS LÄN</t>
        </is>
      </c>
      <c r="G263" t="inlineStr">
        <is>
          <t>KÖPING</t>
        </is>
      </c>
      <c r="H263" t="inlineStr">
        <is>
          <t>Sveaskog</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22403-2026</t>
        </is>
      </c>
      <c r="B264" t="inlineStr">
        <is>
          <t>avverkningsanmälan</t>
        </is>
      </c>
      <c r="C264" t="inlineStr">
        <is>
          <t>Föryngringsavverkning</t>
        </is>
      </c>
      <c r="D264" s="1" t="n">
        <v>46154</v>
      </c>
      <c r="E264" s="1" t="n">
        <v>46216</v>
      </c>
      <c r="F264" t="inlineStr">
        <is>
          <t>VÄSTMANLANDS LÄN</t>
        </is>
      </c>
      <c r="G264" t="inlineStr">
        <is>
          <t>KÖPING</t>
        </is>
      </c>
      <c r="H264" t="inlineStr">
        <is>
          <t>Sveaskog</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27891-2023</t>
        </is>
      </c>
      <c r="B265" t="inlineStr">
        <is>
          <t>avverkningsanmälan</t>
        </is>
      </c>
      <c r="C265" t="inlineStr">
        <is>
          <t>Föryngringsavverkning</t>
        </is>
      </c>
      <c r="D265" s="1" t="n">
        <v>45098</v>
      </c>
      <c r="E265" s="1" t="n">
        <v>46216</v>
      </c>
      <c r="F265" t="inlineStr">
        <is>
          <t>VÄSTMANLANDS LÄN</t>
        </is>
      </c>
      <c r="G265" t="inlineStr">
        <is>
          <t>KÖPING</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9303-2024</t>
        </is>
      </c>
      <c r="B266" t="inlineStr">
        <is>
          <t>avverkningsanmälan</t>
        </is>
      </c>
      <c r="C266" t="inlineStr">
        <is>
          <t>Föryngringsavverkning</t>
        </is>
      </c>
      <c r="D266" s="1" t="n">
        <v>45358</v>
      </c>
      <c r="E266" s="1" t="n">
        <v>46216</v>
      </c>
      <c r="F266" t="inlineStr">
        <is>
          <t>VÄSTMANLANDS LÄN</t>
        </is>
      </c>
      <c r="G266" t="inlineStr">
        <is>
          <t>KÖPING</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3508-2025</t>
        </is>
      </c>
      <c r="B267" t="inlineStr">
        <is>
          <t>avverkningsanmälan</t>
        </is>
      </c>
      <c r="C267" t="inlineStr">
        <is>
          <t>Föryngringsavverkning</t>
        </is>
      </c>
      <c r="D267" s="1" t="n">
        <v>45680</v>
      </c>
      <c r="E267" s="1" t="n">
        <v>46216</v>
      </c>
      <c r="F267" t="inlineStr">
        <is>
          <t>VÄSTMANLANDS LÄN</t>
        </is>
      </c>
      <c r="G267" t="inlineStr">
        <is>
          <t>KÖPING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22750-2026</t>
        </is>
      </c>
      <c r="B268" t="inlineStr">
        <is>
          <t>avverkningsanmälan</t>
        </is>
      </c>
      <c r="C268" t="inlineStr">
        <is>
          <t>Avverkning för annat ändamål</t>
        </is>
      </c>
      <c r="D268" s="1" t="n">
        <v>46157</v>
      </c>
      <c r="E268" s="1" t="n">
        <v>46216</v>
      </c>
      <c r="F268" t="inlineStr">
        <is>
          <t>VÄSTMANLANDS LÄN</t>
        </is>
      </c>
      <c r="G268" t="inlineStr">
        <is>
          <t>KÖPING</t>
        </is>
      </c>
      <c r="H268" t="inlineStr">
        <is>
          <t>Sveaskog</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22749-2026</t>
        </is>
      </c>
      <c r="B269" t="inlineStr">
        <is>
          <t>avverkningsanmälan</t>
        </is>
      </c>
      <c r="C269" t="inlineStr">
        <is>
          <t>Avverkning för annat ändamål</t>
        </is>
      </c>
      <c r="D269" s="1" t="n">
        <v>46157</v>
      </c>
      <c r="E269" s="1" t="n">
        <v>46216</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28937-2024</t>
        </is>
      </c>
      <c r="B270" t="inlineStr">
        <is>
          <t>avverkningsanmälan</t>
        </is>
      </c>
      <c r="C270" t="inlineStr">
        <is>
          <t>Föryngringsavverkning</t>
        </is>
      </c>
      <c r="D270" s="1" t="n">
        <v>45480</v>
      </c>
      <c r="E270" s="1" t="n">
        <v>46216</v>
      </c>
      <c r="F270" t="inlineStr">
        <is>
          <t>VÄSTMANLANDS LÄN</t>
        </is>
      </c>
      <c r="G270" t="inlineStr">
        <is>
          <t>KÖPING</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22866-2026</t>
        </is>
      </c>
      <c r="B271" t="inlineStr">
        <is>
          <t>avverkningsanmälan</t>
        </is>
      </c>
      <c r="C271" t="inlineStr">
        <is>
          <t>Föryngringsavverkning</t>
        </is>
      </c>
      <c r="D271" s="1" t="n">
        <v>46160</v>
      </c>
      <c r="E271" s="1" t="n">
        <v>46216</v>
      </c>
      <c r="F271" t="inlineStr">
        <is>
          <t>VÄSTMANLANDS LÄN</t>
        </is>
      </c>
      <c r="G271" t="inlineStr">
        <is>
          <t>KÖPING</t>
        </is>
      </c>
      <c r="I271" t="n">
        <v>4.5</v>
      </c>
      <c r="J271" t="n">
        <v>0</v>
      </c>
      <c r="K271" t="n">
        <v>0</v>
      </c>
      <c r="L271" t="n">
        <v>0</v>
      </c>
      <c r="M271" t="n">
        <v>0</v>
      </c>
      <c r="N271" t="n">
        <v>0</v>
      </c>
      <c r="O271" t="n">
        <v>0</v>
      </c>
      <c r="P271" t="n">
        <v>0</v>
      </c>
      <c r="Q271" t="n">
        <v>0</v>
      </c>
      <c r="R271" t="n">
        <v>0</v>
      </c>
      <c r="S271" t="n">
        <v>0</v>
      </c>
      <c r="T271" t="n">
        <v>0</v>
      </c>
      <c r="U271" s="2" t="inlineStr"/>
    </row>
    <row r="272" ht="15" customHeight="1">
      <c r="A272" t="inlineStr">
        <is>
          <t>A 61358-2023</t>
        </is>
      </c>
      <c r="B272" t="inlineStr">
        <is>
          <t>avverkningsanmälan</t>
        </is>
      </c>
      <c r="C272" t="inlineStr">
        <is>
          <t>Föryngringsavverkning</t>
        </is>
      </c>
      <c r="D272" s="1" t="n">
        <v>45264</v>
      </c>
      <c r="E272" s="1" t="n">
        <v>46216</v>
      </c>
      <c r="F272" t="inlineStr">
        <is>
          <t>VÄSTMANLANDS LÄN</t>
        </is>
      </c>
      <c r="G272" t="inlineStr">
        <is>
          <t>KÖPING</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59724-2025</t>
        </is>
      </c>
      <c r="B273" t="inlineStr">
        <is>
          <t>avverkningsanmälan</t>
        </is>
      </c>
      <c r="C273" t="inlineStr">
        <is>
          <t>Föryngringsavverkning</t>
        </is>
      </c>
      <c r="D273" s="1" t="n">
        <v>45992</v>
      </c>
      <c r="E273" s="1" t="n">
        <v>46216</v>
      </c>
      <c r="F273" t="inlineStr">
        <is>
          <t>VÄSTMANLANDS LÄN</t>
        </is>
      </c>
      <c r="G273" t="inlineStr">
        <is>
          <t>KÖPING</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59735-2022</t>
        </is>
      </c>
      <c r="B274" t="inlineStr">
        <is>
          <t>avverkningsanmälan</t>
        </is>
      </c>
      <c r="C274" t="inlineStr">
        <is>
          <t>Föryngringsavverkning</t>
        </is>
      </c>
      <c r="D274" s="1" t="n">
        <v>44908</v>
      </c>
      <c r="E274" s="1" t="n">
        <v>46216</v>
      </c>
      <c r="F274" t="inlineStr">
        <is>
          <t>VÄSTMANLANDS LÄN</t>
        </is>
      </c>
      <c r="G274" t="inlineStr">
        <is>
          <t>KÖPING</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23389-2023</t>
        </is>
      </c>
      <c r="B275" t="inlineStr">
        <is>
          <t>avverkningsanmälan</t>
        </is>
      </c>
      <c r="C275" t="inlineStr">
        <is>
          <t>Föryngringsavverkning</t>
        </is>
      </c>
      <c r="D275" s="1" t="n">
        <v>45076</v>
      </c>
      <c r="E275" s="1" t="n">
        <v>46216</v>
      </c>
      <c r="F275" t="inlineStr">
        <is>
          <t>VÄSTMANLANDS LÄN</t>
        </is>
      </c>
      <c r="G275" t="inlineStr">
        <is>
          <t>KÖPING</t>
        </is>
      </c>
      <c r="I275" t="n">
        <v>5.6</v>
      </c>
      <c r="J275" t="n">
        <v>0</v>
      </c>
      <c r="K275" t="n">
        <v>0</v>
      </c>
      <c r="L275" t="n">
        <v>0</v>
      </c>
      <c r="M275" t="n">
        <v>0</v>
      </c>
      <c r="N275" t="n">
        <v>0</v>
      </c>
      <c r="O275" t="n">
        <v>0</v>
      </c>
      <c r="P275" t="n">
        <v>0</v>
      </c>
      <c r="Q275" t="n">
        <v>0</v>
      </c>
      <c r="R275" t="n">
        <v>0</v>
      </c>
      <c r="S275" t="n">
        <v>0</v>
      </c>
      <c r="T275" t="n">
        <v>0</v>
      </c>
      <c r="U275" s="2" t="inlineStr"/>
    </row>
    <row r="276" ht="15" customHeight="1">
      <c r="A276" t="inlineStr">
        <is>
          <t>A 2854-2022</t>
        </is>
      </c>
      <c r="B276" t="inlineStr">
        <is>
          <t>avverkningsanmälan</t>
        </is>
      </c>
      <c r="C276" t="inlineStr">
        <is>
          <t>Föryngringsavverkning</t>
        </is>
      </c>
      <c r="D276" s="1" t="n">
        <v>44581</v>
      </c>
      <c r="E276" s="1" t="n">
        <v>46216</v>
      </c>
      <c r="F276" t="inlineStr">
        <is>
          <t>VÄSTMANLANDS LÄN</t>
        </is>
      </c>
      <c r="G276" t="inlineStr">
        <is>
          <t>KÖPING</t>
        </is>
      </c>
      <c r="I276" t="n">
        <v>7.1</v>
      </c>
      <c r="J276" t="n">
        <v>0</v>
      </c>
      <c r="K276" t="n">
        <v>0</v>
      </c>
      <c r="L276" t="n">
        <v>0</v>
      </c>
      <c r="M276" t="n">
        <v>0</v>
      </c>
      <c r="N276" t="n">
        <v>0</v>
      </c>
      <c r="O276" t="n">
        <v>0</v>
      </c>
      <c r="P276" t="n">
        <v>0</v>
      </c>
      <c r="Q276" t="n">
        <v>0</v>
      </c>
      <c r="R276" t="n">
        <v>0</v>
      </c>
      <c r="S276" t="n">
        <v>0</v>
      </c>
      <c r="T276" t="n">
        <v>0</v>
      </c>
      <c r="U276" s="2" t="inlineStr"/>
    </row>
    <row r="277" ht="15" customHeight="1">
      <c r="A277" t="inlineStr">
        <is>
          <t>A 23397-2026</t>
        </is>
      </c>
      <c r="B277" t="inlineStr">
        <is>
          <t>avverkningsanmälan</t>
        </is>
      </c>
      <c r="C277" t="inlineStr">
        <is>
          <t>Föryngringsavverkning</t>
        </is>
      </c>
      <c r="D277" s="1" t="n">
        <v>46162</v>
      </c>
      <c r="E277" s="1" t="n">
        <v>46216</v>
      </c>
      <c r="F277" t="inlineStr">
        <is>
          <t>VÄSTMANLANDS LÄN</t>
        </is>
      </c>
      <c r="G277" t="inlineStr">
        <is>
          <t>KÖPING</t>
        </is>
      </c>
      <c r="H277" t="inlineStr">
        <is>
          <t>Sveaskog</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23554-2026</t>
        </is>
      </c>
      <c r="B278" t="inlineStr">
        <is>
          <t>avverkningsanmälan</t>
        </is>
      </c>
      <c r="C278" t="inlineStr">
        <is>
          <t>Föryngringsavverkning</t>
        </is>
      </c>
      <c r="D278" s="1" t="n">
        <v>46163</v>
      </c>
      <c r="E278" s="1" t="n">
        <v>46216</v>
      </c>
      <c r="F278" t="inlineStr">
        <is>
          <t>VÄSTMANLANDS LÄN</t>
        </is>
      </c>
      <c r="G278" t="inlineStr">
        <is>
          <t>KÖPING</t>
        </is>
      </c>
      <c r="H278" t="inlineStr">
        <is>
          <t>Sveaskog</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23559-2026</t>
        </is>
      </c>
      <c r="B279" t="inlineStr">
        <is>
          <t>avverkningsanmälan</t>
        </is>
      </c>
      <c r="C279" t="inlineStr">
        <is>
          <t>Föryngringsavverkning</t>
        </is>
      </c>
      <c r="D279" s="1" t="n">
        <v>46163</v>
      </c>
      <c r="E279" s="1" t="n">
        <v>46216</v>
      </c>
      <c r="F279" t="inlineStr">
        <is>
          <t>VÄSTMANLANDS LÄN</t>
        </is>
      </c>
      <c r="G279" t="inlineStr">
        <is>
          <t>KÖPING</t>
        </is>
      </c>
      <c r="H279" t="inlineStr">
        <is>
          <t>Sveaskog</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23556-2026</t>
        </is>
      </c>
      <c r="B280" t="inlineStr">
        <is>
          <t>avverkningsanmälan</t>
        </is>
      </c>
      <c r="C280" t="inlineStr">
        <is>
          <t>Föryngringsavverkning</t>
        </is>
      </c>
      <c r="D280" s="1" t="n">
        <v>46163</v>
      </c>
      <c r="E280" s="1" t="n">
        <v>46216</v>
      </c>
      <c r="F280" t="inlineStr">
        <is>
          <t>VÄSTMANLANDS LÄN</t>
        </is>
      </c>
      <c r="G280" t="inlineStr">
        <is>
          <t>KÖPING</t>
        </is>
      </c>
      <c r="H280" t="inlineStr">
        <is>
          <t>Sveaskog</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44370-2022</t>
        </is>
      </c>
      <c r="B281" t="inlineStr">
        <is>
          <t>avverkningsanmälan</t>
        </is>
      </c>
      <c r="C281" t="inlineStr">
        <is>
          <t>Föryngringsavverkning</t>
        </is>
      </c>
      <c r="D281" s="1" t="n">
        <v>44839</v>
      </c>
      <c r="E281" s="1" t="n">
        <v>46216</v>
      </c>
      <c r="F281" t="inlineStr">
        <is>
          <t>VÄSTMANLANDS LÄN</t>
        </is>
      </c>
      <c r="G281" t="inlineStr">
        <is>
          <t>KÖPING</t>
        </is>
      </c>
      <c r="I281" t="n">
        <v>9.199999999999999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23399-2026</t>
        </is>
      </c>
      <c r="B282" t="inlineStr">
        <is>
          <t>avverkningsanmälan</t>
        </is>
      </c>
      <c r="C282" t="inlineStr">
        <is>
          <t>Föryngringsavverkning</t>
        </is>
      </c>
      <c r="D282" s="1" t="n">
        <v>46162</v>
      </c>
      <c r="E282" s="1" t="n">
        <v>46216</v>
      </c>
      <c r="F282" t="inlineStr">
        <is>
          <t>VÄSTMANLANDS LÄN</t>
        </is>
      </c>
      <c r="G282" t="inlineStr">
        <is>
          <t>KÖPING</t>
        </is>
      </c>
      <c r="H282" t="inlineStr">
        <is>
          <t>Sveaskog</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23825-2023</t>
        </is>
      </c>
      <c r="B283" t="inlineStr">
        <is>
          <t>avverkningsanmälan</t>
        </is>
      </c>
      <c r="C283" t="inlineStr">
        <is>
          <t>Föryngringsavverkning</t>
        </is>
      </c>
      <c r="D283" s="1" t="n">
        <v>45078</v>
      </c>
      <c r="E283" s="1" t="n">
        <v>46216</v>
      </c>
      <c r="F283" t="inlineStr">
        <is>
          <t>VÄSTMANLANDS LÄN</t>
        </is>
      </c>
      <c r="G283" t="inlineStr">
        <is>
          <t>KÖPING</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17816-2024</t>
        </is>
      </c>
      <c r="B284" t="inlineStr">
        <is>
          <t>avverkningsanmälan</t>
        </is>
      </c>
      <c r="C284" t="inlineStr">
        <is>
          <t>Föryngringsavverkning</t>
        </is>
      </c>
      <c r="D284" s="1" t="n">
        <v>45418</v>
      </c>
      <c r="E284" s="1" t="n">
        <v>46216</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25804-2022</t>
        </is>
      </c>
      <c r="B285" t="inlineStr">
        <is>
          <t>avverkningsanmälan</t>
        </is>
      </c>
      <c r="C285" t="inlineStr">
        <is>
          <t>Föryngringsavverkning</t>
        </is>
      </c>
      <c r="D285" s="1" t="n">
        <v>44733</v>
      </c>
      <c r="E285" s="1" t="n">
        <v>46216</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63236-2023</t>
        </is>
      </c>
      <c r="B286" t="inlineStr">
        <is>
          <t>avverkningsanmälan</t>
        </is>
      </c>
      <c r="C286" t="inlineStr">
        <is>
          <t>Föryngringsavverkning</t>
        </is>
      </c>
      <c r="D286" s="1" t="n">
        <v>45273</v>
      </c>
      <c r="E286" s="1" t="n">
        <v>46216</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30079-2022</t>
        </is>
      </c>
      <c r="B287" t="inlineStr">
        <is>
          <t>avverkningsanmälan</t>
        </is>
      </c>
      <c r="C287" t="inlineStr">
        <is>
          <t>Föryngringsavverkning</t>
        </is>
      </c>
      <c r="D287" s="1" t="n">
        <v>44757</v>
      </c>
      <c r="E287" s="1" t="n">
        <v>46216</v>
      </c>
      <c r="F287" t="inlineStr">
        <is>
          <t>VÄSTMANLANDS LÄN</t>
        </is>
      </c>
      <c r="G287" t="inlineStr">
        <is>
          <t>KÖPING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68714-2021</t>
        </is>
      </c>
      <c r="B288" t="inlineStr">
        <is>
          <t>avverkningsanmälan</t>
        </is>
      </c>
      <c r="C288" t="inlineStr">
        <is>
          <t>Föryngringsavverkning</t>
        </is>
      </c>
      <c r="D288" s="1" t="n">
        <v>44529</v>
      </c>
      <c r="E288" s="1" t="n">
        <v>46216</v>
      </c>
      <c r="F288" t="inlineStr">
        <is>
          <t>VÄSTMANLANDS LÄN</t>
        </is>
      </c>
      <c r="G288" t="inlineStr">
        <is>
          <t>KÖPING</t>
        </is>
      </c>
      <c r="I288" t="n">
        <v>6.4</v>
      </c>
      <c r="J288" t="n">
        <v>0</v>
      </c>
      <c r="K288" t="n">
        <v>0</v>
      </c>
      <c r="L288" t="n">
        <v>0</v>
      </c>
      <c r="M288" t="n">
        <v>0</v>
      </c>
      <c r="N288" t="n">
        <v>0</v>
      </c>
      <c r="O288" t="n">
        <v>0</v>
      </c>
      <c r="P288" t="n">
        <v>0</v>
      </c>
      <c r="Q288" t="n">
        <v>0</v>
      </c>
      <c r="R288" t="n">
        <v>0</v>
      </c>
      <c r="S288" t="n">
        <v>0</v>
      </c>
      <c r="T288" t="n">
        <v>0</v>
      </c>
      <c r="U288" s="2" t="inlineStr"/>
    </row>
    <row r="289" ht="15" customHeight="1">
      <c r="A289" t="inlineStr">
        <is>
          <t>A 24302-2026</t>
        </is>
      </c>
      <c r="B289" t="inlineStr">
        <is>
          <t>avverkningsanmälan</t>
        </is>
      </c>
      <c r="C289" t="inlineStr">
        <is>
          <t>Föryngringsavverkning</t>
        </is>
      </c>
      <c r="D289" s="1" t="n">
        <v>46169</v>
      </c>
      <c r="E289" s="1" t="n">
        <v>46216</v>
      </c>
      <c r="F289" t="inlineStr">
        <is>
          <t>VÄSTMANLANDS LÄN</t>
        </is>
      </c>
      <c r="G289" t="inlineStr">
        <is>
          <t>KÖPING</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53061-2023</t>
        </is>
      </c>
      <c r="B290" t="inlineStr">
        <is>
          <t>avverkningsanmälan</t>
        </is>
      </c>
      <c r="C290" t="inlineStr">
        <is>
          <t>Föryngringsavverkning</t>
        </is>
      </c>
      <c r="D290" s="1" t="n">
        <v>45227</v>
      </c>
      <c r="E290" s="1" t="n">
        <v>46216</v>
      </c>
      <c r="F290" t="inlineStr">
        <is>
          <t>VÄSTMANLANDS LÄN</t>
        </is>
      </c>
      <c r="G290" t="inlineStr">
        <is>
          <t>KÖPING</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39332-2024</t>
        </is>
      </c>
      <c r="B291" t="inlineStr">
        <is>
          <t>avverkningsanmälan</t>
        </is>
      </c>
      <c r="C291" t="inlineStr">
        <is>
          <t>Föryngringsavverkning</t>
        </is>
      </c>
      <c r="D291" s="1" t="n">
        <v>45551</v>
      </c>
      <c r="E291" s="1" t="n">
        <v>46216</v>
      </c>
      <c r="F291" t="inlineStr">
        <is>
          <t>VÄSTMANLANDS LÄN</t>
        </is>
      </c>
      <c r="G291" t="inlineStr">
        <is>
          <t>KÖPING</t>
        </is>
      </c>
      <c r="I291" t="n">
        <v>4.4</v>
      </c>
      <c r="J291" t="n">
        <v>0</v>
      </c>
      <c r="K291" t="n">
        <v>0</v>
      </c>
      <c r="L291" t="n">
        <v>0</v>
      </c>
      <c r="M291" t="n">
        <v>0</v>
      </c>
      <c r="N291" t="n">
        <v>0</v>
      </c>
      <c r="O291" t="n">
        <v>0</v>
      </c>
      <c r="P291" t="n">
        <v>0</v>
      </c>
      <c r="Q291" t="n">
        <v>0</v>
      </c>
      <c r="R291" t="n">
        <v>0</v>
      </c>
      <c r="S291" t="n">
        <v>0</v>
      </c>
      <c r="T291" t="n">
        <v>0</v>
      </c>
      <c r="U291" s="2" t="inlineStr"/>
    </row>
    <row r="292" ht="15" customHeight="1">
      <c r="A292" t="inlineStr">
        <is>
          <t>A 18361-2025</t>
        </is>
      </c>
      <c r="B292" t="inlineStr">
        <is>
          <t>avverkningsanmälan</t>
        </is>
      </c>
      <c r="C292" t="inlineStr">
        <is>
          <t>Föryngringsavverkning</t>
        </is>
      </c>
      <c r="D292" s="1" t="n">
        <v>45762</v>
      </c>
      <c r="E292" s="1" t="n">
        <v>46216</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44749-2021</t>
        </is>
      </c>
      <c r="B293" t="inlineStr">
        <is>
          <t>avverkningsanmälan</t>
        </is>
      </c>
      <c r="C293" t="inlineStr">
        <is>
          <t>Föryngringsavverkning</t>
        </is>
      </c>
      <c r="D293" s="1" t="n">
        <v>44438</v>
      </c>
      <c r="E293" s="1" t="n">
        <v>46216</v>
      </c>
      <c r="F293" t="inlineStr">
        <is>
          <t>VÄSTMANLANDS LÄN</t>
        </is>
      </c>
      <c r="G293" t="inlineStr">
        <is>
          <t>KÖPING</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17345-2022</t>
        </is>
      </c>
      <c r="B294" t="inlineStr">
        <is>
          <t>avverkningsanmälan</t>
        </is>
      </c>
      <c r="C294" t="inlineStr">
        <is>
          <t>Föryngringsavverkning</t>
        </is>
      </c>
      <c r="D294" s="1" t="n">
        <v>44678</v>
      </c>
      <c r="E294" s="1" t="n">
        <v>46216</v>
      </c>
      <c r="F294" t="inlineStr">
        <is>
          <t>VÄSTMANLANDS LÄN</t>
        </is>
      </c>
      <c r="G294" t="inlineStr">
        <is>
          <t>KÖPING</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24488-2026</t>
        </is>
      </c>
      <c r="B295" t="inlineStr">
        <is>
          <t>avverkningsanmälan</t>
        </is>
      </c>
      <c r="C295" t="inlineStr">
        <is>
          <t>Föryngringsavverkning</t>
        </is>
      </c>
      <c r="D295" s="1" t="n">
        <v>46170</v>
      </c>
      <c r="E295" s="1" t="n">
        <v>46216</v>
      </c>
      <c r="F295" t="inlineStr">
        <is>
          <t>VÄSTMANLANDS LÄN</t>
        </is>
      </c>
      <c r="G295" t="inlineStr">
        <is>
          <t>KÖPING</t>
        </is>
      </c>
      <c r="H295" t="inlineStr">
        <is>
          <t>Sveaskog</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24482-2026</t>
        </is>
      </c>
      <c r="B296" t="inlineStr">
        <is>
          <t>avverkningsanmälan</t>
        </is>
      </c>
      <c r="C296" t="inlineStr">
        <is>
          <t>Föryngringsavverkning</t>
        </is>
      </c>
      <c r="D296" s="1" t="n">
        <v>46170</v>
      </c>
      <c r="E296" s="1" t="n">
        <v>46216</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42621-2021</t>
        </is>
      </c>
      <c r="B297" t="inlineStr">
        <is>
          <t>avverkningsanmälan</t>
        </is>
      </c>
      <c r="C297" t="inlineStr">
        <is>
          <t>Föryngringsavverkning</t>
        </is>
      </c>
      <c r="D297" s="1" t="n">
        <v>44428</v>
      </c>
      <c r="E297" s="1" t="n">
        <v>46216</v>
      </c>
      <c r="F297" t="inlineStr">
        <is>
          <t>VÄSTMANLANDS LÄN</t>
        </is>
      </c>
      <c r="G297" t="inlineStr">
        <is>
          <t>KÖPING</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15158-2022</t>
        </is>
      </c>
      <c r="B298" t="inlineStr">
        <is>
          <t>avverkningsanmälan</t>
        </is>
      </c>
      <c r="C298" t="inlineStr">
        <is>
          <t>Föryngringsavverkning</t>
        </is>
      </c>
      <c r="D298" s="1" t="n">
        <v>44658</v>
      </c>
      <c r="E298" s="1" t="n">
        <v>46216</v>
      </c>
      <c r="F298" t="inlineStr">
        <is>
          <t>VÄSTMANLANDS LÄN</t>
        </is>
      </c>
      <c r="G298" t="inlineStr">
        <is>
          <t>KÖPING</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15162-2022</t>
        </is>
      </c>
      <c r="B299" t="inlineStr">
        <is>
          <t>avverkningsanmälan</t>
        </is>
      </c>
      <c r="C299" t="inlineStr">
        <is>
          <t>Föryngringsavverkning</t>
        </is>
      </c>
      <c r="D299" s="1" t="n">
        <v>44658</v>
      </c>
      <c r="E299" s="1" t="n">
        <v>46216</v>
      </c>
      <c r="F299" t="inlineStr">
        <is>
          <t>VÄSTMANLANDS LÄN</t>
        </is>
      </c>
      <c r="G299" t="inlineStr">
        <is>
          <t>KÖPING</t>
        </is>
      </c>
      <c r="I299" t="n">
        <v>4.6</v>
      </c>
      <c r="J299" t="n">
        <v>0</v>
      </c>
      <c r="K299" t="n">
        <v>0</v>
      </c>
      <c r="L299" t="n">
        <v>0</v>
      </c>
      <c r="M299" t="n">
        <v>0</v>
      </c>
      <c r="N299" t="n">
        <v>0</v>
      </c>
      <c r="O299" t="n">
        <v>0</v>
      </c>
      <c r="P299" t="n">
        <v>0</v>
      </c>
      <c r="Q299" t="n">
        <v>0</v>
      </c>
      <c r="R299" t="n">
        <v>0</v>
      </c>
      <c r="S299" t="n">
        <v>0</v>
      </c>
      <c r="T299" t="n">
        <v>0</v>
      </c>
      <c r="U299" s="2" t="inlineStr"/>
    </row>
    <row r="300" ht="15" customHeight="1">
      <c r="A300" t="inlineStr">
        <is>
          <t>A 13043-2025</t>
        </is>
      </c>
      <c r="B300" t="inlineStr">
        <is>
          <t>avverkningsanmälan</t>
        </is>
      </c>
      <c r="C300" t="inlineStr">
        <is>
          <t>Avverkning för att bevara och utveckla /försöksver</t>
        </is>
      </c>
      <c r="D300" s="1" t="n">
        <v>45734</v>
      </c>
      <c r="E300" s="1" t="n">
        <v>46216</v>
      </c>
      <c r="F300" t="inlineStr">
        <is>
          <t>VÄSTMANLANDS LÄN</t>
        </is>
      </c>
      <c r="G300" t="inlineStr">
        <is>
          <t>KÖPING</t>
        </is>
      </c>
      <c r="H300" t="inlineStr">
        <is>
          <t>Sveaskog</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63561-2021</t>
        </is>
      </c>
      <c r="B301" t="inlineStr">
        <is>
          <t>avverkningsanmälan</t>
        </is>
      </c>
      <c r="C301" t="inlineStr">
        <is>
          <t>Föryngringsavverkning</t>
        </is>
      </c>
      <c r="D301" s="1" t="n">
        <v>44508</v>
      </c>
      <c r="E301" s="1" t="n">
        <v>46216</v>
      </c>
      <c r="F301" t="inlineStr">
        <is>
          <t>VÄSTMANLANDS LÄN</t>
        </is>
      </c>
      <c r="G301" t="inlineStr">
        <is>
          <t>KÖPING</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21163-2025</t>
        </is>
      </c>
      <c r="B302" t="inlineStr">
        <is>
          <t>avverkningsanmälan</t>
        </is>
      </c>
      <c r="C302" t="inlineStr">
        <is>
          <t>Föryngringsavverkning</t>
        </is>
      </c>
      <c r="D302" s="1" t="n">
        <v>45779</v>
      </c>
      <c r="E302" s="1" t="n">
        <v>46216</v>
      </c>
      <c r="F302" t="inlineStr">
        <is>
          <t>VÄSTMANLANDS LÄN</t>
        </is>
      </c>
      <c r="G302" t="inlineStr">
        <is>
          <t>KÖPING</t>
        </is>
      </c>
      <c r="H302" t="inlineStr">
        <is>
          <t>Sveaskog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51156-2024</t>
        </is>
      </c>
      <c r="B303" t="inlineStr">
        <is>
          <t>avverkningsanmälan</t>
        </is>
      </c>
      <c r="C303" t="inlineStr">
        <is>
          <t>Föryngringsavverkning</t>
        </is>
      </c>
      <c r="D303" s="1" t="n">
        <v>45603</v>
      </c>
      <c r="E303" s="1" t="n">
        <v>46216</v>
      </c>
      <c r="F303" t="inlineStr">
        <is>
          <t>VÄSTMANLANDS LÄN</t>
        </is>
      </c>
      <c r="G303" t="inlineStr">
        <is>
          <t>KÖPING</t>
        </is>
      </c>
      <c r="I303" t="n">
        <v>2.5</v>
      </c>
      <c r="J303" t="n">
        <v>0</v>
      </c>
      <c r="K303" t="n">
        <v>0</v>
      </c>
      <c r="L303" t="n">
        <v>0</v>
      </c>
      <c r="M303" t="n">
        <v>0</v>
      </c>
      <c r="N303" t="n">
        <v>0</v>
      </c>
      <c r="O303" t="n">
        <v>0</v>
      </c>
      <c r="P303" t="n">
        <v>0</v>
      </c>
      <c r="Q303" t="n">
        <v>0</v>
      </c>
      <c r="R303" t="n">
        <v>0</v>
      </c>
      <c r="S303" t="n">
        <v>0</v>
      </c>
      <c r="T303" t="n">
        <v>0</v>
      </c>
      <c r="U303" s="2" t="inlineStr"/>
    </row>
    <row r="304" ht="15" customHeight="1">
      <c r="A304" t="inlineStr">
        <is>
          <t>A 21691-2025</t>
        </is>
      </c>
      <c r="B304" t="inlineStr">
        <is>
          <t>avverkningsanmälan</t>
        </is>
      </c>
      <c r="C304" t="inlineStr">
        <is>
          <t>Föryngringsavverkning</t>
        </is>
      </c>
      <c r="D304" s="1" t="n">
        <v>45783</v>
      </c>
      <c r="E304" s="1" t="n">
        <v>46216</v>
      </c>
      <c r="F304" t="inlineStr">
        <is>
          <t>VÄSTMANLANDS LÄN</t>
        </is>
      </c>
      <c r="G304" t="inlineStr">
        <is>
          <t>KÖPING</t>
        </is>
      </c>
      <c r="I304" t="n">
        <v>10.1</v>
      </c>
      <c r="J304" t="n">
        <v>0</v>
      </c>
      <c r="K304" t="n">
        <v>0</v>
      </c>
      <c r="L304" t="n">
        <v>0</v>
      </c>
      <c r="M304" t="n">
        <v>0</v>
      </c>
      <c r="N304" t="n">
        <v>0</v>
      </c>
      <c r="O304" t="n">
        <v>0</v>
      </c>
      <c r="P304" t="n">
        <v>0</v>
      </c>
      <c r="Q304" t="n">
        <v>0</v>
      </c>
      <c r="R304" t="n">
        <v>0</v>
      </c>
      <c r="S304" t="n">
        <v>0</v>
      </c>
      <c r="T304" t="n">
        <v>0</v>
      </c>
      <c r="U304" s="2" t="inlineStr"/>
    </row>
    <row r="305" ht="15" customHeight="1">
      <c r="A305" t="inlineStr">
        <is>
          <t>A 1387-2025</t>
        </is>
      </c>
      <c r="B305" t="inlineStr">
        <is>
          <t>avverkningsanmälan</t>
        </is>
      </c>
      <c r="C305" t="inlineStr">
        <is>
          <t>Föryngringsavverkning</t>
        </is>
      </c>
      <c r="D305" s="1" t="n">
        <v>45667</v>
      </c>
      <c r="E305" s="1" t="n">
        <v>46216</v>
      </c>
      <c r="F305" t="inlineStr">
        <is>
          <t>VÄSTMANLANDS LÄN</t>
        </is>
      </c>
      <c r="G305" t="inlineStr">
        <is>
          <t>KÖPING</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57496-2024</t>
        </is>
      </c>
      <c r="B306" t="inlineStr">
        <is>
          <t>avverkningsanmälan</t>
        </is>
      </c>
      <c r="C306" t="inlineStr">
        <is>
          <t>Föryngringsavverkning</t>
        </is>
      </c>
      <c r="D306" s="1" t="n">
        <v>45630</v>
      </c>
      <c r="E306" s="1" t="n">
        <v>46216</v>
      </c>
      <c r="F306" t="inlineStr">
        <is>
          <t>VÄSTMANLANDS LÄN</t>
        </is>
      </c>
      <c r="G306" t="inlineStr">
        <is>
          <t>KÖPING</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50409-2024</t>
        </is>
      </c>
      <c r="B307" t="inlineStr">
        <is>
          <t>avverkningsanmälan</t>
        </is>
      </c>
      <c r="C307" t="inlineStr">
        <is>
          <t>Föryngringsavverkning</t>
        </is>
      </c>
      <c r="D307" s="1" t="n">
        <v>45601</v>
      </c>
      <c r="E307" s="1" t="n">
        <v>46216</v>
      </c>
      <c r="F307" t="inlineStr">
        <is>
          <t>VÄSTMANLANDS LÄN</t>
        </is>
      </c>
      <c r="G307" t="inlineStr">
        <is>
          <t>KÖPING</t>
        </is>
      </c>
      <c r="I307" t="n">
        <v>5.5</v>
      </c>
      <c r="J307" t="n">
        <v>0</v>
      </c>
      <c r="K307" t="n">
        <v>0</v>
      </c>
      <c r="L307" t="n">
        <v>0</v>
      </c>
      <c r="M307" t="n">
        <v>0</v>
      </c>
      <c r="N307" t="n">
        <v>0</v>
      </c>
      <c r="O307" t="n">
        <v>0</v>
      </c>
      <c r="P307" t="n">
        <v>0</v>
      </c>
      <c r="Q307" t="n">
        <v>0</v>
      </c>
      <c r="R307" t="n">
        <v>0</v>
      </c>
      <c r="S307" t="n">
        <v>0</v>
      </c>
      <c r="T307" t="n">
        <v>0</v>
      </c>
      <c r="U307" s="2" t="inlineStr"/>
    </row>
    <row r="308" ht="15" customHeight="1">
      <c r="A308" t="inlineStr">
        <is>
          <t>A 1360-2024</t>
        </is>
      </c>
      <c r="B308" t="inlineStr">
        <is>
          <t>avverkningsanmälan</t>
        </is>
      </c>
      <c r="C308" t="inlineStr">
        <is>
          <t>Föryngringsavverkning</t>
        </is>
      </c>
      <c r="D308" s="1" t="n">
        <v>45303</v>
      </c>
      <c r="E308" s="1" t="n">
        <v>46216</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895-2025</t>
        </is>
      </c>
      <c r="B309" t="inlineStr">
        <is>
          <t>avverkningsanmälan</t>
        </is>
      </c>
      <c r="C309" t="inlineStr">
        <is>
          <t>Avverkning för annat ändamål</t>
        </is>
      </c>
      <c r="D309" s="1" t="n">
        <v>45665</v>
      </c>
      <c r="E309" s="1" t="n">
        <v>46216</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34436-2024</t>
        </is>
      </c>
      <c r="B310" t="inlineStr">
        <is>
          <t>avverkningsanmälan</t>
        </is>
      </c>
      <c r="C310" t="inlineStr">
        <is>
          <t>Föryngringsavverkning</t>
        </is>
      </c>
      <c r="D310" s="1" t="n">
        <v>45525</v>
      </c>
      <c r="E310" s="1" t="n">
        <v>46216</v>
      </c>
      <c r="F310" t="inlineStr">
        <is>
          <t>VÄSTMANLANDS LÄN</t>
        </is>
      </c>
      <c r="G310" t="inlineStr">
        <is>
          <t>KÖPING</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28902-2024</t>
        </is>
      </c>
      <c r="B311" t="inlineStr">
        <is>
          <t>avverkningsanmälan</t>
        </is>
      </c>
      <c r="C311" t="inlineStr">
        <is>
          <t>Föryngringsavverkning</t>
        </is>
      </c>
      <c r="D311" s="1" t="n">
        <v>45480</v>
      </c>
      <c r="E311" s="1" t="n">
        <v>46216</v>
      </c>
      <c r="F311" t="inlineStr">
        <is>
          <t>VÄSTMANLANDS LÄN</t>
        </is>
      </c>
      <c r="G311" t="inlineStr">
        <is>
          <t>KÖPING</t>
        </is>
      </c>
      <c r="I311" t="n">
        <v>4.6</v>
      </c>
      <c r="J311" t="n">
        <v>0</v>
      </c>
      <c r="K311" t="n">
        <v>0</v>
      </c>
      <c r="L311" t="n">
        <v>0</v>
      </c>
      <c r="M311" t="n">
        <v>0</v>
      </c>
      <c r="N311" t="n">
        <v>0</v>
      </c>
      <c r="O311" t="n">
        <v>0</v>
      </c>
      <c r="P311" t="n">
        <v>0</v>
      </c>
      <c r="Q311" t="n">
        <v>0</v>
      </c>
      <c r="R311" t="n">
        <v>0</v>
      </c>
      <c r="S311" t="n">
        <v>0</v>
      </c>
      <c r="T311" t="n">
        <v>0</v>
      </c>
      <c r="U311" s="2" t="inlineStr"/>
    </row>
    <row r="312" ht="15" customHeight="1">
      <c r="A312" t="inlineStr">
        <is>
          <t>A 857-2025</t>
        </is>
      </c>
      <c r="B312" t="inlineStr">
        <is>
          <t>avverkningsanmälan</t>
        </is>
      </c>
      <c r="C312" t="inlineStr">
        <is>
          <t>Avverkning för annat ändamål</t>
        </is>
      </c>
      <c r="D312" s="1" t="n">
        <v>45665</v>
      </c>
      <c r="E312" s="1" t="n">
        <v>46216</v>
      </c>
      <c r="F312" t="inlineStr">
        <is>
          <t>VÄSTMANLANDS LÄN</t>
        </is>
      </c>
      <c r="G312" t="inlineStr">
        <is>
          <t>KÖPING</t>
        </is>
      </c>
      <c r="I312" t="n">
        <v>4.2</v>
      </c>
      <c r="J312" t="n">
        <v>0</v>
      </c>
      <c r="K312" t="n">
        <v>0</v>
      </c>
      <c r="L312" t="n">
        <v>0</v>
      </c>
      <c r="M312" t="n">
        <v>0</v>
      </c>
      <c r="N312" t="n">
        <v>0</v>
      </c>
      <c r="O312" t="n">
        <v>0</v>
      </c>
      <c r="P312" t="n">
        <v>0</v>
      </c>
      <c r="Q312" t="n">
        <v>0</v>
      </c>
      <c r="R312" t="n">
        <v>0</v>
      </c>
      <c r="S312" t="n">
        <v>0</v>
      </c>
      <c r="T312" t="n">
        <v>0</v>
      </c>
      <c r="U312" s="2" t="inlineStr"/>
    </row>
    <row r="313" ht="15" customHeight="1">
      <c r="A313" t="inlineStr">
        <is>
          <t>A 24481-2025</t>
        </is>
      </c>
      <c r="B313" t="inlineStr">
        <is>
          <t>avverkningsanmälan</t>
        </is>
      </c>
      <c r="C313" t="inlineStr">
        <is>
          <t>Föryngringsavverkning</t>
        </is>
      </c>
      <c r="D313" s="1" t="n">
        <v>45798</v>
      </c>
      <c r="E313" s="1" t="n">
        <v>46216</v>
      </c>
      <c r="F313" t="inlineStr">
        <is>
          <t>VÄSTMANLANDS LÄN</t>
        </is>
      </c>
      <c r="G313" t="inlineStr">
        <is>
          <t>KÖPING</t>
        </is>
      </c>
      <c r="H313" t="inlineStr">
        <is>
          <t>Sveaskog</t>
        </is>
      </c>
      <c r="I313" t="n">
        <v>4.3</v>
      </c>
      <c r="J313" t="n">
        <v>0</v>
      </c>
      <c r="K313" t="n">
        <v>0</v>
      </c>
      <c r="L313" t="n">
        <v>0</v>
      </c>
      <c r="M313" t="n">
        <v>0</v>
      </c>
      <c r="N313" t="n">
        <v>0</v>
      </c>
      <c r="O313" t="n">
        <v>0</v>
      </c>
      <c r="P313" t="n">
        <v>0</v>
      </c>
      <c r="Q313" t="n">
        <v>0</v>
      </c>
      <c r="R313" t="n">
        <v>0</v>
      </c>
      <c r="S313" t="n">
        <v>0</v>
      </c>
      <c r="T313" t="n">
        <v>0</v>
      </c>
      <c r="U313" s="2" t="inlineStr"/>
    </row>
    <row r="314" ht="15" customHeight="1">
      <c r="A314" t="inlineStr">
        <is>
          <t>A 24469-2025</t>
        </is>
      </c>
      <c r="B314" t="inlineStr">
        <is>
          <t>avverkningsanmälan</t>
        </is>
      </c>
      <c r="C314" t="inlineStr">
        <is>
          <t>Föryngringsavverkning</t>
        </is>
      </c>
      <c r="D314" s="1" t="n">
        <v>45798</v>
      </c>
      <c r="E314" s="1" t="n">
        <v>46216</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24471-2025</t>
        </is>
      </c>
      <c r="B315" t="inlineStr">
        <is>
          <t>avverkningsanmälan</t>
        </is>
      </c>
      <c r="C315" t="inlineStr">
        <is>
          <t>Föryngringsavverkning</t>
        </is>
      </c>
      <c r="D315" s="1" t="n">
        <v>45798</v>
      </c>
      <c r="E315" s="1" t="n">
        <v>46216</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s="2" t="inlineStr"/>
    </row>
    <row r="316" ht="15" customHeight="1">
      <c r="A316" t="inlineStr">
        <is>
          <t>A 28904-2024</t>
        </is>
      </c>
      <c r="B316" t="inlineStr">
        <is>
          <t>avverkningsanmälan</t>
        </is>
      </c>
      <c r="C316" t="inlineStr">
        <is>
          <t>Föryngringsavverkning</t>
        </is>
      </c>
      <c r="D316" s="1" t="n">
        <v>45480</v>
      </c>
      <c r="E316" s="1" t="n">
        <v>46216</v>
      </c>
      <c r="F316" t="inlineStr">
        <is>
          <t>VÄSTMANLANDS LÄN</t>
        </is>
      </c>
      <c r="G316" t="inlineStr">
        <is>
          <t>KÖPING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24472-2025</t>
        </is>
      </c>
      <c r="B317" t="inlineStr">
        <is>
          <t>avverkningsanmälan</t>
        </is>
      </c>
      <c r="C317" t="inlineStr">
        <is>
          <t>Föryngringsavverkning</t>
        </is>
      </c>
      <c r="D317" s="1" t="n">
        <v>45798</v>
      </c>
      <c r="E317" s="1" t="n">
        <v>46216</v>
      </c>
      <c r="F317" t="inlineStr">
        <is>
          <t>VÄSTMANLANDS LÄN</t>
        </is>
      </c>
      <c r="G317" t="inlineStr">
        <is>
          <t>KÖPING</t>
        </is>
      </c>
      <c r="H317" t="inlineStr">
        <is>
          <t>Sveaskog</t>
        </is>
      </c>
      <c r="I317" t="n">
        <v>5.5</v>
      </c>
      <c r="J317" t="n">
        <v>0</v>
      </c>
      <c r="K317" t="n">
        <v>0</v>
      </c>
      <c r="L317" t="n">
        <v>0</v>
      </c>
      <c r="M317" t="n">
        <v>0</v>
      </c>
      <c r="N317" t="n">
        <v>0</v>
      </c>
      <c r="O317" t="n">
        <v>0</v>
      </c>
      <c r="P317" t="n">
        <v>0</v>
      </c>
      <c r="Q317" t="n">
        <v>0</v>
      </c>
      <c r="R317" t="n">
        <v>0</v>
      </c>
      <c r="S317" t="n">
        <v>0</v>
      </c>
      <c r="T317" t="n">
        <v>0</v>
      </c>
      <c r="U317" s="2" t="inlineStr"/>
    </row>
    <row r="318" ht="15" customHeight="1">
      <c r="A318" t="inlineStr">
        <is>
          <t>A 24478-2025</t>
        </is>
      </c>
      <c r="B318" t="inlineStr">
        <is>
          <t>avverkningsanmälan</t>
        </is>
      </c>
      <c r="C318" t="inlineStr">
        <is>
          <t>Föryngringsavverkning</t>
        </is>
      </c>
      <c r="D318" s="1" t="n">
        <v>45798</v>
      </c>
      <c r="E318" s="1" t="n">
        <v>46216</v>
      </c>
      <c r="F318" t="inlineStr">
        <is>
          <t>VÄSTMANLANDS LÄN</t>
        </is>
      </c>
      <c r="G318" t="inlineStr">
        <is>
          <t>KÖPING</t>
        </is>
      </c>
      <c r="H318" t="inlineStr">
        <is>
          <t>Sveaskog</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1440-2025</t>
        </is>
      </c>
      <c r="B319" t="inlineStr">
        <is>
          <t>avverkningsanmälan</t>
        </is>
      </c>
      <c r="C319" t="inlineStr">
        <is>
          <t>Föryngringsavverkning</t>
        </is>
      </c>
      <c r="D319" s="1" t="n">
        <v>45669</v>
      </c>
      <c r="E319" s="1" t="n">
        <v>46216</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S 2954-2022</t>
        </is>
      </c>
      <c r="B320" t="inlineStr">
        <is>
          <t>samrådsanmälan</t>
        </is>
      </c>
      <c r="C320" t="inlineStr">
        <is>
          <t>Åtgärd i nyckelbiotop</t>
        </is>
      </c>
      <c r="D320" s="1" t="n">
        <v>44712</v>
      </c>
      <c r="E320" s="1" t="n">
        <v>46216</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s="2" t="inlineStr"/>
    </row>
    <row r="321" ht="15" customHeight="1">
      <c r="A321" t="inlineStr">
        <is>
          <t>S 2007-2025</t>
        </is>
      </c>
      <c r="B321" t="inlineStr">
        <is>
          <t>samrådsanmälan</t>
        </is>
      </c>
      <c r="C321" t="inlineStr">
        <is>
          <t>Annan skogsbruksåtgärd</t>
        </is>
      </c>
      <c r="D321" s="1" t="n">
        <v>45834</v>
      </c>
      <c r="E321" s="1" t="n">
        <v>46216</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S 862-2025</t>
        </is>
      </c>
      <c r="B322" t="inlineStr">
        <is>
          <t>samrådsanmälan</t>
        </is>
      </c>
      <c r="C322" t="inlineStr">
        <is>
          <t>Annan skogsbruksåtgärd</t>
        </is>
      </c>
      <c r="D322" s="1" t="n">
        <v>45734</v>
      </c>
      <c r="E322" s="1" t="n">
        <v>46216</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S 863-2025</t>
        </is>
      </c>
      <c r="B323" t="inlineStr">
        <is>
          <t>samrådsanmälan</t>
        </is>
      </c>
      <c r="C323" t="inlineStr">
        <is>
          <t>Annan skogsbruksåtgärd</t>
        </is>
      </c>
      <c r="D323" s="1" t="n">
        <v>45734</v>
      </c>
      <c r="E323" s="1" t="n">
        <v>46216</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S 864-2025</t>
        </is>
      </c>
      <c r="B324" t="inlineStr">
        <is>
          <t>samrådsanmälan</t>
        </is>
      </c>
      <c r="C324" t="inlineStr">
        <is>
          <t>Annan skogsbruksåtgärd</t>
        </is>
      </c>
      <c r="D324" s="1" t="n">
        <v>45734</v>
      </c>
      <c r="E324" s="1" t="n">
        <v>46216</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S 2720-2025</t>
        </is>
      </c>
      <c r="B325" t="inlineStr">
        <is>
          <t>samrådsanmälan</t>
        </is>
      </c>
      <c r="C325" t="inlineStr">
        <is>
          <t>Annan skogsbruksåtgärd</t>
        </is>
      </c>
      <c r="D325" s="1" t="n">
        <v>45931</v>
      </c>
      <c r="E325" s="1" t="n">
        <v>46216</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s="2" t="inlineStr"/>
    </row>
    <row r="326">
      <c r="A326" t="inlineStr">
        <is>
          <t>S 1799-2026</t>
        </is>
      </c>
      <c r="B326" t="inlineStr">
        <is>
          <t>samrådsanmälan</t>
        </is>
      </c>
      <c r="C326" t="inlineStr">
        <is>
          <t>Annan skogsbruksåtgärd</t>
        </is>
      </c>
      <c r="D326" s="1" t="n">
        <v>46196</v>
      </c>
      <c r="E326" s="1" t="n">
        <v>46216</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2026-07-13T14:48:37Z</dcterms:created>
  <dcterms:modified xmlns:dcterms="http://purl.org/dc/terms/" xmlns:xsi="http://www.w3.org/2001/XMLSchema-instance" xsi:type="dcterms:W3CDTF">2026-07-13T14:48:38Z</dcterms:modified>
</cp:coreProperties>
</file>