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3630-2024</t>
        </is>
      </c>
      <c r="B2" t="inlineStr">
        <is>
          <t>samrådsanmälan</t>
        </is>
      </c>
      <c r="C2" t="inlineStr">
        <is>
          <t>Skogsgödsling</t>
        </is>
      </c>
      <c r="D2" s="1" t="n">
        <v>45548</v>
      </c>
      <c r="E2" s="1" t="n">
        <v>46218</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V2">
        <f>HYPERLINK("https://klasma.github.io/Logging_1983/artfynd/S 3630-2024 artfynd.xlsx", "S 3630-2024")</f>
        <v/>
      </c>
      <c r="W2">
        <f>HYPERLINK("https://klasma.github.io/Logging_1983/kartor/S 3630-2024 karta.png", "S 3630-2024")</f>
        <v/>
      </c>
      <c r="Y2">
        <f>HYPERLINK("https://klasma.github.io/Logging_1983/klagomål/S 3630-2024 FSC-klagomål.docx", "S 3630-2024")</f>
        <v/>
      </c>
      <c r="Z2">
        <f>HYPERLINK("https://klasma.github.io/Logging_1983/klagomålsmail/S 3630-2024 FSC-klagomål mail.docx", "S 3630-2024")</f>
        <v/>
      </c>
      <c r="AA2">
        <f>HYPERLINK("https://klasma.github.io/Logging_1983/tillsyn/S 3630-2024 tillsynsbegäran.docx", "S 3630-2024")</f>
        <v/>
      </c>
      <c r="AB2">
        <f>HYPERLINK("https://klasma.github.io/Logging_1983/tillsynsmail/S 3630-2024 tillsynsbegäran mail.docx", "S 3630-2024")</f>
        <v/>
      </c>
      <c r="AC2">
        <f>HYPERLINK("https://klasma.github.io/Logging_1983/fåglar/S 3630-2024 prioriterade fågelarter.docx", "S 3630-2024")</f>
        <v/>
      </c>
    </row>
    <row r="3" ht="15" customHeight="1">
      <c r="A3" t="inlineStr">
        <is>
          <t>A 35206-2025</t>
        </is>
      </c>
      <c r="B3" t="inlineStr">
        <is>
          <t>avverkningsanmälan</t>
        </is>
      </c>
      <c r="C3" t="inlineStr">
        <is>
          <t>Föryngringsavverkning</t>
        </is>
      </c>
      <c r="D3" s="1" t="n">
        <v>45853</v>
      </c>
      <c r="E3" s="1" t="n">
        <v>46218</v>
      </c>
      <c r="F3" t="inlineStr">
        <is>
          <t>VÄSTMANLANDS LÄN</t>
        </is>
      </c>
      <c r="G3" t="inlineStr">
        <is>
          <t>KÖPING</t>
        </is>
      </c>
      <c r="H3" t="inlineStr">
        <is>
          <t>Allmännings- och besparingsskogar</t>
        </is>
      </c>
      <c r="I3" t="n">
        <v>9.800000000000001</v>
      </c>
      <c r="J3" t="n">
        <v>4</v>
      </c>
      <c r="K3" t="n">
        <v>1</v>
      </c>
      <c r="L3" t="n">
        <v>1</v>
      </c>
      <c r="M3" t="n">
        <v>1</v>
      </c>
      <c r="N3" t="n">
        <v>0</v>
      </c>
      <c r="O3" t="n">
        <v>0</v>
      </c>
      <c r="P3" t="n">
        <v>0</v>
      </c>
      <c r="Q3" t="n">
        <v>2</v>
      </c>
      <c r="R3" t="n">
        <v>1</v>
      </c>
      <c r="S3" t="n">
        <v>5</v>
      </c>
      <c r="T3" t="n">
        <v>17</v>
      </c>
      <c r="U3" s="2" t="inlineStr">
        <is>
          <t>Knärot
Talltita
Bronshjon
Spillkråka
Tjäder</t>
        </is>
      </c>
      <c r="V3">
        <f>HYPERLINK("https://klasma.github.io/Logging_1983/artfynd/A 35206-2025 artfynd.xlsx", "A 35206-2025")</f>
        <v/>
      </c>
      <c r="W3">
        <f>HYPERLINK("https://klasma.github.io/Logging_1983/kartor/A 35206-2025 karta.png", "A 35206-2025")</f>
        <v/>
      </c>
      <c r="X3">
        <f>HYPERLINK("https://klasma.github.io/Logging_1983/knärot/A 35206-2025 karta knärot.png", "A 35206-2025")</f>
        <v/>
      </c>
      <c r="Y3">
        <f>HYPERLINK("https://klasma.github.io/Logging_1983/klagomål/A 35206-2025 FSC-klagomål.docx", "A 35206-2025")</f>
        <v/>
      </c>
      <c r="Z3">
        <f>HYPERLINK("https://klasma.github.io/Logging_1983/klagomålsmail/A 35206-2025 FSC-klagomål mail.docx", "A 35206-2025")</f>
        <v/>
      </c>
      <c r="AA3">
        <f>HYPERLINK("https://klasma.github.io/Logging_1983/tillsyn/A 35206-2025 tillsynsbegäran.docx", "A 35206-2025")</f>
        <v/>
      </c>
      <c r="AB3">
        <f>HYPERLINK("https://klasma.github.io/Logging_1983/tillsynsmail/A 35206-2025 tillsynsbegäran mail.docx", "A 35206-2025")</f>
        <v/>
      </c>
      <c r="AC3">
        <f>HYPERLINK("https://klasma.github.io/Logging_1983/fåglar/A 35206-2025 prioriterade fågelarter.docx", "A 35206-2025")</f>
        <v/>
      </c>
    </row>
    <row r="4" ht="15" customHeight="1">
      <c r="A4" t="inlineStr">
        <is>
          <t>A 5712-2026</t>
        </is>
      </c>
      <c r="B4" t="inlineStr">
        <is>
          <t>avverkningsanmälan</t>
        </is>
      </c>
      <c r="C4" t="inlineStr">
        <is>
          <t>Föryngringsavverkning</t>
        </is>
      </c>
      <c r="D4" s="1" t="n">
        <v>46051</v>
      </c>
      <c r="E4" s="1" t="n">
        <v>46218</v>
      </c>
      <c r="F4" t="inlineStr">
        <is>
          <t>VÄSTMANLANDS LÄN</t>
        </is>
      </c>
      <c r="G4" t="inlineStr">
        <is>
          <t>KÖPING</t>
        </is>
      </c>
      <c r="H4" t="inlineStr">
        <is>
          <t>Sveaskog</t>
        </is>
      </c>
      <c r="I4" t="n">
        <v>4</v>
      </c>
      <c r="J4" t="n">
        <v>4</v>
      </c>
      <c r="K4" t="n">
        <v>1</v>
      </c>
      <c r="L4" t="n">
        <v>0</v>
      </c>
      <c r="M4" t="n">
        <v>1</v>
      </c>
      <c r="N4" t="n">
        <v>0</v>
      </c>
      <c r="O4" t="n">
        <v>0</v>
      </c>
      <c r="P4" t="n">
        <v>0</v>
      </c>
      <c r="Q4" t="n">
        <v>1</v>
      </c>
      <c r="R4" t="n">
        <v>1</v>
      </c>
      <c r="S4" t="n">
        <v>5</v>
      </c>
      <c r="T4" t="n">
        <v>5</v>
      </c>
      <c r="U4" s="2" t="inlineStr">
        <is>
          <t>Lappuggla
Kärrkammossa
Tjäder
Större vattensalamander
Käppkrokmossa</t>
        </is>
      </c>
      <c r="V4">
        <f>HYPERLINK("https://klasma.github.io/Logging_1983/artfynd/A 5712-2026 artfynd.xlsx", "A 5712-2026")</f>
        <v/>
      </c>
      <c r="W4">
        <f>HYPERLINK("https://klasma.github.io/Logging_1983/kartor/A 5712-2026 karta.png", "A 5712-2026")</f>
        <v/>
      </c>
      <c r="Y4">
        <f>HYPERLINK("https://klasma.github.io/Logging_1983/klagomål/A 5712-2026 FSC-klagomål.docx", "A 5712-2026")</f>
        <v/>
      </c>
      <c r="Z4">
        <f>HYPERLINK("https://klasma.github.io/Logging_1983/klagomålsmail/A 5712-2026 FSC-klagomål mail.docx", "A 5712-2026")</f>
        <v/>
      </c>
      <c r="AA4">
        <f>HYPERLINK("https://klasma.github.io/Logging_1983/tillsyn/A 5712-2026 tillsynsbegäran.docx", "A 5712-2026")</f>
        <v/>
      </c>
      <c r="AB4">
        <f>HYPERLINK("https://klasma.github.io/Logging_1983/tillsynsmail/A 5712-2026 tillsynsbegäran mail.docx", "A 5712-2026")</f>
        <v/>
      </c>
      <c r="AC4">
        <f>HYPERLINK("https://klasma.github.io/Logging_1983/fåglar/A 5712-2026 prioriterade fågelarter.docx", "A 5712-2026")</f>
        <v/>
      </c>
    </row>
    <row r="5" ht="15" customHeight="1">
      <c r="A5" t="inlineStr">
        <is>
          <t>A 56048-2024</t>
        </is>
      </c>
      <c r="B5" t="inlineStr">
        <is>
          <t>avverkningsanmälan</t>
        </is>
      </c>
      <c r="C5" t="inlineStr">
        <is>
          <t>Föryngringsavverkning</t>
        </is>
      </c>
      <c r="D5" s="1" t="n">
        <v>45624</v>
      </c>
      <c r="E5" s="1" t="n">
        <v>46218</v>
      </c>
      <c r="F5" t="inlineStr">
        <is>
          <t>VÄSTMANLANDS LÄN</t>
        </is>
      </c>
      <c r="G5" t="inlineStr">
        <is>
          <t>KÖPING</t>
        </is>
      </c>
      <c r="I5" t="n">
        <v>10.1</v>
      </c>
      <c r="J5" t="n">
        <v>3</v>
      </c>
      <c r="K5" t="n">
        <v>2</v>
      </c>
      <c r="L5" t="n">
        <v>0</v>
      </c>
      <c r="M5" t="n">
        <v>1</v>
      </c>
      <c r="N5" t="n">
        <v>0</v>
      </c>
      <c r="O5" t="n">
        <v>0</v>
      </c>
      <c r="P5" t="n">
        <v>0</v>
      </c>
      <c r="Q5" t="n">
        <v>1</v>
      </c>
      <c r="R5" t="n">
        <v>1</v>
      </c>
      <c r="S5" t="n">
        <v>5</v>
      </c>
      <c r="T5" t="n">
        <v>9</v>
      </c>
      <c r="U5" s="2" t="inlineStr">
        <is>
          <t>Knärot
Bronshjon
Mindre märgborre
Spillkråka
Revlummer</t>
        </is>
      </c>
      <c r="V5">
        <f>HYPERLINK("https://klasma.github.io/Logging_1983/artfynd/A 56048-2024 artfynd.xlsx", "A 56048-2024")</f>
        <v/>
      </c>
      <c r="W5">
        <f>HYPERLINK("https://klasma.github.io/Logging_1983/kartor/A 56048-2024 karta.png", "A 56048-2024")</f>
        <v/>
      </c>
      <c r="X5">
        <f>HYPERLINK("https://klasma.github.io/Logging_1983/knärot/A 56048-2024 karta knärot.png", "A 56048-2024")</f>
        <v/>
      </c>
      <c r="Y5">
        <f>HYPERLINK("https://klasma.github.io/Logging_1983/klagomål/A 56048-2024 FSC-klagomål.docx", "A 56048-2024")</f>
        <v/>
      </c>
      <c r="Z5">
        <f>HYPERLINK("https://klasma.github.io/Logging_1983/klagomålsmail/A 56048-2024 FSC-klagomål mail.docx", "A 56048-2024")</f>
        <v/>
      </c>
      <c r="AA5">
        <f>HYPERLINK("https://klasma.github.io/Logging_1983/tillsyn/A 56048-2024 tillsynsbegäran.docx", "A 56048-2024")</f>
        <v/>
      </c>
      <c r="AB5">
        <f>HYPERLINK("https://klasma.github.io/Logging_1983/tillsynsmail/A 56048-2024 tillsynsbegäran mail.docx", "A 56048-2024")</f>
        <v/>
      </c>
      <c r="AC5">
        <f>HYPERLINK("https://klasma.github.io/Logging_1983/fåglar/A 56048-2024 prioriterade fågelarter.docx", "A 56048-2024")</f>
        <v/>
      </c>
    </row>
    <row r="6" ht="15" customHeight="1">
      <c r="A6" t="inlineStr">
        <is>
          <t>A 58654-2023</t>
        </is>
      </c>
      <c r="B6" t="inlineStr">
        <is>
          <t>avverkningsanmälan</t>
        </is>
      </c>
      <c r="C6" t="inlineStr">
        <is>
          <t>Föryngringsavverkning</t>
        </is>
      </c>
      <c r="D6" s="1" t="n">
        <v>45251</v>
      </c>
      <c r="E6" s="1" t="n">
        <v>46218</v>
      </c>
      <c r="F6" t="inlineStr">
        <is>
          <t>VÄSTMANLANDS LÄN</t>
        </is>
      </c>
      <c r="G6" t="inlineStr">
        <is>
          <t>KÖPING</t>
        </is>
      </c>
      <c r="I6" t="n">
        <v>10.6</v>
      </c>
      <c r="J6" t="n">
        <v>1</v>
      </c>
      <c r="K6" t="n">
        <v>1</v>
      </c>
      <c r="L6" t="n">
        <v>3</v>
      </c>
      <c r="M6" t="n">
        <v>0</v>
      </c>
      <c r="N6" t="n">
        <v>0</v>
      </c>
      <c r="O6" t="n">
        <v>0</v>
      </c>
      <c r="P6" t="n">
        <v>0</v>
      </c>
      <c r="Q6" t="n">
        <v>3</v>
      </c>
      <c r="R6" t="n">
        <v>0</v>
      </c>
      <c r="S6" t="n">
        <v>4</v>
      </c>
      <c r="T6" t="n">
        <v>9</v>
      </c>
      <c r="U6" s="2" t="inlineStr">
        <is>
          <t>Gropticka
Tretåig hackspett
Ullticka
Blåmossa</t>
        </is>
      </c>
      <c r="V6">
        <f>HYPERLINK("https://klasma.github.io/Logging_1983/artfynd/A 58654-2023 artfynd.xlsx", "A 58654-2023")</f>
        <v/>
      </c>
      <c r="W6">
        <f>HYPERLINK("https://klasma.github.io/Logging_1983/kartor/A 58654-2023 karta.png", "A 58654-2023")</f>
        <v/>
      </c>
      <c r="Y6">
        <f>HYPERLINK("https://klasma.github.io/Logging_1983/klagomål/A 58654-2023 FSC-klagomål.docx", "A 58654-2023")</f>
        <v/>
      </c>
      <c r="Z6">
        <f>HYPERLINK("https://klasma.github.io/Logging_1983/klagomålsmail/A 58654-2023 FSC-klagomål mail.docx", "A 58654-2023")</f>
        <v/>
      </c>
      <c r="AA6">
        <f>HYPERLINK("https://klasma.github.io/Logging_1983/tillsyn/A 58654-2023 tillsynsbegäran.docx", "A 58654-2023")</f>
        <v/>
      </c>
      <c r="AB6">
        <f>HYPERLINK("https://klasma.github.io/Logging_1983/tillsynsmail/A 58654-2023 tillsynsbegäran mail.docx", "A 58654-2023")</f>
        <v/>
      </c>
      <c r="AC6">
        <f>HYPERLINK("https://klasma.github.io/Logging_1983/fåglar/A 58654-2023 prioriterade fågelarter.docx", "A 58654-2023")</f>
        <v/>
      </c>
    </row>
    <row r="7" ht="15" customHeight="1">
      <c r="A7" t="inlineStr">
        <is>
          <t>A 61897-2022</t>
        </is>
      </c>
      <c r="B7" t="inlineStr">
        <is>
          <t>avverkningsanmälan</t>
        </is>
      </c>
      <c r="C7" t="inlineStr">
        <is>
          <t>Föryngringsavverkning</t>
        </is>
      </c>
      <c r="D7" s="1" t="n">
        <v>44917</v>
      </c>
      <c r="E7" s="1" t="n">
        <v>46218</v>
      </c>
      <c r="F7" t="inlineStr">
        <is>
          <t>VÄSTMANLANDS LÄN</t>
        </is>
      </c>
      <c r="G7" t="inlineStr">
        <is>
          <t>KÖPING</t>
        </is>
      </c>
      <c r="I7" t="n">
        <v>8.1</v>
      </c>
      <c r="J7" t="n">
        <v>0</v>
      </c>
      <c r="K7" t="n">
        <v>3</v>
      </c>
      <c r="L7" t="n">
        <v>0</v>
      </c>
      <c r="M7" t="n">
        <v>0</v>
      </c>
      <c r="N7" t="n">
        <v>0</v>
      </c>
      <c r="O7" t="n">
        <v>0</v>
      </c>
      <c r="P7" t="n">
        <v>0</v>
      </c>
      <c r="Q7" t="n">
        <v>0</v>
      </c>
      <c r="R7" t="n">
        <v>0</v>
      </c>
      <c r="S7" t="n">
        <v>3</v>
      </c>
      <c r="T7" t="n">
        <v>3</v>
      </c>
      <c r="U7" s="2" t="inlineStr">
        <is>
          <t>Flagellkvastmossa
Källpraktmossa
Stor revmossa</t>
        </is>
      </c>
      <c r="V7">
        <f>HYPERLINK("https://klasma.github.io/Logging_1983/artfynd/A 61897-2022 artfynd.xlsx", "A 61897-2022")</f>
        <v/>
      </c>
      <c r="W7">
        <f>HYPERLINK("https://klasma.github.io/Logging_1983/kartor/A 61897-2022 karta.png", "A 61897-2022")</f>
        <v/>
      </c>
      <c r="Y7">
        <f>HYPERLINK("https://klasma.github.io/Logging_1983/klagomål/A 61897-2022 FSC-klagomål.docx", "A 61897-2022")</f>
        <v/>
      </c>
      <c r="Z7">
        <f>HYPERLINK("https://klasma.github.io/Logging_1983/klagomålsmail/A 61897-2022 FSC-klagomål mail.docx", "A 61897-2022")</f>
        <v/>
      </c>
      <c r="AA7">
        <f>HYPERLINK("https://klasma.github.io/Logging_1983/tillsyn/A 61897-2022 tillsynsbegäran.docx", "A 61897-2022")</f>
        <v/>
      </c>
      <c r="AB7">
        <f>HYPERLINK("https://klasma.github.io/Logging_1983/tillsynsmail/A 61897-2022 tillsynsbegäran mail.docx", "A 61897-2022")</f>
        <v/>
      </c>
    </row>
    <row r="8" ht="15" customHeight="1">
      <c r="A8" t="inlineStr">
        <is>
          <t>A 16012-2023</t>
        </is>
      </c>
      <c r="B8" t="inlineStr">
        <is>
          <t>avverkningsanmälan</t>
        </is>
      </c>
      <c r="C8" t="inlineStr">
        <is>
          <t>Föryngringsavverkning</t>
        </is>
      </c>
      <c r="D8" s="1" t="n">
        <v>45026</v>
      </c>
      <c r="E8" s="1" t="n">
        <v>46218</v>
      </c>
      <c r="F8" t="inlineStr">
        <is>
          <t>VÄSTMANLANDS LÄN</t>
        </is>
      </c>
      <c r="G8" t="inlineStr">
        <is>
          <t>KÖPING</t>
        </is>
      </c>
      <c r="I8" t="n">
        <v>19.4</v>
      </c>
      <c r="J8" t="n">
        <v>1</v>
      </c>
      <c r="K8" t="n">
        <v>1</v>
      </c>
      <c r="L8" t="n">
        <v>1</v>
      </c>
      <c r="M8" t="n">
        <v>0</v>
      </c>
      <c r="N8" t="n">
        <v>0</v>
      </c>
      <c r="O8" t="n">
        <v>0</v>
      </c>
      <c r="P8" t="n">
        <v>0</v>
      </c>
      <c r="Q8" t="n">
        <v>1</v>
      </c>
      <c r="R8" t="n">
        <v>0</v>
      </c>
      <c r="S8" t="n">
        <v>3</v>
      </c>
      <c r="T8" t="n">
        <v>3</v>
      </c>
      <c r="U8" s="2" t="inlineStr">
        <is>
          <t>Krusfrö
Kamjordstjärna
Grönvit nattviol</t>
        </is>
      </c>
      <c r="V8">
        <f>HYPERLINK("https://klasma.github.io/Logging_1983/artfynd/A 16012-2023 artfynd.xlsx", "A 16012-2023")</f>
        <v/>
      </c>
      <c r="W8">
        <f>HYPERLINK("https://klasma.github.io/Logging_1983/kartor/A 16012-2023 karta.png", "A 16012-2023")</f>
        <v/>
      </c>
      <c r="Y8">
        <f>HYPERLINK("https://klasma.github.io/Logging_1983/klagomål/A 16012-2023 FSC-klagomål.docx", "A 16012-2023")</f>
        <v/>
      </c>
      <c r="Z8">
        <f>HYPERLINK("https://klasma.github.io/Logging_1983/klagomålsmail/A 16012-2023 FSC-klagomål mail.docx", "A 16012-2023")</f>
        <v/>
      </c>
      <c r="AA8">
        <f>HYPERLINK("https://klasma.github.io/Logging_1983/tillsyn/A 16012-2023 tillsynsbegäran.docx", "A 16012-2023")</f>
        <v/>
      </c>
      <c r="AB8">
        <f>HYPERLINK("https://klasma.github.io/Logging_1983/tillsynsmail/A 16012-2023 tillsynsbegäran mail.docx", "A 16012-2023")</f>
        <v/>
      </c>
    </row>
    <row r="9" ht="15" customHeight="1">
      <c r="A9" t="inlineStr">
        <is>
          <t>A 20704-2025</t>
        </is>
      </c>
      <c r="B9" t="inlineStr">
        <is>
          <t>avverkningsanmälan</t>
        </is>
      </c>
      <c r="C9" t="inlineStr">
        <is>
          <t>Föryngringsavverkning</t>
        </is>
      </c>
      <c r="D9" s="1" t="n">
        <v>45776</v>
      </c>
      <c r="E9" s="1" t="n">
        <v>46218</v>
      </c>
      <c r="F9" t="inlineStr">
        <is>
          <t>VÄSTMANLANDS LÄN</t>
        </is>
      </c>
      <c r="G9" t="inlineStr">
        <is>
          <t>KÖPING</t>
        </is>
      </c>
      <c r="I9" t="n">
        <v>2.7</v>
      </c>
      <c r="J9" t="n">
        <v>0</v>
      </c>
      <c r="K9" t="n">
        <v>1</v>
      </c>
      <c r="L9" t="n">
        <v>2</v>
      </c>
      <c r="M9" t="n">
        <v>0</v>
      </c>
      <c r="N9" t="n">
        <v>0</v>
      </c>
      <c r="O9" t="n">
        <v>0</v>
      </c>
      <c r="P9" t="n">
        <v>0</v>
      </c>
      <c r="Q9" t="n">
        <v>2</v>
      </c>
      <c r="R9" t="n">
        <v>0</v>
      </c>
      <c r="S9" t="n">
        <v>3</v>
      </c>
      <c r="T9" t="n">
        <v>3</v>
      </c>
      <c r="U9" s="2" t="inlineStr">
        <is>
          <t>Skarp dropptaggsvamp
Vedtrappmossa
Tibast</t>
        </is>
      </c>
      <c r="V9">
        <f>HYPERLINK("https://klasma.github.io/Logging_1983/artfynd/A 20704-2025 artfynd.xlsx", "A 20704-2025")</f>
        <v/>
      </c>
      <c r="W9">
        <f>HYPERLINK("https://klasma.github.io/Logging_1983/kartor/A 20704-2025 karta.png", "A 20704-2025")</f>
        <v/>
      </c>
      <c r="Y9">
        <f>HYPERLINK("https://klasma.github.io/Logging_1983/klagomål/A 20704-2025 FSC-klagomål.docx", "A 20704-2025")</f>
        <v/>
      </c>
      <c r="Z9">
        <f>HYPERLINK("https://klasma.github.io/Logging_1983/klagomålsmail/A 20704-2025 FSC-klagomål mail.docx", "A 20704-2025")</f>
        <v/>
      </c>
      <c r="AA9">
        <f>HYPERLINK("https://klasma.github.io/Logging_1983/tillsyn/A 20704-2025 tillsynsbegäran.docx", "A 20704-2025")</f>
        <v/>
      </c>
      <c r="AB9">
        <f>HYPERLINK("https://klasma.github.io/Logging_1983/tillsynsmail/A 20704-2025 tillsynsbegäran mail.docx", "A 20704-2025")</f>
        <v/>
      </c>
    </row>
    <row r="10" ht="15" customHeight="1">
      <c r="A10" t="inlineStr">
        <is>
          <t>A 24621-2026</t>
        </is>
      </c>
      <c r="B10" t="inlineStr">
        <is>
          <t>avverkningsanmälan</t>
        </is>
      </c>
      <c r="C10" t="inlineStr">
        <is>
          <t>Föryngringsavverkning</t>
        </is>
      </c>
      <c r="D10" s="1" t="n">
        <v>46169</v>
      </c>
      <c r="E10" s="1" t="n">
        <v>46218</v>
      </c>
      <c r="F10" t="inlineStr">
        <is>
          <t>VÄSTMANLANDS LÄN</t>
        </is>
      </c>
      <c r="G10" t="inlineStr">
        <is>
          <t>KÖPING</t>
        </is>
      </c>
      <c r="I10" t="n">
        <v>16.8</v>
      </c>
      <c r="J10" t="n">
        <v>2</v>
      </c>
      <c r="K10" t="n">
        <v>0</v>
      </c>
      <c r="L10" t="n">
        <v>1</v>
      </c>
      <c r="M10" t="n">
        <v>0</v>
      </c>
      <c r="N10" t="n">
        <v>0</v>
      </c>
      <c r="O10" t="n">
        <v>0</v>
      </c>
      <c r="P10" t="n">
        <v>0</v>
      </c>
      <c r="Q10" t="n">
        <v>1</v>
      </c>
      <c r="R10" t="n">
        <v>0</v>
      </c>
      <c r="S10" t="n">
        <v>3</v>
      </c>
      <c r="T10" t="n">
        <v>4</v>
      </c>
      <c r="U10" s="2" t="inlineStr">
        <is>
          <t>Tallticka
Fläcknycklar
Ängsnycklar</t>
        </is>
      </c>
      <c r="V10">
        <f>HYPERLINK("https://klasma.github.io/Logging_1983/artfynd/A 24621-2026 artfynd.xlsx", "A 24621-2026")</f>
        <v/>
      </c>
      <c r="W10">
        <f>HYPERLINK("https://klasma.github.io/Logging_1983/kartor/A 24621-2026 karta.png", "A 24621-2026")</f>
        <v/>
      </c>
      <c r="Y10">
        <f>HYPERLINK("https://klasma.github.io/Logging_1983/klagomål/A 24621-2026 FSC-klagomål.docx", "A 24621-2026")</f>
        <v/>
      </c>
      <c r="Z10">
        <f>HYPERLINK("https://klasma.github.io/Logging_1983/klagomålsmail/A 24621-2026 FSC-klagomål mail.docx", "A 24621-2026")</f>
        <v/>
      </c>
      <c r="AA10">
        <f>HYPERLINK("https://klasma.github.io/Logging_1983/tillsyn/A 24621-2026 tillsynsbegäran.docx", "A 24621-2026")</f>
        <v/>
      </c>
      <c r="AB10">
        <f>HYPERLINK("https://klasma.github.io/Logging_1983/tillsynsmail/A 24621-2026 tillsynsbegäran mail.docx", "A 24621-2026")</f>
        <v/>
      </c>
    </row>
    <row r="11" ht="15" customHeight="1">
      <c r="A11" t="inlineStr">
        <is>
          <t>A 24483-2026</t>
        </is>
      </c>
      <c r="B11" t="inlineStr">
        <is>
          <t>avverkningsanmälan</t>
        </is>
      </c>
      <c r="C11" t="inlineStr">
        <is>
          <t>Föryngringsavverkning</t>
        </is>
      </c>
      <c r="D11" s="1" t="n">
        <v>46170</v>
      </c>
      <c r="E11" s="1" t="n">
        <v>46218</v>
      </c>
      <c r="F11" t="inlineStr">
        <is>
          <t>VÄSTMANLANDS LÄN</t>
        </is>
      </c>
      <c r="G11" t="inlineStr">
        <is>
          <t>KÖPING</t>
        </is>
      </c>
      <c r="H11" t="inlineStr">
        <is>
          <t>Sveaskog</t>
        </is>
      </c>
      <c r="I11" t="n">
        <v>8.1</v>
      </c>
      <c r="J11" t="n">
        <v>1</v>
      </c>
      <c r="K11" t="n">
        <v>0</v>
      </c>
      <c r="L11" t="n">
        <v>1</v>
      </c>
      <c r="M11" t="n">
        <v>1</v>
      </c>
      <c r="N11" t="n">
        <v>0</v>
      </c>
      <c r="O11" t="n">
        <v>0</v>
      </c>
      <c r="P11" t="n">
        <v>0</v>
      </c>
      <c r="Q11" t="n">
        <v>2</v>
      </c>
      <c r="R11" t="n">
        <v>1</v>
      </c>
      <c r="S11" t="n">
        <v>3</v>
      </c>
      <c r="T11" t="n">
        <v>3</v>
      </c>
      <c r="U11" s="2" t="inlineStr">
        <is>
          <t>Silverblåvinge
Sotnätfjäril
Mattlummer</t>
        </is>
      </c>
      <c r="V11">
        <f>HYPERLINK("https://klasma.github.io/Logging_1983/artfynd/A 24483-2026 artfynd.xlsx", "A 24483-2026")</f>
        <v/>
      </c>
      <c r="W11">
        <f>HYPERLINK("https://klasma.github.io/Logging_1983/kartor/A 24483-2026 karta.png", "A 24483-2026")</f>
        <v/>
      </c>
      <c r="Y11">
        <f>HYPERLINK("https://klasma.github.io/Logging_1983/klagomål/A 24483-2026 FSC-klagomål.docx", "A 24483-2026")</f>
        <v/>
      </c>
      <c r="Z11">
        <f>HYPERLINK("https://klasma.github.io/Logging_1983/klagomålsmail/A 24483-2026 FSC-klagomål mail.docx", "A 24483-2026")</f>
        <v/>
      </c>
      <c r="AA11">
        <f>HYPERLINK("https://klasma.github.io/Logging_1983/tillsyn/A 24483-2026 tillsynsbegäran.docx", "A 24483-2026")</f>
        <v/>
      </c>
      <c r="AB11">
        <f>HYPERLINK("https://klasma.github.io/Logging_1983/tillsynsmail/A 24483-2026 tillsynsbegäran mail.docx", "A 24483-2026")</f>
        <v/>
      </c>
    </row>
    <row r="12" ht="15" customHeight="1">
      <c r="A12" t="inlineStr">
        <is>
          <t>A 31263-2024</t>
        </is>
      </c>
      <c r="B12" t="inlineStr">
        <is>
          <t>avverkningsanmälan</t>
        </is>
      </c>
      <c r="C12" t="inlineStr">
        <is>
          <t>Föryngringsavverkning</t>
        </is>
      </c>
      <c r="D12" s="1" t="n">
        <v>45503</v>
      </c>
      <c r="E12" s="1" t="n">
        <v>46218</v>
      </c>
      <c r="F12" t="inlineStr">
        <is>
          <t>VÄSTMANLANDS LÄN</t>
        </is>
      </c>
      <c r="G12" t="inlineStr">
        <is>
          <t>KÖPING</t>
        </is>
      </c>
      <c r="I12" t="n">
        <v>12.4</v>
      </c>
      <c r="J12" t="n">
        <v>0</v>
      </c>
      <c r="K12" t="n">
        <v>0</v>
      </c>
      <c r="L12" t="n">
        <v>1</v>
      </c>
      <c r="M12" t="n">
        <v>1</v>
      </c>
      <c r="N12" t="n">
        <v>0</v>
      </c>
      <c r="O12" t="n">
        <v>0</v>
      </c>
      <c r="P12" t="n">
        <v>0</v>
      </c>
      <c r="Q12" t="n">
        <v>2</v>
      </c>
      <c r="R12" t="n">
        <v>1</v>
      </c>
      <c r="S12" t="n">
        <v>2</v>
      </c>
      <c r="T12" t="n">
        <v>3</v>
      </c>
      <c r="U12" s="2" t="inlineStr">
        <is>
          <t>Mindre bastardsvärmare
Jungfrulin</t>
        </is>
      </c>
      <c r="V12">
        <f>HYPERLINK("https://klasma.github.io/Logging_1983/artfynd/A 31263-2024 artfynd.xlsx", "A 31263-2024")</f>
        <v/>
      </c>
      <c r="W12">
        <f>HYPERLINK("https://klasma.github.io/Logging_1983/kartor/A 31263-2024 karta.png", "A 31263-2024")</f>
        <v/>
      </c>
      <c r="Y12">
        <f>HYPERLINK("https://klasma.github.io/Logging_1983/klagomål/A 31263-2024 FSC-klagomål.docx", "A 31263-2024")</f>
        <v/>
      </c>
      <c r="Z12">
        <f>HYPERLINK("https://klasma.github.io/Logging_1983/klagomålsmail/A 31263-2024 FSC-klagomål mail.docx", "A 31263-2024")</f>
        <v/>
      </c>
      <c r="AA12">
        <f>HYPERLINK("https://klasma.github.io/Logging_1983/tillsyn/A 31263-2024 tillsynsbegäran.docx", "A 31263-2024")</f>
        <v/>
      </c>
      <c r="AB12">
        <f>HYPERLINK("https://klasma.github.io/Logging_1983/tillsynsmail/A 31263-2024 tillsynsbegäran mail.docx", "A 31263-2024")</f>
        <v/>
      </c>
    </row>
    <row r="13" ht="15" customHeight="1">
      <c r="A13" t="inlineStr">
        <is>
          <t>A 20706-2025</t>
        </is>
      </c>
      <c r="B13" t="inlineStr">
        <is>
          <t>avverkningsanmälan</t>
        </is>
      </c>
      <c r="C13" t="inlineStr">
        <is>
          <t>Föryngringsavverkning</t>
        </is>
      </c>
      <c r="D13" s="1" t="n">
        <v>45776</v>
      </c>
      <c r="E13" s="1" t="n">
        <v>46218</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s="2" t="inlineStr">
        <is>
          <t>Tibast
Blåsippa</t>
        </is>
      </c>
      <c r="V13">
        <f>HYPERLINK("https://klasma.github.io/Logging_1983/artfynd/A 20706-2025 artfynd.xlsx", "A 20706-2025")</f>
        <v/>
      </c>
      <c r="W13">
        <f>HYPERLINK("https://klasma.github.io/Logging_1983/kartor/A 20706-2025 karta.png", "A 20706-2025")</f>
        <v/>
      </c>
      <c r="Y13">
        <f>HYPERLINK("https://klasma.github.io/Logging_1983/klagomål/A 20706-2025 FSC-klagomål.docx", "A 20706-2025")</f>
        <v/>
      </c>
      <c r="Z13">
        <f>HYPERLINK("https://klasma.github.io/Logging_1983/klagomålsmail/A 20706-2025 FSC-klagomål mail.docx", "A 20706-2025")</f>
        <v/>
      </c>
      <c r="AA13">
        <f>HYPERLINK("https://klasma.github.io/Logging_1983/tillsyn/A 20706-2025 tillsynsbegäran.docx", "A 20706-2025")</f>
        <v/>
      </c>
      <c r="AB13">
        <f>HYPERLINK("https://klasma.github.io/Logging_1983/tillsynsmail/A 20706-2025 tillsynsbegäran mail.docx", "A 20706-2025")</f>
        <v/>
      </c>
    </row>
    <row r="14" ht="15" customHeight="1">
      <c r="A14" t="inlineStr">
        <is>
          <t>A 26331-2026</t>
        </is>
      </c>
      <c r="B14" t="inlineStr">
        <is>
          <t>avverkningsanmälan</t>
        </is>
      </c>
      <c r="C14" t="inlineStr">
        <is>
          <t>Föryngringsavverkning</t>
        </is>
      </c>
      <c r="D14" s="1" t="n">
        <v>46182</v>
      </c>
      <c r="E14" s="1" t="n">
        <v>46218</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s="2" t="inlineStr">
        <is>
          <t>Silverblåvinge
Sotnätfjäril</t>
        </is>
      </c>
      <c r="V14">
        <f>HYPERLINK("https://klasma.github.io/Logging_1983/artfynd/A 26331-2026 artfynd.xlsx", "A 26331-2026")</f>
        <v/>
      </c>
      <c r="W14">
        <f>HYPERLINK("https://klasma.github.io/Logging_1983/kartor/A 26331-2026 karta.png", "A 26331-2026")</f>
        <v/>
      </c>
      <c r="Y14">
        <f>HYPERLINK("https://klasma.github.io/Logging_1983/klagomål/A 26331-2026 FSC-klagomål.docx", "A 26331-2026")</f>
        <v/>
      </c>
      <c r="Z14">
        <f>HYPERLINK("https://klasma.github.io/Logging_1983/klagomålsmail/A 26331-2026 FSC-klagomål mail.docx", "A 26331-2026")</f>
        <v/>
      </c>
      <c r="AA14">
        <f>HYPERLINK("https://klasma.github.io/Logging_1983/tillsyn/A 26331-2026 tillsynsbegäran.docx", "A 26331-2026")</f>
        <v/>
      </c>
      <c r="AB14">
        <f>HYPERLINK("https://klasma.github.io/Logging_1983/tillsynsmail/A 26331-2026 tillsynsbegäran mail.docx", "A 26331-2026")</f>
        <v/>
      </c>
    </row>
    <row r="15" ht="15" customHeight="1">
      <c r="A15" t="inlineStr">
        <is>
          <t>A 43942-2025</t>
        </is>
      </c>
      <c r="B15" t="inlineStr">
        <is>
          <t>avverkningsanmälan</t>
        </is>
      </c>
      <c r="C15" t="inlineStr">
        <is>
          <t>Föryngringsavverkning</t>
        </is>
      </c>
      <c r="D15" s="1" t="n">
        <v>45915</v>
      </c>
      <c r="E15" s="1" t="n">
        <v>46218</v>
      </c>
      <c r="F15" t="inlineStr">
        <is>
          <t>VÄSTMANLANDS LÄN</t>
        </is>
      </c>
      <c r="G15" t="inlineStr">
        <is>
          <t>KÖPING</t>
        </is>
      </c>
      <c r="I15" t="n">
        <v>4.2</v>
      </c>
      <c r="J15" t="n">
        <v>0</v>
      </c>
      <c r="K15" t="n">
        <v>1</v>
      </c>
      <c r="L15" t="n">
        <v>1</v>
      </c>
      <c r="M15" t="n">
        <v>0</v>
      </c>
      <c r="N15" t="n">
        <v>0</v>
      </c>
      <c r="O15" t="n">
        <v>0</v>
      </c>
      <c r="P15" t="n">
        <v>0</v>
      </c>
      <c r="Q15" t="n">
        <v>1</v>
      </c>
      <c r="R15" t="n">
        <v>0</v>
      </c>
      <c r="S15" t="n">
        <v>2</v>
      </c>
      <c r="T15" t="n">
        <v>4</v>
      </c>
      <c r="U15" s="2" t="inlineStr">
        <is>
          <t>Storgröe
Svart trolldruva</t>
        </is>
      </c>
      <c r="V15">
        <f>HYPERLINK("https://klasma.github.io/Logging_1983/artfynd/A 43942-2025 artfynd.xlsx", "A 43942-2025")</f>
        <v/>
      </c>
      <c r="W15">
        <f>HYPERLINK("https://klasma.github.io/Logging_1983/kartor/A 43942-2025 karta.png", "A 43942-2025")</f>
        <v/>
      </c>
      <c r="Y15">
        <f>HYPERLINK("https://klasma.github.io/Logging_1983/klagomål/A 43942-2025 FSC-klagomål.docx", "A 43942-2025")</f>
        <v/>
      </c>
      <c r="Z15">
        <f>HYPERLINK("https://klasma.github.io/Logging_1983/klagomålsmail/A 43942-2025 FSC-klagomål mail.docx", "A 43942-2025")</f>
        <v/>
      </c>
      <c r="AA15">
        <f>HYPERLINK("https://klasma.github.io/Logging_1983/tillsyn/A 43942-2025 tillsynsbegäran.docx", "A 43942-2025")</f>
        <v/>
      </c>
      <c r="AB15">
        <f>HYPERLINK("https://klasma.github.io/Logging_1983/tillsynsmail/A 43942-2025 tillsynsbegäran mail.docx", "A 43942-2025")</f>
        <v/>
      </c>
    </row>
    <row r="16" ht="15" customHeight="1">
      <c r="A16" t="inlineStr">
        <is>
          <t>A 53151-2021</t>
        </is>
      </c>
      <c r="B16" t="inlineStr">
        <is>
          <t>avverkningsanmälan</t>
        </is>
      </c>
      <c r="C16" t="inlineStr">
        <is>
          <t>Avverkning för att bevara och utveckla /försöksver</t>
        </is>
      </c>
      <c r="D16" s="1" t="n">
        <v>44468</v>
      </c>
      <c r="E16" s="1" t="n">
        <v>46218</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s="2" t="inlineStr">
        <is>
          <t>Skinnlav</t>
        </is>
      </c>
      <c r="V16">
        <f>HYPERLINK("https://klasma.github.io/Logging_1983/artfynd/A 53151-2021 artfynd.xlsx", "A 53151-2021")</f>
        <v/>
      </c>
      <c r="W16">
        <f>HYPERLINK("https://klasma.github.io/Logging_1983/kartor/A 53151-2021 karta.png", "A 53151-2021")</f>
        <v/>
      </c>
      <c r="Y16">
        <f>HYPERLINK("https://klasma.github.io/Logging_1983/klagomål/A 53151-2021 FSC-klagomål.docx", "A 53151-2021")</f>
        <v/>
      </c>
      <c r="Z16">
        <f>HYPERLINK("https://klasma.github.io/Logging_1983/klagomålsmail/A 53151-2021 FSC-klagomål mail.docx", "A 53151-2021")</f>
        <v/>
      </c>
      <c r="AA16">
        <f>HYPERLINK("https://klasma.github.io/Logging_1983/tillsyn/A 53151-2021 tillsynsbegäran.docx", "A 53151-2021")</f>
        <v/>
      </c>
      <c r="AB16">
        <f>HYPERLINK("https://klasma.github.io/Logging_1983/tillsynsmail/A 53151-2021 tillsynsbegäran mail.docx", "A 53151-2021")</f>
        <v/>
      </c>
    </row>
    <row r="17" ht="15" customHeight="1">
      <c r="A17" t="inlineStr">
        <is>
          <t>A 45826-2021</t>
        </is>
      </c>
      <c r="B17" t="inlineStr">
        <is>
          <t>avverkningsanmälan</t>
        </is>
      </c>
      <c r="C17" t="inlineStr">
        <is>
          <t>Föryngringsavverkning</t>
        </is>
      </c>
      <c r="D17" s="1" t="n">
        <v>44441</v>
      </c>
      <c r="E17" s="1" t="n">
        <v>46218</v>
      </c>
      <c r="F17" t="inlineStr">
        <is>
          <t>VÄSTMANLANDS LÄN</t>
        </is>
      </c>
      <c r="G17" t="inlineStr">
        <is>
          <t>KÖPING</t>
        </is>
      </c>
      <c r="I17" t="n">
        <v>9</v>
      </c>
      <c r="J17" t="n">
        <v>1</v>
      </c>
      <c r="K17" t="n">
        <v>0</v>
      </c>
      <c r="L17" t="n">
        <v>0</v>
      </c>
      <c r="M17" t="n">
        <v>0</v>
      </c>
      <c r="N17" t="n">
        <v>0</v>
      </c>
      <c r="O17" t="n">
        <v>0</v>
      </c>
      <c r="P17" t="n">
        <v>0</v>
      </c>
      <c r="Q17" t="n">
        <v>0</v>
      </c>
      <c r="R17" t="n">
        <v>0</v>
      </c>
      <c r="S17" t="n">
        <v>1</v>
      </c>
      <c r="T17" t="n">
        <v>2</v>
      </c>
      <c r="U17" s="2" t="inlineStr">
        <is>
          <t>Fläcknycklar</t>
        </is>
      </c>
      <c r="V17">
        <f>HYPERLINK("https://klasma.github.io/Logging_1983/artfynd/A 45826-2021 artfynd.xlsx", "A 45826-2021")</f>
        <v/>
      </c>
      <c r="W17">
        <f>HYPERLINK("https://klasma.github.io/Logging_1983/kartor/A 45826-2021 karta.png", "A 45826-2021")</f>
        <v/>
      </c>
      <c r="Y17">
        <f>HYPERLINK("https://klasma.github.io/Logging_1983/klagomål/A 45826-2021 FSC-klagomål.docx", "A 45826-2021")</f>
        <v/>
      </c>
      <c r="Z17">
        <f>HYPERLINK("https://klasma.github.io/Logging_1983/klagomålsmail/A 45826-2021 FSC-klagomål mail.docx", "A 45826-2021")</f>
        <v/>
      </c>
      <c r="AA17">
        <f>HYPERLINK("https://klasma.github.io/Logging_1983/tillsyn/A 45826-2021 tillsynsbegäran.docx", "A 45826-2021")</f>
        <v/>
      </c>
      <c r="AB17">
        <f>HYPERLINK("https://klasma.github.io/Logging_1983/tillsynsmail/A 45826-2021 tillsynsbegäran mail.docx", "A 45826-2021")</f>
        <v/>
      </c>
    </row>
    <row r="18" ht="15" customHeight="1">
      <c r="A18" t="inlineStr">
        <is>
          <t>A 69022-2021</t>
        </is>
      </c>
      <c r="B18" t="inlineStr">
        <is>
          <t>avverkningsanmälan</t>
        </is>
      </c>
      <c r="C18" t="inlineStr">
        <is>
          <t>Föryngringsavverkning</t>
        </is>
      </c>
      <c r="D18" s="1" t="n">
        <v>44530</v>
      </c>
      <c r="E18" s="1" t="n">
        <v>46218</v>
      </c>
      <c r="F18" t="inlineStr">
        <is>
          <t>VÄSTMANLANDS LÄN</t>
        </is>
      </c>
      <c r="G18" t="inlineStr">
        <is>
          <t>KÖPING</t>
        </is>
      </c>
      <c r="I18" t="n">
        <v>3.1</v>
      </c>
      <c r="J18" t="n">
        <v>0</v>
      </c>
      <c r="K18" t="n">
        <v>1</v>
      </c>
      <c r="L18" t="n">
        <v>0</v>
      </c>
      <c r="M18" t="n">
        <v>0</v>
      </c>
      <c r="N18" t="n">
        <v>0</v>
      </c>
      <c r="O18" t="n">
        <v>0</v>
      </c>
      <c r="P18" t="n">
        <v>0</v>
      </c>
      <c r="Q18" t="n">
        <v>0</v>
      </c>
      <c r="R18" t="n">
        <v>0</v>
      </c>
      <c r="S18" t="n">
        <v>1</v>
      </c>
      <c r="T18" t="n">
        <v>1</v>
      </c>
      <c r="U18" s="2" t="inlineStr">
        <is>
          <t>Skinnlav</t>
        </is>
      </c>
      <c r="V18">
        <f>HYPERLINK("https://klasma.github.io/Logging_1983/artfynd/A 69022-2021 artfynd.xlsx", "A 69022-2021")</f>
        <v/>
      </c>
      <c r="W18">
        <f>HYPERLINK("https://klasma.github.io/Logging_1983/kartor/A 69022-2021 karta.png", "A 69022-2021")</f>
        <v/>
      </c>
      <c r="Y18">
        <f>HYPERLINK("https://klasma.github.io/Logging_1983/klagomål/A 69022-2021 FSC-klagomål.docx", "A 69022-2021")</f>
        <v/>
      </c>
      <c r="Z18">
        <f>HYPERLINK("https://klasma.github.io/Logging_1983/klagomålsmail/A 69022-2021 FSC-klagomål mail.docx", "A 69022-2021")</f>
        <v/>
      </c>
      <c r="AA18">
        <f>HYPERLINK("https://klasma.github.io/Logging_1983/tillsyn/A 69022-2021 tillsynsbegäran.docx", "A 69022-2021")</f>
        <v/>
      </c>
      <c r="AB18">
        <f>HYPERLINK("https://klasma.github.io/Logging_1983/tillsynsmail/A 69022-2021 tillsynsbegäran mail.docx", "A 69022-2021")</f>
        <v/>
      </c>
    </row>
    <row r="19" ht="15" customHeight="1">
      <c r="A19" t="inlineStr">
        <is>
          <t>A 33156-2022</t>
        </is>
      </c>
      <c r="B19" t="inlineStr">
        <is>
          <t>avverkningsanmälan</t>
        </is>
      </c>
      <c r="C19" t="inlineStr">
        <is>
          <t>Föryngringsavverkning</t>
        </is>
      </c>
      <c r="D19" s="1" t="n">
        <v>44785</v>
      </c>
      <c r="E19" s="1" t="n">
        <v>46218</v>
      </c>
      <c r="F19" t="inlineStr">
        <is>
          <t>VÄSTMANLANDS LÄN</t>
        </is>
      </c>
      <c r="G19" t="inlineStr">
        <is>
          <t>KÖPING</t>
        </is>
      </c>
      <c r="H19" t="inlineStr">
        <is>
          <t>Sveaskog</t>
        </is>
      </c>
      <c r="I19" t="n">
        <v>2.7</v>
      </c>
      <c r="J19" t="n">
        <v>0</v>
      </c>
      <c r="K19" t="n">
        <v>0</v>
      </c>
      <c r="L19" t="n">
        <v>1</v>
      </c>
      <c r="M19" t="n">
        <v>0</v>
      </c>
      <c r="N19" t="n">
        <v>0</v>
      </c>
      <c r="O19" t="n">
        <v>0</v>
      </c>
      <c r="P19" t="n">
        <v>0</v>
      </c>
      <c r="Q19" t="n">
        <v>1</v>
      </c>
      <c r="R19" t="n">
        <v>0</v>
      </c>
      <c r="S19" t="n">
        <v>1</v>
      </c>
      <c r="T19" t="n">
        <v>1</v>
      </c>
      <c r="U19" s="2" t="inlineStr">
        <is>
          <t>Vedtrappmossa</t>
        </is>
      </c>
      <c r="V19">
        <f>HYPERLINK("https://klasma.github.io/Logging_1983/artfynd/A 33156-2022 artfynd.xlsx", "A 33156-2022")</f>
        <v/>
      </c>
      <c r="W19">
        <f>HYPERLINK("https://klasma.github.io/Logging_1983/kartor/A 33156-2022 karta.png", "A 33156-2022")</f>
        <v/>
      </c>
      <c r="Y19">
        <f>HYPERLINK("https://klasma.github.io/Logging_1983/klagomål/A 33156-2022 FSC-klagomål.docx", "A 33156-2022")</f>
        <v/>
      </c>
      <c r="Z19">
        <f>HYPERLINK("https://klasma.github.io/Logging_1983/klagomålsmail/A 33156-2022 FSC-klagomål mail.docx", "A 33156-2022")</f>
        <v/>
      </c>
      <c r="AA19">
        <f>HYPERLINK("https://klasma.github.io/Logging_1983/tillsyn/A 33156-2022 tillsynsbegäran.docx", "A 33156-2022")</f>
        <v/>
      </c>
      <c r="AB19">
        <f>HYPERLINK("https://klasma.github.io/Logging_1983/tillsynsmail/A 33156-2022 tillsynsbegäran mail.docx", "A 33156-2022")</f>
        <v/>
      </c>
    </row>
    <row r="20" ht="15" customHeight="1">
      <c r="A20" t="inlineStr">
        <is>
          <t>A 10900-2022</t>
        </is>
      </c>
      <c r="B20" t="inlineStr">
        <is>
          <t>avverkningsanmälan</t>
        </is>
      </c>
      <c r="C20" t="inlineStr">
        <is>
          <t>Föryngringsavverkning</t>
        </is>
      </c>
      <c r="D20" s="1" t="n">
        <v>44627</v>
      </c>
      <c r="E20" s="1" t="n">
        <v>46218</v>
      </c>
      <c r="F20" t="inlineStr">
        <is>
          <t>VÄSTMANLANDS LÄN</t>
        </is>
      </c>
      <c r="G20" t="inlineStr">
        <is>
          <t>KÖPING</t>
        </is>
      </c>
      <c r="I20" t="n">
        <v>1.5</v>
      </c>
      <c r="J20" t="n">
        <v>0</v>
      </c>
      <c r="K20" t="n">
        <v>0</v>
      </c>
      <c r="L20" t="n">
        <v>1</v>
      </c>
      <c r="M20" t="n">
        <v>0</v>
      </c>
      <c r="N20" t="n">
        <v>0</v>
      </c>
      <c r="O20" t="n">
        <v>0</v>
      </c>
      <c r="P20" t="n">
        <v>0</v>
      </c>
      <c r="Q20" t="n">
        <v>1</v>
      </c>
      <c r="R20" t="n">
        <v>0</v>
      </c>
      <c r="S20" t="n">
        <v>1</v>
      </c>
      <c r="T20" t="n">
        <v>1</v>
      </c>
      <c r="U20" s="2" t="inlineStr">
        <is>
          <t>Klofibbla</t>
        </is>
      </c>
      <c r="V20">
        <f>HYPERLINK("https://klasma.github.io/Logging_1983/artfynd/A 10900-2022 artfynd.xlsx", "A 10900-2022")</f>
        <v/>
      </c>
      <c r="W20">
        <f>HYPERLINK("https://klasma.github.io/Logging_1983/kartor/A 10900-2022 karta.png", "A 10900-2022")</f>
        <v/>
      </c>
      <c r="Y20">
        <f>HYPERLINK("https://klasma.github.io/Logging_1983/klagomål/A 10900-2022 FSC-klagomål.docx", "A 10900-2022")</f>
        <v/>
      </c>
      <c r="Z20">
        <f>HYPERLINK("https://klasma.github.io/Logging_1983/klagomålsmail/A 10900-2022 FSC-klagomål mail.docx", "A 10900-2022")</f>
        <v/>
      </c>
      <c r="AA20">
        <f>HYPERLINK("https://klasma.github.io/Logging_1983/tillsyn/A 10900-2022 tillsynsbegäran.docx", "A 10900-2022")</f>
        <v/>
      </c>
      <c r="AB20">
        <f>HYPERLINK("https://klasma.github.io/Logging_1983/tillsynsmail/A 10900-2022 tillsynsbegäran mail.docx", "A 10900-2022")</f>
        <v/>
      </c>
    </row>
    <row r="21" ht="15" customHeight="1">
      <c r="A21" t="inlineStr">
        <is>
          <t>A 60991-2023</t>
        </is>
      </c>
      <c r="B21" t="inlineStr">
        <is>
          <t>avverkningsanmälan</t>
        </is>
      </c>
      <c r="C21" t="inlineStr">
        <is>
          <t>Avverkning för annat ändamål</t>
        </is>
      </c>
      <c r="D21" s="1" t="n">
        <v>45261</v>
      </c>
      <c r="E21" s="1" t="n">
        <v>46218</v>
      </c>
      <c r="F21" t="inlineStr">
        <is>
          <t>VÄSTMANLANDS LÄN</t>
        </is>
      </c>
      <c r="G21" t="inlineStr">
        <is>
          <t>KÖPING</t>
        </is>
      </c>
      <c r="H21" t="inlineStr">
        <is>
          <t>Sveaskog</t>
        </is>
      </c>
      <c r="I21" t="n">
        <v>0.5</v>
      </c>
      <c r="J21" t="n">
        <v>1</v>
      </c>
      <c r="K21" t="n">
        <v>0</v>
      </c>
      <c r="L21" t="n">
        <v>0</v>
      </c>
      <c r="M21" t="n">
        <v>0</v>
      </c>
      <c r="N21" t="n">
        <v>0</v>
      </c>
      <c r="O21" t="n">
        <v>0</v>
      </c>
      <c r="P21" t="n">
        <v>0</v>
      </c>
      <c r="Q21" t="n">
        <v>0</v>
      </c>
      <c r="R21" t="n">
        <v>0</v>
      </c>
      <c r="S21" t="n">
        <v>1</v>
      </c>
      <c r="T21" t="n">
        <v>1</v>
      </c>
      <c r="U21" s="2" t="inlineStr">
        <is>
          <t>Tjäder</t>
        </is>
      </c>
      <c r="V21">
        <f>HYPERLINK("https://klasma.github.io/Logging_1983/artfynd/A 60991-2023 artfynd.xlsx", "A 60991-2023")</f>
        <v/>
      </c>
      <c r="W21">
        <f>HYPERLINK("https://klasma.github.io/Logging_1983/kartor/A 60991-2023 karta.png", "A 60991-2023")</f>
        <v/>
      </c>
      <c r="Y21">
        <f>HYPERLINK("https://klasma.github.io/Logging_1983/klagomål/A 60991-2023 FSC-klagomål.docx", "A 60991-2023")</f>
        <v/>
      </c>
      <c r="Z21">
        <f>HYPERLINK("https://klasma.github.io/Logging_1983/klagomålsmail/A 60991-2023 FSC-klagomål mail.docx", "A 60991-2023")</f>
        <v/>
      </c>
      <c r="AA21">
        <f>HYPERLINK("https://klasma.github.io/Logging_1983/tillsyn/A 60991-2023 tillsynsbegäran.docx", "A 60991-2023")</f>
        <v/>
      </c>
      <c r="AB21">
        <f>HYPERLINK("https://klasma.github.io/Logging_1983/tillsynsmail/A 60991-2023 tillsynsbegäran mail.docx", "A 60991-2023")</f>
        <v/>
      </c>
      <c r="AC21">
        <f>HYPERLINK("https://klasma.github.io/Logging_1983/fåglar/A 60991-2023 prioriterade fågelarter.docx", "A 60991-2023")</f>
        <v/>
      </c>
    </row>
    <row r="22" ht="15" customHeight="1">
      <c r="A22" t="inlineStr">
        <is>
          <t>A 40696-2025</t>
        </is>
      </c>
      <c r="B22" t="inlineStr">
        <is>
          <t>avverkningsanmälan</t>
        </is>
      </c>
      <c r="C22" t="inlineStr">
        <is>
          <t>Föryngringsavverkning</t>
        </is>
      </c>
      <c r="D22" s="1" t="n">
        <v>45897</v>
      </c>
      <c r="E22" s="1" t="n">
        <v>46218</v>
      </c>
      <c r="F22" t="inlineStr">
        <is>
          <t>VÄSTMANLANDS LÄN</t>
        </is>
      </c>
      <c r="G22" t="inlineStr">
        <is>
          <t>KÖPING</t>
        </is>
      </c>
      <c r="I22" t="n">
        <v>4.5</v>
      </c>
      <c r="J22" t="n">
        <v>0</v>
      </c>
      <c r="K22" t="n">
        <v>1</v>
      </c>
      <c r="L22" t="n">
        <v>0</v>
      </c>
      <c r="M22" t="n">
        <v>0</v>
      </c>
      <c r="N22" t="n">
        <v>0</v>
      </c>
      <c r="O22" t="n">
        <v>0</v>
      </c>
      <c r="P22" t="n">
        <v>0</v>
      </c>
      <c r="Q22" t="n">
        <v>0</v>
      </c>
      <c r="R22" t="n">
        <v>0</v>
      </c>
      <c r="S22" t="n">
        <v>1</v>
      </c>
      <c r="T22" t="n">
        <v>1</v>
      </c>
      <c r="U22" s="2" t="inlineStr">
        <is>
          <t>Tibast</t>
        </is>
      </c>
      <c r="V22">
        <f>HYPERLINK("https://klasma.github.io/Logging_1983/artfynd/A 40696-2025 artfynd.xlsx", "A 40696-2025")</f>
        <v/>
      </c>
      <c r="W22">
        <f>HYPERLINK("https://klasma.github.io/Logging_1983/kartor/A 40696-2025 karta.png", "A 40696-2025")</f>
        <v/>
      </c>
      <c r="Y22">
        <f>HYPERLINK("https://klasma.github.io/Logging_1983/klagomål/A 40696-2025 FSC-klagomål.docx", "A 40696-2025")</f>
        <v/>
      </c>
      <c r="Z22">
        <f>HYPERLINK("https://klasma.github.io/Logging_1983/klagomålsmail/A 40696-2025 FSC-klagomål mail.docx", "A 40696-2025")</f>
        <v/>
      </c>
      <c r="AA22">
        <f>HYPERLINK("https://klasma.github.io/Logging_1983/tillsyn/A 40696-2025 tillsynsbegäran.docx", "A 40696-2025")</f>
        <v/>
      </c>
      <c r="AB22">
        <f>HYPERLINK("https://klasma.github.io/Logging_1983/tillsynsmail/A 40696-2025 tillsynsbegäran mail.docx", "A 40696-2025")</f>
        <v/>
      </c>
    </row>
    <row r="23" ht="15" customHeight="1">
      <c r="A23" t="inlineStr">
        <is>
          <t>A 47573-2025</t>
        </is>
      </c>
      <c r="B23" t="inlineStr">
        <is>
          <t>avverkningsanmälan</t>
        </is>
      </c>
      <c r="C23" t="inlineStr">
        <is>
          <t>Föryngringsavverkning</t>
        </is>
      </c>
      <c r="D23" s="1" t="n">
        <v>45931</v>
      </c>
      <c r="E23" s="1" t="n">
        <v>46218</v>
      </c>
      <c r="F23" t="inlineStr">
        <is>
          <t>VÄSTMANLANDS LÄN</t>
        </is>
      </c>
      <c r="G23" t="inlineStr">
        <is>
          <t>KÖPING</t>
        </is>
      </c>
      <c r="H23" t="inlineStr">
        <is>
          <t>Sveaskog</t>
        </is>
      </c>
      <c r="I23" t="n">
        <v>4</v>
      </c>
      <c r="J23" t="n">
        <v>0</v>
      </c>
      <c r="K23" t="n">
        <v>0</v>
      </c>
      <c r="L23" t="n">
        <v>1</v>
      </c>
      <c r="M23" t="n">
        <v>0</v>
      </c>
      <c r="N23" t="n">
        <v>0</v>
      </c>
      <c r="O23" t="n">
        <v>0</v>
      </c>
      <c r="P23" t="n">
        <v>0</v>
      </c>
      <c r="Q23" t="n">
        <v>1</v>
      </c>
      <c r="R23" t="n">
        <v>0</v>
      </c>
      <c r="S23" t="n">
        <v>1</v>
      </c>
      <c r="T23" t="n">
        <v>1</v>
      </c>
      <c r="U23" s="2" t="inlineStr">
        <is>
          <t>Motaggsvamp</t>
        </is>
      </c>
      <c r="V23">
        <f>HYPERLINK("https://klasma.github.io/Logging_1983/artfynd/A 47573-2025 artfynd.xlsx", "A 47573-2025")</f>
        <v/>
      </c>
      <c r="W23">
        <f>HYPERLINK("https://klasma.github.io/Logging_1983/kartor/A 47573-2025 karta.png", "A 47573-2025")</f>
        <v/>
      </c>
      <c r="Y23">
        <f>HYPERLINK("https://klasma.github.io/Logging_1983/klagomål/A 47573-2025 FSC-klagomål.docx", "A 47573-2025")</f>
        <v/>
      </c>
      <c r="Z23">
        <f>HYPERLINK("https://klasma.github.io/Logging_1983/klagomålsmail/A 47573-2025 FSC-klagomål mail.docx", "A 47573-2025")</f>
        <v/>
      </c>
      <c r="AA23">
        <f>HYPERLINK("https://klasma.github.io/Logging_1983/tillsyn/A 47573-2025 tillsynsbegäran.docx", "A 47573-2025")</f>
        <v/>
      </c>
      <c r="AB23">
        <f>HYPERLINK("https://klasma.github.io/Logging_1983/tillsynsmail/A 47573-2025 tillsynsbegäran mail.docx", "A 47573-2025")</f>
        <v/>
      </c>
    </row>
    <row r="24" ht="15" customHeight="1">
      <c r="A24" t="inlineStr">
        <is>
          <t>A 12503-2023</t>
        </is>
      </c>
      <c r="B24" t="inlineStr">
        <is>
          <t>avverkningsanmälan</t>
        </is>
      </c>
      <c r="C24" t="inlineStr">
        <is>
          <t>Föryngringsavverkning</t>
        </is>
      </c>
      <c r="D24" s="1" t="n">
        <v>44999</v>
      </c>
      <c r="E24" s="1" t="n">
        <v>46218</v>
      </c>
      <c r="F24" t="inlineStr">
        <is>
          <t>VÄSTMANLANDS LÄN</t>
        </is>
      </c>
      <c r="G24" t="inlineStr">
        <is>
          <t>KÖPING</t>
        </is>
      </c>
      <c r="I24" t="n">
        <v>6.2</v>
      </c>
      <c r="J24" t="n">
        <v>1</v>
      </c>
      <c r="K24" t="n">
        <v>0</v>
      </c>
      <c r="L24" t="n">
        <v>0</v>
      </c>
      <c r="M24" t="n">
        <v>0</v>
      </c>
      <c r="N24" t="n">
        <v>0</v>
      </c>
      <c r="O24" t="n">
        <v>0</v>
      </c>
      <c r="P24" t="n">
        <v>0</v>
      </c>
      <c r="Q24" t="n">
        <v>0</v>
      </c>
      <c r="R24" t="n">
        <v>0</v>
      </c>
      <c r="S24" t="n">
        <v>1</v>
      </c>
      <c r="T24" t="n">
        <v>1</v>
      </c>
      <c r="U24" s="2" t="inlineStr">
        <is>
          <t>Tjäder</t>
        </is>
      </c>
      <c r="V24">
        <f>HYPERLINK("https://klasma.github.io/Logging_1983/artfynd/A 12503-2023 artfynd.xlsx", "A 12503-2023")</f>
        <v/>
      </c>
      <c r="W24">
        <f>HYPERLINK("https://klasma.github.io/Logging_1983/kartor/A 12503-2023 karta.png", "A 12503-2023")</f>
        <v/>
      </c>
      <c r="Y24">
        <f>HYPERLINK("https://klasma.github.io/Logging_1983/klagomål/A 12503-2023 FSC-klagomål.docx", "A 12503-2023")</f>
        <v/>
      </c>
      <c r="Z24">
        <f>HYPERLINK("https://klasma.github.io/Logging_1983/klagomålsmail/A 12503-2023 FSC-klagomål mail.docx", "A 12503-2023")</f>
        <v/>
      </c>
      <c r="AA24">
        <f>HYPERLINK("https://klasma.github.io/Logging_1983/tillsyn/A 12503-2023 tillsynsbegäran.docx", "A 12503-2023")</f>
        <v/>
      </c>
      <c r="AB24">
        <f>HYPERLINK("https://klasma.github.io/Logging_1983/tillsynsmail/A 12503-2023 tillsynsbegäran mail.docx", "A 12503-2023")</f>
        <v/>
      </c>
      <c r="AC24">
        <f>HYPERLINK("https://klasma.github.io/Logging_1983/fåglar/A 12503-2023 prioriterade fågelarter.docx", "A 12503-2023")</f>
        <v/>
      </c>
    </row>
    <row r="25" ht="15" customHeight="1">
      <c r="A25" t="inlineStr">
        <is>
          <t>A 47718-2025</t>
        </is>
      </c>
      <c r="B25" t="inlineStr">
        <is>
          <t>avverkningsanmälan</t>
        </is>
      </c>
      <c r="C25" t="inlineStr">
        <is>
          <t>Föryngringsavverkning</t>
        </is>
      </c>
      <c r="D25" s="1" t="n">
        <v>45931</v>
      </c>
      <c r="E25" s="1" t="n">
        <v>46218</v>
      </c>
      <c r="F25" t="inlineStr">
        <is>
          <t>VÄSTMANLANDS LÄN</t>
        </is>
      </c>
      <c r="G25" t="inlineStr">
        <is>
          <t>KÖPING</t>
        </is>
      </c>
      <c r="I25" t="n">
        <v>4.9</v>
      </c>
      <c r="J25" t="n">
        <v>0</v>
      </c>
      <c r="K25" t="n">
        <v>0</v>
      </c>
      <c r="L25" t="n">
        <v>1</v>
      </c>
      <c r="M25" t="n">
        <v>0</v>
      </c>
      <c r="N25" t="n">
        <v>0</v>
      </c>
      <c r="O25" t="n">
        <v>0</v>
      </c>
      <c r="P25" t="n">
        <v>0</v>
      </c>
      <c r="Q25" t="n">
        <v>1</v>
      </c>
      <c r="R25" t="n">
        <v>0</v>
      </c>
      <c r="S25" t="n">
        <v>1</v>
      </c>
      <c r="T25" t="n">
        <v>1</v>
      </c>
      <c r="U25" s="2" t="inlineStr">
        <is>
          <t>Kandelabersvamp</t>
        </is>
      </c>
      <c r="V25">
        <f>HYPERLINK("https://klasma.github.io/Logging_1983/artfynd/A 47718-2025 artfynd.xlsx", "A 47718-2025")</f>
        <v/>
      </c>
      <c r="W25">
        <f>HYPERLINK("https://klasma.github.io/Logging_1983/kartor/A 47718-2025 karta.png", "A 47718-2025")</f>
        <v/>
      </c>
      <c r="Y25">
        <f>HYPERLINK("https://klasma.github.io/Logging_1983/klagomål/A 47718-2025 FSC-klagomål.docx", "A 47718-2025")</f>
        <v/>
      </c>
      <c r="Z25">
        <f>HYPERLINK("https://klasma.github.io/Logging_1983/klagomålsmail/A 47718-2025 FSC-klagomål mail.docx", "A 47718-2025")</f>
        <v/>
      </c>
      <c r="AA25">
        <f>HYPERLINK("https://klasma.github.io/Logging_1983/tillsyn/A 47718-2025 tillsynsbegäran.docx", "A 47718-2025")</f>
        <v/>
      </c>
      <c r="AB25">
        <f>HYPERLINK("https://klasma.github.io/Logging_1983/tillsynsmail/A 47718-2025 tillsynsbegäran mail.docx", "A 47718-2025")</f>
        <v/>
      </c>
    </row>
    <row r="26" ht="15" customHeight="1">
      <c r="A26" t="inlineStr">
        <is>
          <t>A 41583-2022</t>
        </is>
      </c>
      <c r="B26" t="inlineStr">
        <is>
          <t>avverkningsanmälan</t>
        </is>
      </c>
      <c r="C26" t="inlineStr">
        <is>
          <t>Föryngringsavverkning</t>
        </is>
      </c>
      <c r="D26" s="1" t="n">
        <v>44827</v>
      </c>
      <c r="E26" s="1" t="n">
        <v>46218</v>
      </c>
      <c r="F26" t="inlineStr">
        <is>
          <t>VÄSTMANLANDS LÄN</t>
        </is>
      </c>
      <c r="G26" t="inlineStr">
        <is>
          <t>KÖPING</t>
        </is>
      </c>
      <c r="H26" t="inlineStr">
        <is>
          <t>Sveaskog</t>
        </is>
      </c>
      <c r="I26" t="n">
        <v>2</v>
      </c>
      <c r="J26" t="n">
        <v>0</v>
      </c>
      <c r="K26" t="n">
        <v>0</v>
      </c>
      <c r="L26" t="n">
        <v>1</v>
      </c>
      <c r="M26" t="n">
        <v>0</v>
      </c>
      <c r="N26" t="n">
        <v>0</v>
      </c>
      <c r="O26" t="n">
        <v>0</v>
      </c>
      <c r="P26" t="n">
        <v>0</v>
      </c>
      <c r="Q26" t="n">
        <v>1</v>
      </c>
      <c r="R26" t="n">
        <v>0</v>
      </c>
      <c r="S26" t="n">
        <v>1</v>
      </c>
      <c r="T26" t="n">
        <v>1</v>
      </c>
      <c r="U26" s="2" t="inlineStr">
        <is>
          <t>Vedskivlav</t>
        </is>
      </c>
      <c r="V26">
        <f>HYPERLINK("https://klasma.github.io/Logging_1983/artfynd/A 41583-2022 artfynd.xlsx", "A 41583-2022")</f>
        <v/>
      </c>
      <c r="W26">
        <f>HYPERLINK("https://klasma.github.io/Logging_1983/kartor/A 41583-2022 karta.png", "A 41583-2022")</f>
        <v/>
      </c>
      <c r="Y26">
        <f>HYPERLINK("https://klasma.github.io/Logging_1983/klagomål/A 41583-2022 FSC-klagomål.docx", "A 41583-2022")</f>
        <v/>
      </c>
      <c r="Z26">
        <f>HYPERLINK("https://klasma.github.io/Logging_1983/klagomålsmail/A 41583-2022 FSC-klagomål mail.docx", "A 41583-2022")</f>
        <v/>
      </c>
      <c r="AA26">
        <f>HYPERLINK("https://klasma.github.io/Logging_1983/tillsyn/A 41583-2022 tillsynsbegäran.docx", "A 41583-2022")</f>
        <v/>
      </c>
      <c r="AB26">
        <f>HYPERLINK("https://klasma.github.io/Logging_1983/tillsynsmail/A 41583-2022 tillsynsbegäran mail.docx", "A 41583-2022")</f>
        <v/>
      </c>
    </row>
    <row r="27" ht="15" customHeight="1">
      <c r="A27" t="inlineStr">
        <is>
          <t>A 46126-2022</t>
        </is>
      </c>
      <c r="B27" t="inlineStr">
        <is>
          <t>avverkningsanmälan</t>
        </is>
      </c>
      <c r="C27" t="inlineStr">
        <is>
          <t>Föryngringsavverkning</t>
        </is>
      </c>
      <c r="D27" s="1" t="n">
        <v>44847</v>
      </c>
      <c r="E27" s="1" t="n">
        <v>46218</v>
      </c>
      <c r="F27" t="inlineStr">
        <is>
          <t>VÄSTMANLANDS LÄN</t>
        </is>
      </c>
      <c r="G27" t="inlineStr">
        <is>
          <t>KÖPING</t>
        </is>
      </c>
      <c r="I27" t="n">
        <v>17.5</v>
      </c>
      <c r="J27" t="n">
        <v>0</v>
      </c>
      <c r="K27" t="n">
        <v>1</v>
      </c>
      <c r="L27" t="n">
        <v>0</v>
      </c>
      <c r="M27" t="n">
        <v>0</v>
      </c>
      <c r="N27" t="n">
        <v>0</v>
      </c>
      <c r="O27" t="n">
        <v>0</v>
      </c>
      <c r="P27" t="n">
        <v>0</v>
      </c>
      <c r="Q27" t="n">
        <v>0</v>
      </c>
      <c r="R27" t="n">
        <v>0</v>
      </c>
      <c r="S27" t="n">
        <v>1</v>
      </c>
      <c r="T27" t="n">
        <v>1</v>
      </c>
      <c r="U27" s="2" t="inlineStr">
        <is>
          <t>Blomkålssvamp</t>
        </is>
      </c>
      <c r="V27">
        <f>HYPERLINK("https://klasma.github.io/Logging_1983/artfynd/A 46126-2022 artfynd.xlsx", "A 46126-2022")</f>
        <v/>
      </c>
      <c r="W27">
        <f>HYPERLINK("https://klasma.github.io/Logging_1983/kartor/A 46126-2022 karta.png", "A 46126-2022")</f>
        <v/>
      </c>
      <c r="Y27">
        <f>HYPERLINK("https://klasma.github.io/Logging_1983/klagomål/A 46126-2022 FSC-klagomål.docx", "A 46126-2022")</f>
        <v/>
      </c>
      <c r="Z27">
        <f>HYPERLINK("https://klasma.github.io/Logging_1983/klagomålsmail/A 46126-2022 FSC-klagomål mail.docx", "A 46126-2022")</f>
        <v/>
      </c>
      <c r="AA27">
        <f>HYPERLINK("https://klasma.github.io/Logging_1983/tillsyn/A 46126-2022 tillsynsbegäran.docx", "A 46126-2022")</f>
        <v/>
      </c>
      <c r="AB27">
        <f>HYPERLINK("https://klasma.github.io/Logging_1983/tillsynsmail/A 46126-2022 tillsynsbegäran mail.docx", "A 46126-2022")</f>
        <v/>
      </c>
    </row>
    <row r="28" ht="15" customHeight="1">
      <c r="A28" t="inlineStr">
        <is>
          <t>A 57297-2024</t>
        </is>
      </c>
      <c r="B28" t="inlineStr">
        <is>
          <t>avverkningsanmälan</t>
        </is>
      </c>
      <c r="C28" t="inlineStr">
        <is>
          <t>Föryngringsavverkning</t>
        </is>
      </c>
      <c r="D28" s="1" t="n">
        <v>45629</v>
      </c>
      <c r="E28" s="1" t="n">
        <v>46218</v>
      </c>
      <c r="F28" t="inlineStr">
        <is>
          <t>VÄSTMANLANDS LÄN</t>
        </is>
      </c>
      <c r="G28" t="inlineStr">
        <is>
          <t>KÖPING</t>
        </is>
      </c>
      <c r="I28" t="n">
        <v>1.5</v>
      </c>
      <c r="J28" t="n">
        <v>1</v>
      </c>
      <c r="K28" t="n">
        <v>0</v>
      </c>
      <c r="L28" t="n">
        <v>0</v>
      </c>
      <c r="M28" t="n">
        <v>0</v>
      </c>
      <c r="N28" t="n">
        <v>0</v>
      </c>
      <c r="O28" t="n">
        <v>0</v>
      </c>
      <c r="P28" t="n">
        <v>0</v>
      </c>
      <c r="Q28" t="n">
        <v>0</v>
      </c>
      <c r="R28" t="n">
        <v>0</v>
      </c>
      <c r="S28" t="n">
        <v>1</v>
      </c>
      <c r="T28" t="n">
        <v>1</v>
      </c>
      <c r="U28" s="2" t="inlineStr">
        <is>
          <t>Fläcknycklar</t>
        </is>
      </c>
      <c r="V28">
        <f>HYPERLINK("https://klasma.github.io/Logging_1983/artfynd/A 57297-2024 artfynd.xlsx", "A 57297-2024")</f>
        <v/>
      </c>
      <c r="W28">
        <f>HYPERLINK("https://klasma.github.io/Logging_1983/kartor/A 57297-2024 karta.png", "A 57297-2024")</f>
        <v/>
      </c>
      <c r="Y28">
        <f>HYPERLINK("https://klasma.github.io/Logging_1983/klagomål/A 57297-2024 FSC-klagomål.docx", "A 57297-2024")</f>
        <v/>
      </c>
      <c r="Z28">
        <f>HYPERLINK("https://klasma.github.io/Logging_1983/klagomålsmail/A 57297-2024 FSC-klagomål mail.docx", "A 57297-2024")</f>
        <v/>
      </c>
      <c r="AA28">
        <f>HYPERLINK("https://klasma.github.io/Logging_1983/tillsyn/A 57297-2024 tillsynsbegäran.docx", "A 57297-2024")</f>
        <v/>
      </c>
      <c r="AB28">
        <f>HYPERLINK("https://klasma.github.io/Logging_1983/tillsynsmail/A 57297-2024 tillsynsbegäran mail.docx", "A 57297-2024")</f>
        <v/>
      </c>
    </row>
    <row r="29" ht="15" customHeight="1">
      <c r="A29" t="inlineStr">
        <is>
          <t>A 56380-2025</t>
        </is>
      </c>
      <c r="B29" t="inlineStr">
        <is>
          <t>avverkningsanmälan</t>
        </is>
      </c>
      <c r="C29" t="inlineStr">
        <is>
          <t>Föryngringsavverkning</t>
        </is>
      </c>
      <c r="D29" s="1" t="n">
        <v>45974</v>
      </c>
      <c r="E29" s="1" t="n">
        <v>46218</v>
      </c>
      <c r="F29" t="inlineStr">
        <is>
          <t>VÄSTMANLANDS LÄN</t>
        </is>
      </c>
      <c r="G29" t="inlineStr">
        <is>
          <t>KÖPING</t>
        </is>
      </c>
      <c r="H29" t="inlineStr">
        <is>
          <t>Sveaskog</t>
        </is>
      </c>
      <c r="I29" t="n">
        <v>4.1</v>
      </c>
      <c r="J29" t="n">
        <v>1</v>
      </c>
      <c r="K29" t="n">
        <v>0</v>
      </c>
      <c r="L29" t="n">
        <v>0</v>
      </c>
      <c r="M29" t="n">
        <v>0</v>
      </c>
      <c r="N29" t="n">
        <v>0</v>
      </c>
      <c r="O29" t="n">
        <v>0</v>
      </c>
      <c r="P29" t="n">
        <v>0</v>
      </c>
      <c r="Q29" t="n">
        <v>0</v>
      </c>
      <c r="R29" t="n">
        <v>0</v>
      </c>
      <c r="S29" t="n">
        <v>1</v>
      </c>
      <c r="T29" t="n">
        <v>4</v>
      </c>
      <c r="U29" s="2" t="inlineStr">
        <is>
          <t>Tjäder</t>
        </is>
      </c>
      <c r="V29">
        <f>HYPERLINK("https://klasma.github.io/Logging_1983/artfynd/A 56380-2025 artfynd.xlsx", "A 56380-2025")</f>
        <v/>
      </c>
      <c r="W29">
        <f>HYPERLINK("https://klasma.github.io/Logging_1983/kartor/A 56380-2025 karta.png", "A 56380-2025")</f>
        <v/>
      </c>
      <c r="Y29">
        <f>HYPERLINK("https://klasma.github.io/Logging_1983/klagomål/A 56380-2025 FSC-klagomål.docx", "A 56380-2025")</f>
        <v/>
      </c>
      <c r="Z29">
        <f>HYPERLINK("https://klasma.github.io/Logging_1983/klagomålsmail/A 56380-2025 FSC-klagomål mail.docx", "A 56380-2025")</f>
        <v/>
      </c>
      <c r="AA29">
        <f>HYPERLINK("https://klasma.github.io/Logging_1983/tillsyn/A 56380-2025 tillsynsbegäran.docx", "A 56380-2025")</f>
        <v/>
      </c>
      <c r="AB29">
        <f>HYPERLINK("https://klasma.github.io/Logging_1983/tillsynsmail/A 56380-2025 tillsynsbegäran mail.docx", "A 56380-2025")</f>
        <v/>
      </c>
      <c r="AC29">
        <f>HYPERLINK("https://klasma.github.io/Logging_1983/fåglar/A 56380-2025 prioriterade fågelarter.docx", "A 56380-2025")</f>
        <v/>
      </c>
    </row>
    <row r="30" ht="15" customHeight="1">
      <c r="A30" t="inlineStr">
        <is>
          <t>A 56279-2025</t>
        </is>
      </c>
      <c r="B30" t="inlineStr">
        <is>
          <t>avverkningsanmälan</t>
        </is>
      </c>
      <c r="C30" t="inlineStr">
        <is>
          <t>Föryngringsavverkning</t>
        </is>
      </c>
      <c r="D30" s="1" t="n">
        <v>45974</v>
      </c>
      <c r="E30" s="1" t="n">
        <v>46218</v>
      </c>
      <c r="F30" t="inlineStr">
        <is>
          <t>VÄSTMANLANDS LÄN</t>
        </is>
      </c>
      <c r="G30" t="inlineStr">
        <is>
          <t>KÖPING</t>
        </is>
      </c>
      <c r="H30" t="inlineStr">
        <is>
          <t>Sveaskog</t>
        </is>
      </c>
      <c r="I30" t="n">
        <v>2.1</v>
      </c>
      <c r="J30" t="n">
        <v>1</v>
      </c>
      <c r="K30" t="n">
        <v>0</v>
      </c>
      <c r="L30" t="n">
        <v>0</v>
      </c>
      <c r="M30" t="n">
        <v>0</v>
      </c>
      <c r="N30" t="n">
        <v>0</v>
      </c>
      <c r="O30" t="n">
        <v>0</v>
      </c>
      <c r="P30" t="n">
        <v>0</v>
      </c>
      <c r="Q30" t="n">
        <v>0</v>
      </c>
      <c r="R30" t="n">
        <v>0</v>
      </c>
      <c r="S30" t="n">
        <v>1</v>
      </c>
      <c r="T30" t="n">
        <v>1</v>
      </c>
      <c r="U30" s="2" t="inlineStr">
        <is>
          <t>Tjäder</t>
        </is>
      </c>
      <c r="V30">
        <f>HYPERLINK("https://klasma.github.io/Logging_1983/artfynd/A 56279-2025 artfynd.xlsx", "A 56279-2025")</f>
        <v/>
      </c>
      <c r="W30">
        <f>HYPERLINK("https://klasma.github.io/Logging_1983/kartor/A 56279-2025 karta.png", "A 56279-2025")</f>
        <v/>
      </c>
      <c r="Y30">
        <f>HYPERLINK("https://klasma.github.io/Logging_1983/klagomål/A 56279-2025 FSC-klagomål.docx", "A 56279-2025")</f>
        <v/>
      </c>
      <c r="Z30">
        <f>HYPERLINK("https://klasma.github.io/Logging_1983/klagomålsmail/A 56279-2025 FSC-klagomål mail.docx", "A 56279-2025")</f>
        <v/>
      </c>
      <c r="AA30">
        <f>HYPERLINK("https://klasma.github.io/Logging_1983/tillsyn/A 56279-2025 tillsynsbegäran.docx", "A 56279-2025")</f>
        <v/>
      </c>
      <c r="AB30">
        <f>HYPERLINK("https://klasma.github.io/Logging_1983/tillsynsmail/A 56279-2025 tillsynsbegäran mail.docx", "A 56279-2025")</f>
        <v/>
      </c>
      <c r="AC30">
        <f>HYPERLINK("https://klasma.github.io/Logging_1983/fåglar/A 56279-2025 prioriterade fågelarter.docx", "A 56279-2025")</f>
        <v/>
      </c>
    </row>
    <row r="31" ht="15" customHeight="1">
      <c r="A31" t="inlineStr">
        <is>
          <t>A 13066-2025</t>
        </is>
      </c>
      <c r="B31" t="inlineStr">
        <is>
          <t>avverkningsanmälan</t>
        </is>
      </c>
      <c r="C31" t="inlineStr">
        <is>
          <t>Föryngringsavverkning</t>
        </is>
      </c>
      <c r="D31" s="1" t="n">
        <v>45734</v>
      </c>
      <c r="E31" s="1" t="n">
        <v>46218</v>
      </c>
      <c r="F31" t="inlineStr">
        <is>
          <t>VÄSTMANLANDS LÄN</t>
        </is>
      </c>
      <c r="G31" t="inlineStr">
        <is>
          <t>KÖPING</t>
        </is>
      </c>
      <c r="H31" t="inlineStr">
        <is>
          <t>Sveaskog</t>
        </is>
      </c>
      <c r="I31" t="n">
        <v>0.7</v>
      </c>
      <c r="J31" t="n">
        <v>1</v>
      </c>
      <c r="K31" t="n">
        <v>0</v>
      </c>
      <c r="L31" t="n">
        <v>0</v>
      </c>
      <c r="M31" t="n">
        <v>0</v>
      </c>
      <c r="N31" t="n">
        <v>0</v>
      </c>
      <c r="O31" t="n">
        <v>0</v>
      </c>
      <c r="P31" t="n">
        <v>0</v>
      </c>
      <c r="Q31" t="n">
        <v>0</v>
      </c>
      <c r="R31" t="n">
        <v>0</v>
      </c>
      <c r="S31" t="n">
        <v>1</v>
      </c>
      <c r="T31" t="n">
        <v>1</v>
      </c>
      <c r="U31" s="2" t="inlineStr">
        <is>
          <t>Revlummer</t>
        </is>
      </c>
      <c r="V31">
        <f>HYPERLINK("https://klasma.github.io/Logging_1983/artfynd/A 13066-2025 artfynd.xlsx", "A 13066-2025")</f>
        <v/>
      </c>
      <c r="W31">
        <f>HYPERLINK("https://klasma.github.io/Logging_1983/kartor/A 13066-2025 karta.png", "A 13066-2025")</f>
        <v/>
      </c>
      <c r="Y31">
        <f>HYPERLINK("https://klasma.github.io/Logging_1983/klagomål/A 13066-2025 FSC-klagomål.docx", "A 13066-2025")</f>
        <v/>
      </c>
      <c r="Z31">
        <f>HYPERLINK("https://klasma.github.io/Logging_1983/klagomålsmail/A 13066-2025 FSC-klagomål mail.docx", "A 13066-2025")</f>
        <v/>
      </c>
      <c r="AA31">
        <f>HYPERLINK("https://klasma.github.io/Logging_1983/tillsyn/A 13066-2025 tillsynsbegäran.docx", "A 13066-2025")</f>
        <v/>
      </c>
      <c r="AB31">
        <f>HYPERLINK("https://klasma.github.io/Logging_1983/tillsynsmail/A 13066-2025 tillsynsbegäran mail.docx", "A 13066-2025")</f>
        <v/>
      </c>
    </row>
    <row r="32" ht="15" customHeight="1">
      <c r="A32" t="inlineStr">
        <is>
          <t>A 26941-2026</t>
        </is>
      </c>
      <c r="B32" t="inlineStr">
        <is>
          <t>avverkningsanmälan</t>
        </is>
      </c>
      <c r="C32" t="inlineStr">
        <is>
          <t>Föryngringsavverkning</t>
        </is>
      </c>
      <c r="D32" s="1" t="n">
        <v>46185</v>
      </c>
      <c r="E32" s="1" t="n">
        <v>46218</v>
      </c>
      <c r="F32" t="inlineStr">
        <is>
          <t>VÄSTMANLANDS LÄN</t>
        </is>
      </c>
      <c r="G32" t="inlineStr">
        <is>
          <t>KÖPING</t>
        </is>
      </c>
      <c r="H32" t="inlineStr">
        <is>
          <t>Sveaskog</t>
        </is>
      </c>
      <c r="I32" t="n">
        <v>1.7</v>
      </c>
      <c r="J32" t="n">
        <v>1</v>
      </c>
      <c r="K32" t="n">
        <v>0</v>
      </c>
      <c r="L32" t="n">
        <v>0</v>
      </c>
      <c r="M32" t="n">
        <v>0</v>
      </c>
      <c r="N32" t="n">
        <v>0</v>
      </c>
      <c r="O32" t="n">
        <v>0</v>
      </c>
      <c r="P32" t="n">
        <v>0</v>
      </c>
      <c r="Q32" t="n">
        <v>0</v>
      </c>
      <c r="R32" t="n">
        <v>0</v>
      </c>
      <c r="S32" t="n">
        <v>1</v>
      </c>
      <c r="T32" t="n">
        <v>1</v>
      </c>
      <c r="U32" s="2" t="inlineStr">
        <is>
          <t>Fläcknycklar</t>
        </is>
      </c>
      <c r="V32">
        <f>HYPERLINK("https://klasma.github.io/Logging_1983/artfynd/A 26941-2026 artfynd.xlsx", "A 26941-2026")</f>
        <v/>
      </c>
      <c r="W32">
        <f>HYPERLINK("https://klasma.github.io/Logging_1983/kartor/A 26941-2026 karta.png", "A 26941-2026")</f>
        <v/>
      </c>
      <c r="Y32">
        <f>HYPERLINK("https://klasma.github.io/Logging_1983/klagomål/A 26941-2026 FSC-klagomål.docx", "A 26941-2026")</f>
        <v/>
      </c>
      <c r="Z32">
        <f>HYPERLINK("https://klasma.github.io/Logging_1983/klagomålsmail/A 26941-2026 FSC-klagomål mail.docx", "A 26941-2026")</f>
        <v/>
      </c>
      <c r="AA32">
        <f>HYPERLINK("https://klasma.github.io/Logging_1983/tillsyn/A 26941-2026 tillsynsbegäran.docx", "A 26941-2026")</f>
        <v/>
      </c>
      <c r="AB32">
        <f>HYPERLINK("https://klasma.github.io/Logging_1983/tillsynsmail/A 26941-2026 tillsynsbegäran mail.docx", "A 26941-2026")</f>
        <v/>
      </c>
    </row>
    <row r="33" ht="15" customHeight="1">
      <c r="A33" t="inlineStr">
        <is>
          <t>A 56287-2025</t>
        </is>
      </c>
      <c r="B33" t="inlineStr">
        <is>
          <t>avverkningsanmälan</t>
        </is>
      </c>
      <c r="C33" t="inlineStr">
        <is>
          <t>Föryngringsavverkning</t>
        </is>
      </c>
      <c r="D33" s="1" t="n">
        <v>45974</v>
      </c>
      <c r="E33" s="1" t="n">
        <v>46218</v>
      </c>
      <c r="F33" t="inlineStr">
        <is>
          <t>VÄSTMANLANDS LÄN</t>
        </is>
      </c>
      <c r="G33" t="inlineStr">
        <is>
          <t>KÖPING</t>
        </is>
      </c>
      <c r="H33" t="inlineStr">
        <is>
          <t>Sveaskog</t>
        </is>
      </c>
      <c r="I33" t="n">
        <v>3.4</v>
      </c>
      <c r="J33" t="n">
        <v>1</v>
      </c>
      <c r="K33" t="n">
        <v>0</v>
      </c>
      <c r="L33" t="n">
        <v>1</v>
      </c>
      <c r="M33" t="n">
        <v>0</v>
      </c>
      <c r="N33" t="n">
        <v>0</v>
      </c>
      <c r="O33" t="n">
        <v>0</v>
      </c>
      <c r="P33" t="n">
        <v>0</v>
      </c>
      <c r="Q33" t="n">
        <v>1</v>
      </c>
      <c r="R33" t="n">
        <v>0</v>
      </c>
      <c r="S33" t="n">
        <v>1</v>
      </c>
      <c r="T33" t="n">
        <v>1</v>
      </c>
      <c r="U33" s="2" t="inlineStr">
        <is>
          <t>Talltita</t>
        </is>
      </c>
      <c r="V33">
        <f>HYPERLINK("https://klasma.github.io/Logging_1983/artfynd/A 56287-2025 artfynd.xlsx", "A 56287-2025")</f>
        <v/>
      </c>
      <c r="W33">
        <f>HYPERLINK("https://klasma.github.io/Logging_1983/kartor/A 56287-2025 karta.png", "A 56287-2025")</f>
        <v/>
      </c>
      <c r="Y33">
        <f>HYPERLINK("https://klasma.github.io/Logging_1983/klagomål/A 56287-2025 FSC-klagomål.docx", "A 56287-2025")</f>
        <v/>
      </c>
      <c r="Z33">
        <f>HYPERLINK("https://klasma.github.io/Logging_1983/klagomålsmail/A 56287-2025 FSC-klagomål mail.docx", "A 56287-2025")</f>
        <v/>
      </c>
      <c r="AA33">
        <f>HYPERLINK("https://klasma.github.io/Logging_1983/tillsyn/A 56287-2025 tillsynsbegäran.docx", "A 56287-2025")</f>
        <v/>
      </c>
      <c r="AB33">
        <f>HYPERLINK("https://klasma.github.io/Logging_1983/tillsynsmail/A 56287-2025 tillsynsbegäran mail.docx", "A 56287-2025")</f>
        <v/>
      </c>
      <c r="AC33">
        <f>HYPERLINK("https://klasma.github.io/Logging_1983/fåglar/A 56287-2025 prioriterade fågelarter.docx", "A 56287-2025")</f>
        <v/>
      </c>
    </row>
    <row r="34" ht="15" customHeight="1">
      <c r="A34" t="inlineStr">
        <is>
          <t>A 29089-2026</t>
        </is>
      </c>
      <c r="B34" t="inlineStr">
        <is>
          <t>avverkningsanmälan</t>
        </is>
      </c>
      <c r="C34" t="inlineStr">
        <is>
          <t>Föryngringsavverkning</t>
        </is>
      </c>
      <c r="D34" s="1" t="n">
        <v>46200</v>
      </c>
      <c r="E34" s="1" t="n">
        <v>46218</v>
      </c>
      <c r="F34" t="inlineStr">
        <is>
          <t>VÄSTMANLANDS LÄN</t>
        </is>
      </c>
      <c r="G34" t="inlineStr">
        <is>
          <t>KÖPING</t>
        </is>
      </c>
      <c r="H34" t="inlineStr">
        <is>
          <t>Sveaskog</t>
        </is>
      </c>
      <c r="I34" t="n">
        <v>5.2</v>
      </c>
      <c r="J34" t="n">
        <v>1</v>
      </c>
      <c r="K34" t="n">
        <v>0</v>
      </c>
      <c r="L34" t="n">
        <v>0</v>
      </c>
      <c r="M34" t="n">
        <v>0</v>
      </c>
      <c r="N34" t="n">
        <v>0</v>
      </c>
      <c r="O34" t="n">
        <v>0</v>
      </c>
      <c r="P34" t="n">
        <v>0</v>
      </c>
      <c r="Q34" t="n">
        <v>0</v>
      </c>
      <c r="R34" t="n">
        <v>0</v>
      </c>
      <c r="S34" t="n">
        <v>1</v>
      </c>
      <c r="T34" t="n">
        <v>1</v>
      </c>
      <c r="U34" s="2" t="inlineStr">
        <is>
          <t>Fläcknycklar</t>
        </is>
      </c>
      <c r="V34">
        <f>HYPERLINK("https://klasma.github.io/Logging_1983/artfynd/A 29089-2026 artfynd.xlsx", "A 29089-2026")</f>
        <v/>
      </c>
      <c r="W34">
        <f>HYPERLINK("https://klasma.github.io/Logging_1983/kartor/A 29089-2026 karta.png", "A 29089-2026")</f>
        <v/>
      </c>
      <c r="Y34">
        <f>HYPERLINK("https://klasma.github.io/Logging_1983/klagomål/A 29089-2026 FSC-klagomål.docx", "A 29089-2026")</f>
        <v/>
      </c>
      <c r="Z34">
        <f>HYPERLINK("https://klasma.github.io/Logging_1983/klagomålsmail/A 29089-2026 FSC-klagomål mail.docx", "A 29089-2026")</f>
        <v/>
      </c>
      <c r="AA34">
        <f>HYPERLINK("https://klasma.github.io/Logging_1983/tillsyn/A 29089-2026 tillsynsbegäran.docx", "A 29089-2026")</f>
        <v/>
      </c>
      <c r="AB34">
        <f>HYPERLINK("https://klasma.github.io/Logging_1983/tillsynsmail/A 29089-2026 tillsynsbegäran mail.docx", "A 29089-2026")</f>
        <v/>
      </c>
    </row>
    <row r="35" ht="15" customHeight="1">
      <c r="A35" t="inlineStr">
        <is>
          <t>A 23557-2026</t>
        </is>
      </c>
      <c r="B35" t="inlineStr">
        <is>
          <t>avverkningsanmälan</t>
        </is>
      </c>
      <c r="C35" t="inlineStr">
        <is>
          <t>Föryngringsavverkning</t>
        </is>
      </c>
      <c r="D35" s="1" t="n">
        <v>46163</v>
      </c>
      <c r="E35" s="1" t="n">
        <v>46218</v>
      </c>
      <c r="F35" t="inlineStr">
        <is>
          <t>VÄSTMANLANDS LÄN</t>
        </is>
      </c>
      <c r="G35" t="inlineStr">
        <is>
          <t>KÖPING</t>
        </is>
      </c>
      <c r="H35" t="inlineStr">
        <is>
          <t>Sveaskog</t>
        </is>
      </c>
      <c r="I35" t="n">
        <v>7.6</v>
      </c>
      <c r="J35" t="n">
        <v>1</v>
      </c>
      <c r="K35" t="n">
        <v>0</v>
      </c>
      <c r="L35" t="n">
        <v>0</v>
      </c>
      <c r="M35" t="n">
        <v>0</v>
      </c>
      <c r="N35" t="n">
        <v>0</v>
      </c>
      <c r="O35" t="n">
        <v>0</v>
      </c>
      <c r="P35" t="n">
        <v>0</v>
      </c>
      <c r="Q35" t="n">
        <v>0</v>
      </c>
      <c r="R35" t="n">
        <v>0</v>
      </c>
      <c r="S35" t="n">
        <v>1</v>
      </c>
      <c r="T35" t="n">
        <v>1</v>
      </c>
      <c r="U35" s="2" t="inlineStr">
        <is>
          <t>Fläcknycklar</t>
        </is>
      </c>
      <c r="V35">
        <f>HYPERLINK("https://klasma.github.io/Logging_1983/artfynd/A 23557-2026 artfynd.xlsx", "A 23557-2026")</f>
        <v/>
      </c>
      <c r="W35">
        <f>HYPERLINK("https://klasma.github.io/Logging_1983/kartor/A 23557-2026 karta.png", "A 23557-2026")</f>
        <v/>
      </c>
      <c r="Y35">
        <f>HYPERLINK("https://klasma.github.io/Logging_1983/klagomål/A 23557-2026 FSC-klagomål.docx", "A 23557-2026")</f>
        <v/>
      </c>
      <c r="Z35">
        <f>HYPERLINK("https://klasma.github.io/Logging_1983/klagomålsmail/A 23557-2026 FSC-klagomål mail.docx", "A 23557-2026")</f>
        <v/>
      </c>
      <c r="AA35">
        <f>HYPERLINK("https://klasma.github.io/Logging_1983/tillsyn/A 23557-2026 tillsynsbegäran.docx", "A 23557-2026")</f>
        <v/>
      </c>
      <c r="AB35">
        <f>HYPERLINK("https://klasma.github.io/Logging_1983/tillsynsmail/A 23557-2026 tillsynsbegäran mail.docx", "A 23557-2026")</f>
        <v/>
      </c>
    </row>
    <row r="36" ht="15" customHeight="1">
      <c r="A36" t="inlineStr">
        <is>
          <t>A 23398-2026</t>
        </is>
      </c>
      <c r="B36" t="inlineStr">
        <is>
          <t>avverkningsanmälan</t>
        </is>
      </c>
      <c r="C36" t="inlineStr">
        <is>
          <t>Föryngringsavverkning</t>
        </is>
      </c>
      <c r="D36" s="1" t="n">
        <v>46162</v>
      </c>
      <c r="E36" s="1" t="n">
        <v>46218</v>
      </c>
      <c r="F36" t="inlineStr">
        <is>
          <t>VÄSTMANLANDS LÄN</t>
        </is>
      </c>
      <c r="G36" t="inlineStr">
        <is>
          <t>KÖPING</t>
        </is>
      </c>
      <c r="H36" t="inlineStr">
        <is>
          <t>Sveaskog</t>
        </is>
      </c>
      <c r="I36" t="n">
        <v>3.5</v>
      </c>
      <c r="J36" t="n">
        <v>1</v>
      </c>
      <c r="K36" t="n">
        <v>0</v>
      </c>
      <c r="L36" t="n">
        <v>0</v>
      </c>
      <c r="M36" t="n">
        <v>0</v>
      </c>
      <c r="N36" t="n">
        <v>0</v>
      </c>
      <c r="O36" t="n">
        <v>0</v>
      </c>
      <c r="P36" t="n">
        <v>0</v>
      </c>
      <c r="Q36" t="n">
        <v>0</v>
      </c>
      <c r="R36" t="n">
        <v>0</v>
      </c>
      <c r="S36" t="n">
        <v>1</v>
      </c>
      <c r="T36" t="n">
        <v>1</v>
      </c>
      <c r="U36" s="2" t="inlineStr">
        <is>
          <t>Spillkråka</t>
        </is>
      </c>
      <c r="V36">
        <f>HYPERLINK("https://klasma.github.io/Logging_1983/artfynd/A 23398-2026 artfynd.xlsx", "A 23398-2026")</f>
        <v/>
      </c>
      <c r="W36">
        <f>HYPERLINK("https://klasma.github.io/Logging_1983/kartor/A 23398-2026 karta.png", "A 23398-2026")</f>
        <v/>
      </c>
      <c r="Y36">
        <f>HYPERLINK("https://klasma.github.io/Logging_1983/klagomål/A 23398-2026 FSC-klagomål.docx", "A 23398-2026")</f>
        <v/>
      </c>
      <c r="Z36">
        <f>HYPERLINK("https://klasma.github.io/Logging_1983/klagomålsmail/A 23398-2026 FSC-klagomål mail.docx", "A 23398-2026")</f>
        <v/>
      </c>
      <c r="AA36">
        <f>HYPERLINK("https://klasma.github.io/Logging_1983/tillsyn/A 23398-2026 tillsynsbegäran.docx", "A 23398-2026")</f>
        <v/>
      </c>
      <c r="AB36">
        <f>HYPERLINK("https://klasma.github.io/Logging_1983/tillsynsmail/A 23398-2026 tillsynsbegäran mail.docx", "A 23398-2026")</f>
        <v/>
      </c>
      <c r="AC36">
        <f>HYPERLINK("https://klasma.github.io/Logging_1983/fåglar/A 23398-2026 prioriterade fågelarter.docx", "A 23398-2026")</f>
        <v/>
      </c>
    </row>
    <row r="37" ht="15" customHeight="1">
      <c r="A37" t="inlineStr">
        <is>
          <t>A 30315-2026</t>
        </is>
      </c>
      <c r="B37" t="inlineStr">
        <is>
          <t>avverkningsanmälan</t>
        </is>
      </c>
      <c r="C37" t="inlineStr">
        <is>
          <t>Föryngringsavverkning</t>
        </is>
      </c>
      <c r="D37" s="1" t="n">
        <v>46206</v>
      </c>
      <c r="E37" s="1" t="n">
        <v>46218</v>
      </c>
      <c r="F37" t="inlineStr">
        <is>
          <t>VÄSTMANLANDS LÄN</t>
        </is>
      </c>
      <c r="G37" t="inlineStr">
        <is>
          <t>KÖPING</t>
        </is>
      </c>
      <c r="I37" t="n">
        <v>5.6</v>
      </c>
      <c r="J37" t="n">
        <v>0</v>
      </c>
      <c r="K37" t="n">
        <v>0</v>
      </c>
      <c r="L37" t="n">
        <v>1</v>
      </c>
      <c r="M37" t="n">
        <v>0</v>
      </c>
      <c r="N37" t="n">
        <v>0</v>
      </c>
      <c r="O37" t="n">
        <v>0</v>
      </c>
      <c r="P37" t="n">
        <v>0</v>
      </c>
      <c r="Q37" t="n">
        <v>1</v>
      </c>
      <c r="R37" t="n">
        <v>0</v>
      </c>
      <c r="S37" t="n">
        <v>1</v>
      </c>
      <c r="T37" t="n">
        <v>1</v>
      </c>
      <c r="U37" s="2" t="inlineStr">
        <is>
          <t>Svinrot</t>
        </is>
      </c>
      <c r="V37">
        <f>HYPERLINK("https://klasma.github.io/Logging_1983/artfynd/A 30315-2026 artfynd.xlsx", "A 30315-2026")</f>
        <v/>
      </c>
      <c r="W37">
        <f>HYPERLINK("https://klasma.github.io/Logging_1983/kartor/A 30315-2026 karta.png", "A 30315-2026")</f>
        <v/>
      </c>
      <c r="Y37">
        <f>HYPERLINK("https://klasma.github.io/Logging_1983/klagomål/A 30315-2026 FSC-klagomål.docx", "A 30315-2026")</f>
        <v/>
      </c>
      <c r="Z37">
        <f>HYPERLINK("https://klasma.github.io/Logging_1983/klagomålsmail/A 30315-2026 FSC-klagomål mail.docx", "A 30315-2026")</f>
        <v/>
      </c>
      <c r="AA37">
        <f>HYPERLINK("https://klasma.github.io/Logging_1983/tillsyn/A 30315-2026 tillsynsbegäran.docx", "A 30315-2026")</f>
        <v/>
      </c>
      <c r="AB37">
        <f>HYPERLINK("https://klasma.github.io/Logging_1983/tillsynsmail/A 30315-2026 tillsynsbegäran mail.docx", "A 30315-2026")</f>
        <v/>
      </c>
    </row>
    <row r="38" ht="15" customHeight="1">
      <c r="A38" t="inlineStr">
        <is>
          <t>A 55157-2023</t>
        </is>
      </c>
      <c r="B38" t="inlineStr">
        <is>
          <t>avverkningsanmälan</t>
        </is>
      </c>
      <c r="C38" t="inlineStr">
        <is>
          <t>Föryngringsavverkning</t>
        </is>
      </c>
      <c r="D38" s="1" t="n">
        <v>45237</v>
      </c>
      <c r="E38" s="1" t="n">
        <v>46218</v>
      </c>
      <c r="F38" t="inlineStr">
        <is>
          <t>VÄSTMANLANDS LÄN</t>
        </is>
      </c>
      <c r="G38" t="inlineStr">
        <is>
          <t>KÖPING</t>
        </is>
      </c>
      <c r="I38" t="n">
        <v>6.7</v>
      </c>
      <c r="J38" t="n">
        <v>1</v>
      </c>
      <c r="K38" t="n">
        <v>0</v>
      </c>
      <c r="L38" t="n">
        <v>0</v>
      </c>
      <c r="M38" t="n">
        <v>0</v>
      </c>
      <c r="N38" t="n">
        <v>0</v>
      </c>
      <c r="O38" t="n">
        <v>0</v>
      </c>
      <c r="P38" t="n">
        <v>0</v>
      </c>
      <c r="Q38" t="n">
        <v>0</v>
      </c>
      <c r="R38" t="n">
        <v>0</v>
      </c>
      <c r="S38" t="n">
        <v>1</v>
      </c>
      <c r="T38" t="n">
        <v>1</v>
      </c>
      <c r="U38" s="2" t="inlineStr">
        <is>
          <t>Nattviol</t>
        </is>
      </c>
      <c r="V38">
        <f>HYPERLINK("https://klasma.github.io/Logging_1983/artfynd/A 55157-2023 artfynd.xlsx", "A 55157-2023")</f>
        <v/>
      </c>
      <c r="W38">
        <f>HYPERLINK("https://klasma.github.io/Logging_1983/kartor/A 55157-2023 karta.png", "A 55157-2023")</f>
        <v/>
      </c>
      <c r="Y38">
        <f>HYPERLINK("https://klasma.github.io/Logging_1983/klagomål/A 55157-2023 FSC-klagomål.docx", "A 55157-2023")</f>
        <v/>
      </c>
      <c r="Z38">
        <f>HYPERLINK("https://klasma.github.io/Logging_1983/klagomålsmail/A 55157-2023 FSC-klagomål mail.docx", "A 55157-2023")</f>
        <v/>
      </c>
      <c r="AA38">
        <f>HYPERLINK("https://klasma.github.io/Logging_1983/tillsyn/A 55157-2023 tillsynsbegäran.docx", "A 55157-2023")</f>
        <v/>
      </c>
      <c r="AB38">
        <f>HYPERLINK("https://klasma.github.io/Logging_1983/tillsynsmail/A 55157-2023 tillsynsbegäran mail.docx", "A 55157-2023")</f>
        <v/>
      </c>
    </row>
    <row r="39" ht="15" customHeight="1">
      <c r="A39" t="inlineStr">
        <is>
          <t>A 33498-2025</t>
        </is>
      </c>
      <c r="B39" t="inlineStr">
        <is>
          <t>avverkningsanmälan</t>
        </is>
      </c>
      <c r="C39" t="inlineStr">
        <is>
          <t>Föryngringsavverkning</t>
        </is>
      </c>
      <c r="D39" s="1" t="n">
        <v>45841</v>
      </c>
      <c r="E39" s="1" t="n">
        <v>46218</v>
      </c>
      <c r="F39" t="inlineStr">
        <is>
          <t>VÄSTMANLANDS LÄN</t>
        </is>
      </c>
      <c r="G39" t="inlineStr">
        <is>
          <t>KÖPING</t>
        </is>
      </c>
      <c r="H39" t="inlineStr">
        <is>
          <t>Sveaskog</t>
        </is>
      </c>
      <c r="I39" t="n">
        <v>1</v>
      </c>
      <c r="J39" t="n">
        <v>0</v>
      </c>
      <c r="K39" t="n">
        <v>0</v>
      </c>
      <c r="L39" t="n">
        <v>1</v>
      </c>
      <c r="M39" t="n">
        <v>0</v>
      </c>
      <c r="N39" t="n">
        <v>0</v>
      </c>
      <c r="O39" t="n">
        <v>0</v>
      </c>
      <c r="P39" t="n">
        <v>0</v>
      </c>
      <c r="Q39" t="n">
        <v>1</v>
      </c>
      <c r="R39" t="n">
        <v>0</v>
      </c>
      <c r="S39" t="n">
        <v>1</v>
      </c>
      <c r="T39" t="n">
        <v>2</v>
      </c>
      <c r="U39" s="2" t="inlineStr">
        <is>
          <t>Skogsklocka</t>
        </is>
      </c>
      <c r="V39">
        <f>HYPERLINK("https://klasma.github.io/Logging_1983/artfynd/A 33498-2025 artfynd.xlsx", "A 33498-2025")</f>
        <v/>
      </c>
      <c r="W39">
        <f>HYPERLINK("https://klasma.github.io/Logging_1983/kartor/A 33498-2025 karta.png", "A 33498-2025")</f>
        <v/>
      </c>
      <c r="Y39">
        <f>HYPERLINK("https://klasma.github.io/Logging_1983/klagomål/A 33498-2025 FSC-klagomål.docx", "A 33498-2025")</f>
        <v/>
      </c>
      <c r="Z39">
        <f>HYPERLINK("https://klasma.github.io/Logging_1983/klagomålsmail/A 33498-2025 FSC-klagomål mail.docx", "A 33498-2025")</f>
        <v/>
      </c>
      <c r="AA39">
        <f>HYPERLINK("https://klasma.github.io/Logging_1983/tillsyn/A 33498-2025 tillsynsbegäran.docx", "A 33498-2025")</f>
        <v/>
      </c>
      <c r="AB39">
        <f>HYPERLINK("https://klasma.github.io/Logging_1983/tillsynsmail/A 33498-2025 tillsynsbegäran mail.docx", "A 33498-2025")</f>
        <v/>
      </c>
    </row>
    <row r="40" ht="15" customHeight="1">
      <c r="A40" t="inlineStr">
        <is>
          <t>S 4280-2023</t>
        </is>
      </c>
      <c r="B40" t="inlineStr">
        <is>
          <t>samrådsanmälan</t>
        </is>
      </c>
      <c r="C40" t="inlineStr">
        <is>
          <t>Annan skogsbruksåtgärd</t>
        </is>
      </c>
      <c r="D40" s="1" t="n">
        <v>45257</v>
      </c>
      <c r="E40" s="1" t="n">
        <v>46218</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s="2" t="inlineStr">
        <is>
          <t>Gulvit blekspik</t>
        </is>
      </c>
      <c r="V40">
        <f>HYPERLINK("https://klasma.github.io/Logging_1983/artfynd/S 4280-2023 artfynd.xlsx", "S 4280-2023")</f>
        <v/>
      </c>
      <c r="W40">
        <f>HYPERLINK("https://klasma.github.io/Logging_1983/kartor/S 4280-2023 karta.png", "S 4280-2023")</f>
        <v/>
      </c>
      <c r="Y40">
        <f>HYPERLINK("https://klasma.github.io/Logging_1983/klagomål/S 4280-2023 FSC-klagomål.docx", "S 4280-2023")</f>
        <v/>
      </c>
      <c r="Z40">
        <f>HYPERLINK("https://klasma.github.io/Logging_1983/klagomålsmail/S 4280-2023 FSC-klagomål mail.docx", "S 4280-2023")</f>
        <v/>
      </c>
      <c r="AA40">
        <f>HYPERLINK("https://klasma.github.io/Logging_1983/tillsyn/S 4280-2023 tillsynsbegäran.docx", "S 4280-2023")</f>
        <v/>
      </c>
      <c r="AB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46218</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s="2" t="inlineStr"/>
    </row>
    <row r="42" ht="15" customHeight="1">
      <c r="A42" t="inlineStr">
        <is>
          <t>A 35108-2022</t>
        </is>
      </c>
      <c r="B42" t="inlineStr">
        <is>
          <t>avverkningsanmälan</t>
        </is>
      </c>
      <c r="C42" t="inlineStr">
        <is>
          <t>Föryngringsavverkning</t>
        </is>
      </c>
      <c r="D42" s="1" t="n">
        <v>44797</v>
      </c>
      <c r="E42" s="1" t="n">
        <v>46218</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s="2" t="inlineStr"/>
    </row>
    <row r="43" ht="15" customHeight="1">
      <c r="A43" t="inlineStr">
        <is>
          <t>A 46661-2021</t>
        </is>
      </c>
      <c r="B43" t="inlineStr">
        <is>
          <t>avverkningsanmälan</t>
        </is>
      </c>
      <c r="C43" t="inlineStr">
        <is>
          <t>Föryngringsavverkning</t>
        </is>
      </c>
      <c r="D43" s="1" t="n">
        <v>44445</v>
      </c>
      <c r="E43" s="1" t="n">
        <v>46218</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s="2" t="inlineStr"/>
    </row>
    <row r="44" ht="15" customHeight="1">
      <c r="A44" t="inlineStr">
        <is>
          <t>A 69656-2021</t>
        </is>
      </c>
      <c r="B44" t="inlineStr">
        <is>
          <t>avverkningsanmälan</t>
        </is>
      </c>
      <c r="C44" t="inlineStr">
        <is>
          <t>Föryngringsavverkning</t>
        </is>
      </c>
      <c r="D44" s="1" t="n">
        <v>44532</v>
      </c>
      <c r="E44" s="1" t="n">
        <v>46218</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s="2" t="inlineStr"/>
    </row>
    <row r="45" ht="15" customHeight="1">
      <c r="A45" t="inlineStr">
        <is>
          <t>A 56249-2021</t>
        </is>
      </c>
      <c r="B45" t="inlineStr">
        <is>
          <t>avverkningsanmälan</t>
        </is>
      </c>
      <c r="C45" t="inlineStr">
        <is>
          <t>Föryngringsavverkning</t>
        </is>
      </c>
      <c r="D45" s="1" t="n">
        <v>44479</v>
      </c>
      <c r="E45" s="1" t="n">
        <v>46218</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s="2" t="inlineStr"/>
    </row>
    <row r="46" ht="15" customHeight="1">
      <c r="A46" t="inlineStr">
        <is>
          <t>A 58551-2021</t>
        </is>
      </c>
      <c r="B46" t="inlineStr">
        <is>
          <t>avverkningsanmälan</t>
        </is>
      </c>
      <c r="C46" t="inlineStr">
        <is>
          <t>Föryngringsavverkning</t>
        </is>
      </c>
      <c r="D46" s="1" t="n">
        <v>44488</v>
      </c>
      <c r="E46" s="1" t="n">
        <v>46218</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s="2" t="inlineStr"/>
    </row>
    <row r="47" ht="15" customHeight="1">
      <c r="A47" t="inlineStr">
        <is>
          <t>A 46343-2021</t>
        </is>
      </c>
      <c r="B47" t="inlineStr">
        <is>
          <t>avverkningsanmälan</t>
        </is>
      </c>
      <c r="C47" t="inlineStr">
        <is>
          <t>Föryngringsavverkning</t>
        </is>
      </c>
      <c r="D47" s="1" t="n">
        <v>44442</v>
      </c>
      <c r="E47" s="1" t="n">
        <v>46218</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s="2" t="inlineStr"/>
    </row>
    <row r="48" ht="15" customHeight="1">
      <c r="A48" t="inlineStr">
        <is>
          <t>A 39162-2021</t>
        </is>
      </c>
      <c r="B48" t="inlineStr">
        <is>
          <t>avverkningsanmälan</t>
        </is>
      </c>
      <c r="C48" t="inlineStr">
        <is>
          <t>Föryngringsavverkning</t>
        </is>
      </c>
      <c r="D48" s="1" t="n">
        <v>44412</v>
      </c>
      <c r="E48" s="1" t="n">
        <v>46218</v>
      </c>
      <c r="F48" t="inlineStr">
        <is>
          <t>VÄSTMANLANDS LÄN</t>
        </is>
      </c>
      <c r="G48" t="inlineStr">
        <is>
          <t>KÖPING</t>
        </is>
      </c>
      <c r="I48" t="n">
        <v>1.1</v>
      </c>
      <c r="J48" t="n">
        <v>0</v>
      </c>
      <c r="K48" t="n">
        <v>0</v>
      </c>
      <c r="L48" t="n">
        <v>0</v>
      </c>
      <c r="M48" t="n">
        <v>0</v>
      </c>
      <c r="N48" t="n">
        <v>0</v>
      </c>
      <c r="O48" t="n">
        <v>0</v>
      </c>
      <c r="P48" t="n">
        <v>0</v>
      </c>
      <c r="Q48" t="n">
        <v>0</v>
      </c>
      <c r="R48" t="n">
        <v>0</v>
      </c>
      <c r="S48" t="n">
        <v>0</v>
      </c>
      <c r="T48" t="n">
        <v>0</v>
      </c>
      <c r="U48" s="2" t="inlineStr"/>
    </row>
    <row r="49" ht="15" customHeight="1">
      <c r="A49" t="inlineStr">
        <is>
          <t>A 57769-2021</t>
        </is>
      </c>
      <c r="B49" t="inlineStr">
        <is>
          <t>avverkningsanmälan</t>
        </is>
      </c>
      <c r="C49" t="inlineStr">
        <is>
          <t>Föryngringsavverkning</t>
        </is>
      </c>
      <c r="D49" s="1" t="n">
        <v>44484</v>
      </c>
      <c r="E49" s="1" t="n">
        <v>46218</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s="2" t="inlineStr"/>
    </row>
    <row r="50" ht="15" customHeight="1">
      <c r="A50" t="inlineStr">
        <is>
          <t>A 8845-2022</t>
        </is>
      </c>
      <c r="B50" t="inlineStr">
        <is>
          <t>avverkningsanmälan</t>
        </is>
      </c>
      <c r="C50" t="inlineStr">
        <is>
          <t>Föryngringsavverkning</t>
        </is>
      </c>
      <c r="D50" s="1" t="n">
        <v>44614</v>
      </c>
      <c r="E50" s="1" t="n">
        <v>46218</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s="2" t="inlineStr"/>
    </row>
    <row r="51" ht="15" customHeight="1">
      <c r="A51" t="inlineStr">
        <is>
          <t>A 42491-2022</t>
        </is>
      </c>
      <c r="B51" t="inlineStr">
        <is>
          <t>avverkningsanmälan</t>
        </is>
      </c>
      <c r="C51" t="inlineStr">
        <is>
          <t>Föryngringsavverkning</t>
        </is>
      </c>
      <c r="D51" s="1" t="n">
        <v>44831</v>
      </c>
      <c r="E51" s="1" t="n">
        <v>46218</v>
      </c>
      <c r="F51" t="inlineStr">
        <is>
          <t>VÄSTMANLANDS LÄN</t>
        </is>
      </c>
      <c r="G51" t="inlineStr">
        <is>
          <t>KÖPING</t>
        </is>
      </c>
      <c r="I51" t="n">
        <v>1.7</v>
      </c>
      <c r="J51" t="n">
        <v>0</v>
      </c>
      <c r="K51" t="n">
        <v>0</v>
      </c>
      <c r="L51" t="n">
        <v>0</v>
      </c>
      <c r="M51" t="n">
        <v>0</v>
      </c>
      <c r="N51" t="n">
        <v>0</v>
      </c>
      <c r="O51" t="n">
        <v>0</v>
      </c>
      <c r="P51" t="n">
        <v>0</v>
      </c>
      <c r="Q51" t="n">
        <v>0</v>
      </c>
      <c r="R51" t="n">
        <v>0</v>
      </c>
      <c r="S51" t="n">
        <v>0</v>
      </c>
      <c r="T51" t="n">
        <v>0</v>
      </c>
      <c r="U51" s="2" t="inlineStr"/>
    </row>
    <row r="52" ht="15" customHeight="1">
      <c r="A52" t="inlineStr">
        <is>
          <t>A 41052-2022</t>
        </is>
      </c>
      <c r="B52" t="inlineStr">
        <is>
          <t>avverkningsanmälan</t>
        </is>
      </c>
      <c r="C52" t="inlineStr">
        <is>
          <t>Föryngringsavverkning</t>
        </is>
      </c>
      <c r="D52" s="1" t="n">
        <v>44825</v>
      </c>
      <c r="E52" s="1" t="n">
        <v>46218</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s="2" t="inlineStr"/>
    </row>
    <row r="53" ht="15" customHeight="1">
      <c r="A53" t="inlineStr">
        <is>
          <t>A 69645-2021</t>
        </is>
      </c>
      <c r="B53" t="inlineStr">
        <is>
          <t>avverkningsanmälan</t>
        </is>
      </c>
      <c r="C53" t="inlineStr">
        <is>
          <t>Föryngringsavverkning</t>
        </is>
      </c>
      <c r="D53" s="1" t="n">
        <v>44532</v>
      </c>
      <c r="E53" s="1" t="n">
        <v>46218</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s="2" t="inlineStr"/>
    </row>
    <row r="54" ht="15" customHeight="1">
      <c r="A54" t="inlineStr">
        <is>
          <t>A 45910-2021</t>
        </is>
      </c>
      <c r="B54" t="inlineStr">
        <is>
          <t>avverkningsanmälan</t>
        </is>
      </c>
      <c r="C54" t="inlineStr">
        <is>
          <t>Föryngringsavverkning</t>
        </is>
      </c>
      <c r="D54" s="1" t="n">
        <v>44441</v>
      </c>
      <c r="E54" s="1" t="n">
        <v>46218</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s="2" t="inlineStr"/>
    </row>
    <row r="55" ht="15" customHeight="1">
      <c r="A55" t="inlineStr">
        <is>
          <t>A 36866-2021</t>
        </is>
      </c>
      <c r="B55" t="inlineStr">
        <is>
          <t>avverkningsanmälan</t>
        </is>
      </c>
      <c r="C55" t="inlineStr">
        <is>
          <t>Föryngringsavverkning</t>
        </is>
      </c>
      <c r="D55" s="1" t="n">
        <v>44393</v>
      </c>
      <c r="E55" s="1" t="n">
        <v>46218</v>
      </c>
      <c r="F55" t="inlineStr">
        <is>
          <t>VÄSTMANLANDS LÄN</t>
        </is>
      </c>
      <c r="G55" t="inlineStr">
        <is>
          <t>KÖPING</t>
        </is>
      </c>
      <c r="I55" t="n">
        <v>3.4</v>
      </c>
      <c r="J55" t="n">
        <v>0</v>
      </c>
      <c r="K55" t="n">
        <v>0</v>
      </c>
      <c r="L55" t="n">
        <v>0</v>
      </c>
      <c r="M55" t="n">
        <v>0</v>
      </c>
      <c r="N55" t="n">
        <v>0</v>
      </c>
      <c r="O55" t="n">
        <v>0</v>
      </c>
      <c r="P55" t="n">
        <v>0</v>
      </c>
      <c r="Q55" t="n">
        <v>0</v>
      </c>
      <c r="R55" t="n">
        <v>0</v>
      </c>
      <c r="S55" t="n">
        <v>0</v>
      </c>
      <c r="T55" t="n">
        <v>0</v>
      </c>
      <c r="U55" s="2" t="inlineStr"/>
    </row>
    <row r="56" ht="15" customHeight="1">
      <c r="A56" t="inlineStr">
        <is>
          <t>A 54301-2021</t>
        </is>
      </c>
      <c r="B56" t="inlineStr">
        <is>
          <t>avverkningsanmälan</t>
        </is>
      </c>
      <c r="C56" t="inlineStr">
        <is>
          <t>Föryngringsavverkning</t>
        </is>
      </c>
      <c r="D56" s="1" t="n">
        <v>44472</v>
      </c>
      <c r="E56" s="1" t="n">
        <v>46218</v>
      </c>
      <c r="F56" t="inlineStr">
        <is>
          <t>VÄSTMANLANDS LÄN</t>
        </is>
      </c>
      <c r="G56" t="inlineStr">
        <is>
          <t>KÖPING</t>
        </is>
      </c>
      <c r="I56" t="n">
        <v>2.6</v>
      </c>
      <c r="J56" t="n">
        <v>0</v>
      </c>
      <c r="K56" t="n">
        <v>0</v>
      </c>
      <c r="L56" t="n">
        <v>0</v>
      </c>
      <c r="M56" t="n">
        <v>0</v>
      </c>
      <c r="N56" t="n">
        <v>0</v>
      </c>
      <c r="O56" t="n">
        <v>0</v>
      </c>
      <c r="P56" t="n">
        <v>0</v>
      </c>
      <c r="Q56" t="n">
        <v>0</v>
      </c>
      <c r="R56" t="n">
        <v>0</v>
      </c>
      <c r="S56" t="n">
        <v>0</v>
      </c>
      <c r="T56" t="n">
        <v>0</v>
      </c>
      <c r="U56" s="2" t="inlineStr"/>
    </row>
    <row r="57" ht="15" customHeight="1">
      <c r="A57" t="inlineStr">
        <is>
          <t>A 71717-2021</t>
        </is>
      </c>
      <c r="B57" t="inlineStr">
        <is>
          <t>avverkningsanmälan</t>
        </is>
      </c>
      <c r="C57" t="inlineStr">
        <is>
          <t>Föryngringsavverkning</t>
        </is>
      </c>
      <c r="D57" s="1" t="n">
        <v>44539</v>
      </c>
      <c r="E57" s="1" t="n">
        <v>46218</v>
      </c>
      <c r="F57" t="inlineStr">
        <is>
          <t>VÄSTMANLANDS LÄN</t>
        </is>
      </c>
      <c r="G57" t="inlineStr">
        <is>
          <t>KÖPING</t>
        </is>
      </c>
      <c r="I57" t="n">
        <v>9.300000000000001</v>
      </c>
      <c r="J57" t="n">
        <v>0</v>
      </c>
      <c r="K57" t="n">
        <v>0</v>
      </c>
      <c r="L57" t="n">
        <v>0</v>
      </c>
      <c r="M57" t="n">
        <v>0</v>
      </c>
      <c r="N57" t="n">
        <v>0</v>
      </c>
      <c r="O57" t="n">
        <v>0</v>
      </c>
      <c r="P57" t="n">
        <v>0</v>
      </c>
      <c r="Q57" t="n">
        <v>0</v>
      </c>
      <c r="R57" t="n">
        <v>0</v>
      </c>
      <c r="S57" t="n">
        <v>0</v>
      </c>
      <c r="T57" t="n">
        <v>0</v>
      </c>
      <c r="U57" s="2" t="inlineStr"/>
    </row>
    <row r="58" ht="15" customHeight="1">
      <c r="A58" t="inlineStr">
        <is>
          <t>A 17810-2022</t>
        </is>
      </c>
      <c r="B58" t="inlineStr">
        <is>
          <t>avverkningsanmälan</t>
        </is>
      </c>
      <c r="C58" t="inlineStr">
        <is>
          <t>Föryngringsavverkning</t>
        </is>
      </c>
      <c r="D58" s="1" t="n">
        <v>44683</v>
      </c>
      <c r="E58" s="1" t="n">
        <v>46218</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s="2" t="inlineStr"/>
    </row>
    <row r="59" ht="15" customHeight="1">
      <c r="A59" t="inlineStr">
        <is>
          <t>A 8687-2022</t>
        </is>
      </c>
      <c r="B59" t="inlineStr">
        <is>
          <t>avverkningsanmälan</t>
        </is>
      </c>
      <c r="C59" t="inlineStr">
        <is>
          <t>Avverkning för annat ändamål</t>
        </is>
      </c>
      <c r="D59" s="1" t="n">
        <v>44613</v>
      </c>
      <c r="E59" s="1" t="n">
        <v>46218</v>
      </c>
      <c r="F59" t="inlineStr">
        <is>
          <t>VÄSTMANLANDS LÄN</t>
        </is>
      </c>
      <c r="G59" t="inlineStr">
        <is>
          <t>KÖPING</t>
        </is>
      </c>
      <c r="I59" t="n">
        <v>0.4</v>
      </c>
      <c r="J59" t="n">
        <v>0</v>
      </c>
      <c r="K59" t="n">
        <v>0</v>
      </c>
      <c r="L59" t="n">
        <v>0</v>
      </c>
      <c r="M59" t="n">
        <v>0</v>
      </c>
      <c r="N59" t="n">
        <v>0</v>
      </c>
      <c r="O59" t="n">
        <v>0</v>
      </c>
      <c r="P59" t="n">
        <v>0</v>
      </c>
      <c r="Q59" t="n">
        <v>0</v>
      </c>
      <c r="R59" t="n">
        <v>0</v>
      </c>
      <c r="S59" t="n">
        <v>0</v>
      </c>
      <c r="T59" t="n">
        <v>0</v>
      </c>
      <c r="U59" s="2" t="inlineStr"/>
    </row>
    <row r="60" ht="15" customHeight="1">
      <c r="A60" t="inlineStr">
        <is>
          <t>A 35144-2022</t>
        </is>
      </c>
      <c r="B60" t="inlineStr">
        <is>
          <t>avverkningsanmälan</t>
        </is>
      </c>
      <c r="C60" t="inlineStr">
        <is>
          <t>Föryngringsavverkning</t>
        </is>
      </c>
      <c r="D60" s="1" t="n">
        <v>44797</v>
      </c>
      <c r="E60" s="1" t="n">
        <v>46218</v>
      </c>
      <c r="F60" t="inlineStr">
        <is>
          <t>VÄSTMANLANDS LÄN</t>
        </is>
      </c>
      <c r="G60" t="inlineStr">
        <is>
          <t>KÖPING</t>
        </is>
      </c>
      <c r="I60" t="n">
        <v>1.2</v>
      </c>
      <c r="J60" t="n">
        <v>0</v>
      </c>
      <c r="K60" t="n">
        <v>0</v>
      </c>
      <c r="L60" t="n">
        <v>0</v>
      </c>
      <c r="M60" t="n">
        <v>0</v>
      </c>
      <c r="N60" t="n">
        <v>0</v>
      </c>
      <c r="O60" t="n">
        <v>0</v>
      </c>
      <c r="P60" t="n">
        <v>0</v>
      </c>
      <c r="Q60" t="n">
        <v>0</v>
      </c>
      <c r="R60" t="n">
        <v>0</v>
      </c>
      <c r="S60" t="n">
        <v>0</v>
      </c>
      <c r="T60" t="n">
        <v>0</v>
      </c>
      <c r="U60" s="2" t="inlineStr"/>
    </row>
    <row r="61" ht="15" customHeight="1">
      <c r="A61" t="inlineStr">
        <is>
          <t>A 51203-2022</t>
        </is>
      </c>
      <c r="B61" t="inlineStr">
        <is>
          <t>avverkningsanmälan</t>
        </is>
      </c>
      <c r="C61" t="inlineStr">
        <is>
          <t>Föryngringsavverkning</t>
        </is>
      </c>
      <c r="D61" s="1" t="n">
        <v>44868</v>
      </c>
      <c r="E61" s="1" t="n">
        <v>46218</v>
      </c>
      <c r="F61" t="inlineStr">
        <is>
          <t>VÄSTMANLANDS LÄN</t>
        </is>
      </c>
      <c r="G61" t="inlineStr">
        <is>
          <t>KÖPING</t>
        </is>
      </c>
      <c r="I61" t="n">
        <v>0.9</v>
      </c>
      <c r="J61" t="n">
        <v>0</v>
      </c>
      <c r="K61" t="n">
        <v>0</v>
      </c>
      <c r="L61" t="n">
        <v>0</v>
      </c>
      <c r="M61" t="n">
        <v>0</v>
      </c>
      <c r="N61" t="n">
        <v>0</v>
      </c>
      <c r="O61" t="n">
        <v>0</v>
      </c>
      <c r="P61" t="n">
        <v>0</v>
      </c>
      <c r="Q61" t="n">
        <v>0</v>
      </c>
      <c r="R61" t="n">
        <v>0</v>
      </c>
      <c r="S61" t="n">
        <v>0</v>
      </c>
      <c r="T61" t="n">
        <v>0</v>
      </c>
      <c r="U61" s="2" t="inlineStr"/>
    </row>
    <row r="62" ht="15" customHeight="1">
      <c r="A62" t="inlineStr">
        <is>
          <t>A 73890-2021</t>
        </is>
      </c>
      <c r="B62" t="inlineStr">
        <is>
          <t>avverkningsanmälan</t>
        </is>
      </c>
      <c r="C62" t="inlineStr">
        <is>
          <t>Föryngringsavverkning</t>
        </is>
      </c>
      <c r="D62" s="1" t="n">
        <v>44553</v>
      </c>
      <c r="E62" s="1" t="n">
        <v>46218</v>
      </c>
      <c r="F62" t="inlineStr">
        <is>
          <t>VÄSTMANLANDS LÄN</t>
        </is>
      </c>
      <c r="G62" t="inlineStr">
        <is>
          <t>KÖPING</t>
        </is>
      </c>
      <c r="I62" t="n">
        <v>2.9</v>
      </c>
      <c r="J62" t="n">
        <v>0</v>
      </c>
      <c r="K62" t="n">
        <v>0</v>
      </c>
      <c r="L62" t="n">
        <v>0</v>
      </c>
      <c r="M62" t="n">
        <v>0</v>
      </c>
      <c r="N62" t="n">
        <v>0</v>
      </c>
      <c r="O62" t="n">
        <v>0</v>
      </c>
      <c r="P62" t="n">
        <v>0</v>
      </c>
      <c r="Q62" t="n">
        <v>0</v>
      </c>
      <c r="R62" t="n">
        <v>0</v>
      </c>
      <c r="S62" t="n">
        <v>0</v>
      </c>
      <c r="T62" t="n">
        <v>0</v>
      </c>
      <c r="U62" s="2" t="inlineStr"/>
    </row>
    <row r="63" ht="15" customHeight="1">
      <c r="A63" t="inlineStr">
        <is>
          <t>A 72460-2021</t>
        </is>
      </c>
      <c r="B63" t="inlineStr">
        <is>
          <t>avverkningsanmälan</t>
        </is>
      </c>
      <c r="C63" t="inlineStr">
        <is>
          <t>Föryngringsavverkning</t>
        </is>
      </c>
      <c r="D63" s="1" t="n">
        <v>44545</v>
      </c>
      <c r="E63" s="1" t="n">
        <v>46218</v>
      </c>
      <c r="F63" t="inlineStr">
        <is>
          <t>VÄSTMANLANDS LÄN</t>
        </is>
      </c>
      <c r="G63" t="inlineStr">
        <is>
          <t>KÖPING</t>
        </is>
      </c>
      <c r="I63" t="n">
        <v>2.6</v>
      </c>
      <c r="J63" t="n">
        <v>0</v>
      </c>
      <c r="K63" t="n">
        <v>0</v>
      </c>
      <c r="L63" t="n">
        <v>0</v>
      </c>
      <c r="M63" t="n">
        <v>0</v>
      </c>
      <c r="N63" t="n">
        <v>0</v>
      </c>
      <c r="O63" t="n">
        <v>0</v>
      </c>
      <c r="P63" t="n">
        <v>0</v>
      </c>
      <c r="Q63" t="n">
        <v>0</v>
      </c>
      <c r="R63" t="n">
        <v>0</v>
      </c>
      <c r="S63" t="n">
        <v>0</v>
      </c>
      <c r="T63" t="n">
        <v>0</v>
      </c>
      <c r="U63" s="2" t="inlineStr"/>
    </row>
    <row r="64" ht="15" customHeight="1">
      <c r="A64" t="inlineStr">
        <is>
          <t>A 15160-2022</t>
        </is>
      </c>
      <c r="B64" t="inlineStr">
        <is>
          <t>avverkningsanmälan</t>
        </is>
      </c>
      <c r="C64" t="inlineStr">
        <is>
          <t>Föryngringsavverkning</t>
        </is>
      </c>
      <c r="D64" s="1" t="n">
        <v>44658</v>
      </c>
      <c r="E64" s="1" t="n">
        <v>46218</v>
      </c>
      <c r="F64" t="inlineStr">
        <is>
          <t>VÄSTMANLANDS LÄN</t>
        </is>
      </c>
      <c r="G64" t="inlineStr">
        <is>
          <t>KÖPING</t>
        </is>
      </c>
      <c r="I64" t="n">
        <v>0.5</v>
      </c>
      <c r="J64" t="n">
        <v>0</v>
      </c>
      <c r="K64" t="n">
        <v>0</v>
      </c>
      <c r="L64" t="n">
        <v>0</v>
      </c>
      <c r="M64" t="n">
        <v>0</v>
      </c>
      <c r="N64" t="n">
        <v>0</v>
      </c>
      <c r="O64" t="n">
        <v>0</v>
      </c>
      <c r="P64" t="n">
        <v>0</v>
      </c>
      <c r="Q64" t="n">
        <v>0</v>
      </c>
      <c r="R64" t="n">
        <v>0</v>
      </c>
      <c r="S64" t="n">
        <v>0</v>
      </c>
      <c r="T64" t="n">
        <v>0</v>
      </c>
      <c r="U64" s="2" t="inlineStr"/>
    </row>
    <row r="65" ht="15" customHeight="1">
      <c r="A65" t="inlineStr">
        <is>
          <t>A 15165-2022</t>
        </is>
      </c>
      <c r="B65" t="inlineStr">
        <is>
          <t>avverkningsanmälan</t>
        </is>
      </c>
      <c r="C65" t="inlineStr">
        <is>
          <t>Föryngringsavverkning</t>
        </is>
      </c>
      <c r="D65" s="1" t="n">
        <v>44658</v>
      </c>
      <c r="E65" s="1" t="n">
        <v>46218</v>
      </c>
      <c r="F65" t="inlineStr">
        <is>
          <t>VÄSTMANLANDS LÄN</t>
        </is>
      </c>
      <c r="G65" t="inlineStr">
        <is>
          <t>KÖPING</t>
        </is>
      </c>
      <c r="I65" t="n">
        <v>0.8</v>
      </c>
      <c r="J65" t="n">
        <v>0</v>
      </c>
      <c r="K65" t="n">
        <v>0</v>
      </c>
      <c r="L65" t="n">
        <v>0</v>
      </c>
      <c r="M65" t="n">
        <v>0</v>
      </c>
      <c r="N65" t="n">
        <v>0</v>
      </c>
      <c r="O65" t="n">
        <v>0</v>
      </c>
      <c r="P65" t="n">
        <v>0</v>
      </c>
      <c r="Q65" t="n">
        <v>0</v>
      </c>
      <c r="R65" t="n">
        <v>0</v>
      </c>
      <c r="S65" t="n">
        <v>0</v>
      </c>
      <c r="T65" t="n">
        <v>0</v>
      </c>
      <c r="U65" s="2" t="inlineStr"/>
    </row>
    <row r="66" ht="15" customHeight="1">
      <c r="A66" t="inlineStr">
        <is>
          <t>A 70909-2021</t>
        </is>
      </c>
      <c r="B66" t="inlineStr">
        <is>
          <t>avverkningsanmälan</t>
        </is>
      </c>
      <c r="C66" t="inlineStr">
        <is>
          <t>Föryngringsavverkning</t>
        </is>
      </c>
      <c r="D66" s="1" t="n">
        <v>44538</v>
      </c>
      <c r="E66" s="1" t="n">
        <v>46218</v>
      </c>
      <c r="F66" t="inlineStr">
        <is>
          <t>VÄSTMANLANDS LÄN</t>
        </is>
      </c>
      <c r="G66" t="inlineStr">
        <is>
          <t>KÖPING</t>
        </is>
      </c>
      <c r="I66" t="n">
        <v>3.6</v>
      </c>
      <c r="J66" t="n">
        <v>0</v>
      </c>
      <c r="K66" t="n">
        <v>0</v>
      </c>
      <c r="L66" t="n">
        <v>0</v>
      </c>
      <c r="M66" t="n">
        <v>0</v>
      </c>
      <c r="N66" t="n">
        <v>0</v>
      </c>
      <c r="O66" t="n">
        <v>0</v>
      </c>
      <c r="P66" t="n">
        <v>0</v>
      </c>
      <c r="Q66" t="n">
        <v>0</v>
      </c>
      <c r="R66" t="n">
        <v>0</v>
      </c>
      <c r="S66" t="n">
        <v>0</v>
      </c>
      <c r="T66" t="n">
        <v>0</v>
      </c>
      <c r="U66" s="2" t="inlineStr"/>
    </row>
    <row r="67" ht="15" customHeight="1">
      <c r="A67" t="inlineStr">
        <is>
          <t>A 53148-2021</t>
        </is>
      </c>
      <c r="B67" t="inlineStr">
        <is>
          <t>avverkningsanmälan</t>
        </is>
      </c>
      <c r="C67" t="inlineStr">
        <is>
          <t>Avverkning för att bevara och utveckla /försöksver</t>
        </is>
      </c>
      <c r="D67" s="1" t="n">
        <v>44468</v>
      </c>
      <c r="E67" s="1" t="n">
        <v>46218</v>
      </c>
      <c r="F67" t="inlineStr">
        <is>
          <t>VÄSTMANLANDS LÄN</t>
        </is>
      </c>
      <c r="G67" t="inlineStr">
        <is>
          <t>KÖPING</t>
        </is>
      </c>
      <c r="H67" t="inlineStr">
        <is>
          <t>Sveaskog</t>
        </is>
      </c>
      <c r="I67" t="n">
        <v>3.8</v>
      </c>
      <c r="J67" t="n">
        <v>0</v>
      </c>
      <c r="K67" t="n">
        <v>0</v>
      </c>
      <c r="L67" t="n">
        <v>0</v>
      </c>
      <c r="M67" t="n">
        <v>0</v>
      </c>
      <c r="N67" t="n">
        <v>0</v>
      </c>
      <c r="O67" t="n">
        <v>0</v>
      </c>
      <c r="P67" t="n">
        <v>0</v>
      </c>
      <c r="Q67" t="n">
        <v>0</v>
      </c>
      <c r="R67" t="n">
        <v>0</v>
      </c>
      <c r="S67" t="n">
        <v>0</v>
      </c>
      <c r="T67" t="n">
        <v>0</v>
      </c>
      <c r="U67" s="2" t="inlineStr"/>
    </row>
    <row r="68" ht="15" customHeight="1">
      <c r="A68" t="inlineStr">
        <is>
          <t>A 60627-2021</t>
        </is>
      </c>
      <c r="B68" t="inlineStr">
        <is>
          <t>avverkningsanmälan</t>
        </is>
      </c>
      <c r="C68" t="inlineStr">
        <is>
          <t>Avverkning för annat ändamål</t>
        </is>
      </c>
      <c r="D68" s="1" t="n">
        <v>44496</v>
      </c>
      <c r="E68" s="1" t="n">
        <v>46218</v>
      </c>
      <c r="F68" t="inlineStr">
        <is>
          <t>VÄSTMANLANDS LÄN</t>
        </is>
      </c>
      <c r="G68" t="inlineStr">
        <is>
          <t>KÖPING</t>
        </is>
      </c>
      <c r="I68" t="n">
        <v>1.4</v>
      </c>
      <c r="J68" t="n">
        <v>0</v>
      </c>
      <c r="K68" t="n">
        <v>0</v>
      </c>
      <c r="L68" t="n">
        <v>0</v>
      </c>
      <c r="M68" t="n">
        <v>0</v>
      </c>
      <c r="N68" t="n">
        <v>0</v>
      </c>
      <c r="O68" t="n">
        <v>0</v>
      </c>
      <c r="P68" t="n">
        <v>0</v>
      </c>
      <c r="Q68" t="n">
        <v>0</v>
      </c>
      <c r="R68" t="n">
        <v>0</v>
      </c>
      <c r="S68" t="n">
        <v>0</v>
      </c>
      <c r="T68" t="n">
        <v>0</v>
      </c>
      <c r="U68" s="2" t="inlineStr"/>
    </row>
    <row r="69" ht="15" customHeight="1">
      <c r="A69" t="inlineStr">
        <is>
          <t>A 16693-2022</t>
        </is>
      </c>
      <c r="B69" t="inlineStr">
        <is>
          <t>avverkningsanmälan</t>
        </is>
      </c>
      <c r="C69" t="inlineStr">
        <is>
          <t>Föryngringsavverkning</t>
        </is>
      </c>
      <c r="D69" s="1" t="n">
        <v>44673</v>
      </c>
      <c r="E69" s="1" t="n">
        <v>46218</v>
      </c>
      <c r="F69" t="inlineStr">
        <is>
          <t>VÄSTMANLANDS LÄN</t>
        </is>
      </c>
      <c r="G69" t="inlineStr">
        <is>
          <t>KÖPING</t>
        </is>
      </c>
      <c r="I69" t="n">
        <v>4.8</v>
      </c>
      <c r="J69" t="n">
        <v>0</v>
      </c>
      <c r="K69" t="n">
        <v>0</v>
      </c>
      <c r="L69" t="n">
        <v>0</v>
      </c>
      <c r="M69" t="n">
        <v>0</v>
      </c>
      <c r="N69" t="n">
        <v>0</v>
      </c>
      <c r="O69" t="n">
        <v>0</v>
      </c>
      <c r="P69" t="n">
        <v>0</v>
      </c>
      <c r="Q69" t="n">
        <v>0</v>
      </c>
      <c r="R69" t="n">
        <v>0</v>
      </c>
      <c r="S69" t="n">
        <v>0</v>
      </c>
      <c r="T69" t="n">
        <v>0</v>
      </c>
      <c r="U69" s="2" t="inlineStr"/>
    </row>
    <row r="70" ht="15" customHeight="1">
      <c r="A70" t="inlineStr">
        <is>
          <t>A 23624-2022</t>
        </is>
      </c>
      <c r="B70" t="inlineStr">
        <is>
          <t>avverkningsanmälan</t>
        </is>
      </c>
      <c r="C70" t="inlineStr">
        <is>
          <t>Föryngringsavverkning</t>
        </is>
      </c>
      <c r="D70" s="1" t="n">
        <v>44721</v>
      </c>
      <c r="E70" s="1" t="n">
        <v>46218</v>
      </c>
      <c r="F70" t="inlineStr">
        <is>
          <t>VÄSTMANLANDS LÄN</t>
        </is>
      </c>
      <c r="G70" t="inlineStr">
        <is>
          <t>KÖPING</t>
        </is>
      </c>
      <c r="I70" t="n">
        <v>14.1</v>
      </c>
      <c r="J70" t="n">
        <v>0</v>
      </c>
      <c r="K70" t="n">
        <v>0</v>
      </c>
      <c r="L70" t="n">
        <v>0</v>
      </c>
      <c r="M70" t="n">
        <v>0</v>
      </c>
      <c r="N70" t="n">
        <v>0</v>
      </c>
      <c r="O70" t="n">
        <v>0</v>
      </c>
      <c r="P70" t="n">
        <v>0</v>
      </c>
      <c r="Q70" t="n">
        <v>0</v>
      </c>
      <c r="R70" t="n">
        <v>0</v>
      </c>
      <c r="S70" t="n">
        <v>0</v>
      </c>
      <c r="T70" t="n">
        <v>0</v>
      </c>
      <c r="U70" s="2" t="inlineStr"/>
    </row>
    <row r="71" ht="15" customHeight="1">
      <c r="A71" t="inlineStr">
        <is>
          <t>A 31193-2022</t>
        </is>
      </c>
      <c r="B71" t="inlineStr">
        <is>
          <t>avverkningsanmälan</t>
        </is>
      </c>
      <c r="C71" t="inlineStr">
        <is>
          <t>Föryngringsavverkning</t>
        </is>
      </c>
      <c r="D71" s="1" t="n">
        <v>44770</v>
      </c>
      <c r="E71" s="1" t="n">
        <v>46218</v>
      </c>
      <c r="F71" t="inlineStr">
        <is>
          <t>VÄSTMANLANDS LÄN</t>
        </is>
      </c>
      <c r="G71" t="inlineStr">
        <is>
          <t>KÖPING</t>
        </is>
      </c>
      <c r="H71" t="inlineStr">
        <is>
          <t>Sveaskog</t>
        </is>
      </c>
      <c r="I71" t="n">
        <v>0.5</v>
      </c>
      <c r="J71" t="n">
        <v>0</v>
      </c>
      <c r="K71" t="n">
        <v>0</v>
      </c>
      <c r="L71" t="n">
        <v>0</v>
      </c>
      <c r="M71" t="n">
        <v>0</v>
      </c>
      <c r="N71" t="n">
        <v>0</v>
      </c>
      <c r="O71" t="n">
        <v>0</v>
      </c>
      <c r="P71" t="n">
        <v>0</v>
      </c>
      <c r="Q71" t="n">
        <v>0</v>
      </c>
      <c r="R71" t="n">
        <v>0</v>
      </c>
      <c r="S71" t="n">
        <v>0</v>
      </c>
      <c r="T71" t="n">
        <v>0</v>
      </c>
      <c r="U71" s="2" t="inlineStr"/>
    </row>
    <row r="72" ht="15" customHeight="1">
      <c r="A72" t="inlineStr">
        <is>
          <t>A 73888-2021</t>
        </is>
      </c>
      <c r="B72" t="inlineStr">
        <is>
          <t>avverkningsanmälan</t>
        </is>
      </c>
      <c r="C72" t="inlineStr">
        <is>
          <t>Föryngringsavverkning</t>
        </is>
      </c>
      <c r="D72" s="1" t="n">
        <v>44553</v>
      </c>
      <c r="E72" s="1" t="n">
        <v>46218</v>
      </c>
      <c r="F72" t="inlineStr">
        <is>
          <t>VÄSTMANLANDS LÄN</t>
        </is>
      </c>
      <c r="G72" t="inlineStr">
        <is>
          <t>KÖPING</t>
        </is>
      </c>
      <c r="I72" t="n">
        <v>2.4</v>
      </c>
      <c r="J72" t="n">
        <v>0</v>
      </c>
      <c r="K72" t="n">
        <v>0</v>
      </c>
      <c r="L72" t="n">
        <v>0</v>
      </c>
      <c r="M72" t="n">
        <v>0</v>
      </c>
      <c r="N72" t="n">
        <v>0</v>
      </c>
      <c r="O72" t="n">
        <v>0</v>
      </c>
      <c r="P72" t="n">
        <v>0</v>
      </c>
      <c r="Q72" t="n">
        <v>0</v>
      </c>
      <c r="R72" t="n">
        <v>0</v>
      </c>
      <c r="S72" t="n">
        <v>0</v>
      </c>
      <c r="T72" t="n">
        <v>0</v>
      </c>
      <c r="U72" s="2" t="inlineStr"/>
    </row>
    <row r="73" ht="15" customHeight="1">
      <c r="A73" t="inlineStr">
        <is>
          <t>A 27891-2023</t>
        </is>
      </c>
      <c r="B73" t="inlineStr">
        <is>
          <t>avverkningsanmälan</t>
        </is>
      </c>
      <c r="C73" t="inlineStr">
        <is>
          <t>Föryngringsavverkning</t>
        </is>
      </c>
      <c r="D73" s="1" t="n">
        <v>45098</v>
      </c>
      <c r="E73" s="1" t="n">
        <v>46218</v>
      </c>
      <c r="F73" t="inlineStr">
        <is>
          <t>VÄSTMANLANDS LÄN</t>
        </is>
      </c>
      <c r="G73" t="inlineStr">
        <is>
          <t>KÖPING</t>
        </is>
      </c>
      <c r="I73" t="n">
        <v>4.5</v>
      </c>
      <c r="J73" t="n">
        <v>0</v>
      </c>
      <c r="K73" t="n">
        <v>0</v>
      </c>
      <c r="L73" t="n">
        <v>0</v>
      </c>
      <c r="M73" t="n">
        <v>0</v>
      </c>
      <c r="N73" t="n">
        <v>0</v>
      </c>
      <c r="O73" t="n">
        <v>0</v>
      </c>
      <c r="P73" t="n">
        <v>0</v>
      </c>
      <c r="Q73" t="n">
        <v>0</v>
      </c>
      <c r="R73" t="n">
        <v>0</v>
      </c>
      <c r="S73" t="n">
        <v>0</v>
      </c>
      <c r="T73" t="n">
        <v>0</v>
      </c>
      <c r="U73" s="2" t="inlineStr"/>
    </row>
    <row r="74" ht="15" customHeight="1">
      <c r="A74" t="inlineStr">
        <is>
          <t>A 45714-2021</t>
        </is>
      </c>
      <c r="B74" t="inlineStr">
        <is>
          <t>avverkningsanmälan</t>
        </is>
      </c>
      <c r="C74" t="inlineStr">
        <is>
          <t>Föryngringsavverkning</t>
        </is>
      </c>
      <c r="D74" s="1" t="n">
        <v>44441</v>
      </c>
      <c r="E74" s="1" t="n">
        <v>46218</v>
      </c>
      <c r="F74" t="inlineStr">
        <is>
          <t>VÄSTMANLANDS LÄN</t>
        </is>
      </c>
      <c r="G74" t="inlineStr">
        <is>
          <t>KÖPING</t>
        </is>
      </c>
      <c r="I74" t="n">
        <v>1.5</v>
      </c>
      <c r="J74" t="n">
        <v>0</v>
      </c>
      <c r="K74" t="n">
        <v>0</v>
      </c>
      <c r="L74" t="n">
        <v>0</v>
      </c>
      <c r="M74" t="n">
        <v>0</v>
      </c>
      <c r="N74" t="n">
        <v>0</v>
      </c>
      <c r="O74" t="n">
        <v>0</v>
      </c>
      <c r="P74" t="n">
        <v>0</v>
      </c>
      <c r="Q74" t="n">
        <v>0</v>
      </c>
      <c r="R74" t="n">
        <v>0</v>
      </c>
      <c r="S74" t="n">
        <v>0</v>
      </c>
      <c r="T74" t="n">
        <v>0</v>
      </c>
      <c r="U74" s="2" t="inlineStr"/>
    </row>
    <row r="75" ht="15" customHeight="1">
      <c r="A75" t="inlineStr">
        <is>
          <t>A 6949-2023</t>
        </is>
      </c>
      <c r="B75" t="inlineStr">
        <is>
          <t>avverkningsanmälan</t>
        </is>
      </c>
      <c r="C75" t="inlineStr">
        <is>
          <t>Föryngringsavverkning</t>
        </is>
      </c>
      <c r="D75" s="1" t="n">
        <v>44967</v>
      </c>
      <c r="E75" s="1" t="n">
        <v>46218</v>
      </c>
      <c r="F75" t="inlineStr">
        <is>
          <t>VÄSTMANLANDS LÄN</t>
        </is>
      </c>
      <c r="G75" t="inlineStr">
        <is>
          <t>KÖPING</t>
        </is>
      </c>
      <c r="H75" t="inlineStr">
        <is>
          <t>Sveaskog</t>
        </is>
      </c>
      <c r="I75" t="n">
        <v>1.1</v>
      </c>
      <c r="J75" t="n">
        <v>0</v>
      </c>
      <c r="K75" t="n">
        <v>0</v>
      </c>
      <c r="L75" t="n">
        <v>0</v>
      </c>
      <c r="M75" t="n">
        <v>0</v>
      </c>
      <c r="N75" t="n">
        <v>0</v>
      </c>
      <c r="O75" t="n">
        <v>0</v>
      </c>
      <c r="P75" t="n">
        <v>0</v>
      </c>
      <c r="Q75" t="n">
        <v>0</v>
      </c>
      <c r="R75" t="n">
        <v>0</v>
      </c>
      <c r="S75" t="n">
        <v>0</v>
      </c>
      <c r="T75" t="n">
        <v>0</v>
      </c>
      <c r="U75" s="2" t="inlineStr"/>
    </row>
    <row r="76" ht="15" customHeight="1">
      <c r="A76" t="inlineStr">
        <is>
          <t>A 29960-2024</t>
        </is>
      </c>
      <c r="B76" t="inlineStr">
        <is>
          <t>avverkningsanmälan</t>
        </is>
      </c>
      <c r="C76" t="inlineStr">
        <is>
          <t>Föryngringsavverkning</t>
        </is>
      </c>
      <c r="D76" s="1" t="n">
        <v>45488</v>
      </c>
      <c r="E76" s="1" t="n">
        <v>46218</v>
      </c>
      <c r="F76" t="inlineStr">
        <is>
          <t>VÄSTMANLANDS LÄN</t>
        </is>
      </c>
      <c r="G76" t="inlineStr">
        <is>
          <t>KÖPING</t>
        </is>
      </c>
      <c r="I76" t="n">
        <v>11.5</v>
      </c>
      <c r="J76" t="n">
        <v>0</v>
      </c>
      <c r="K76" t="n">
        <v>0</v>
      </c>
      <c r="L76" t="n">
        <v>0</v>
      </c>
      <c r="M76" t="n">
        <v>0</v>
      </c>
      <c r="N76" t="n">
        <v>0</v>
      </c>
      <c r="O76" t="n">
        <v>0</v>
      </c>
      <c r="P76" t="n">
        <v>0</v>
      </c>
      <c r="Q76" t="n">
        <v>0</v>
      </c>
      <c r="R76" t="n">
        <v>0</v>
      </c>
      <c r="S76" t="n">
        <v>0</v>
      </c>
      <c r="T76" t="n">
        <v>0</v>
      </c>
      <c r="U76" s="2" t="inlineStr"/>
    </row>
    <row r="77" ht="15" customHeight="1">
      <c r="A77" t="inlineStr">
        <is>
          <t>A 41472-2024</t>
        </is>
      </c>
      <c r="B77" t="inlineStr">
        <is>
          <t>avverkningsanmälan</t>
        </is>
      </c>
      <c r="C77" t="inlineStr">
        <is>
          <t>Föryngringsavverkning</t>
        </is>
      </c>
      <c r="D77" s="1" t="n">
        <v>45560</v>
      </c>
      <c r="E77" s="1" t="n">
        <v>46218</v>
      </c>
      <c r="F77" t="inlineStr">
        <is>
          <t>VÄSTMANLANDS LÄN</t>
        </is>
      </c>
      <c r="G77" t="inlineStr">
        <is>
          <t>KÖPING</t>
        </is>
      </c>
      <c r="I77" t="n">
        <v>3.2</v>
      </c>
      <c r="J77" t="n">
        <v>0</v>
      </c>
      <c r="K77" t="n">
        <v>0</v>
      </c>
      <c r="L77" t="n">
        <v>0</v>
      </c>
      <c r="M77" t="n">
        <v>0</v>
      </c>
      <c r="N77" t="n">
        <v>0</v>
      </c>
      <c r="O77" t="n">
        <v>0</v>
      </c>
      <c r="P77" t="n">
        <v>0</v>
      </c>
      <c r="Q77" t="n">
        <v>0</v>
      </c>
      <c r="R77" t="n">
        <v>0</v>
      </c>
      <c r="S77" t="n">
        <v>0</v>
      </c>
      <c r="T77" t="n">
        <v>0</v>
      </c>
      <c r="U77" s="2" t="inlineStr"/>
    </row>
    <row r="78" ht="15" customHeight="1">
      <c r="A78" t="inlineStr">
        <is>
          <t>A 9303-2024</t>
        </is>
      </c>
      <c r="B78" t="inlineStr">
        <is>
          <t>avverkningsanmälan</t>
        </is>
      </c>
      <c r="C78" t="inlineStr">
        <is>
          <t>Föryngringsavverkning</t>
        </is>
      </c>
      <c r="D78" s="1" t="n">
        <v>45358</v>
      </c>
      <c r="E78" s="1" t="n">
        <v>46218</v>
      </c>
      <c r="F78" t="inlineStr">
        <is>
          <t>VÄSTMANLANDS LÄN</t>
        </is>
      </c>
      <c r="G78" t="inlineStr">
        <is>
          <t>KÖPING</t>
        </is>
      </c>
      <c r="I78" t="n">
        <v>2.3</v>
      </c>
      <c r="J78" t="n">
        <v>0</v>
      </c>
      <c r="K78" t="n">
        <v>0</v>
      </c>
      <c r="L78" t="n">
        <v>0</v>
      </c>
      <c r="M78" t="n">
        <v>0</v>
      </c>
      <c r="N78" t="n">
        <v>0</v>
      </c>
      <c r="O78" t="n">
        <v>0</v>
      </c>
      <c r="P78" t="n">
        <v>0</v>
      </c>
      <c r="Q78" t="n">
        <v>0</v>
      </c>
      <c r="R78" t="n">
        <v>0</v>
      </c>
      <c r="S78" t="n">
        <v>0</v>
      </c>
      <c r="T78" t="n">
        <v>0</v>
      </c>
      <c r="U78" s="2" t="inlineStr"/>
    </row>
    <row r="79" ht="15" customHeight="1">
      <c r="A79" t="inlineStr">
        <is>
          <t>A 15858-2025</t>
        </is>
      </c>
      <c r="B79" t="inlineStr">
        <is>
          <t>avverkningsanmälan</t>
        </is>
      </c>
      <c r="C79" t="inlineStr">
        <is>
          <t>Föryngringsavverkning</t>
        </is>
      </c>
      <c r="D79" s="1" t="n">
        <v>45749</v>
      </c>
      <c r="E79" s="1" t="n">
        <v>46218</v>
      </c>
      <c r="F79" t="inlineStr">
        <is>
          <t>VÄSTMANLANDS LÄN</t>
        </is>
      </c>
      <c r="G79" t="inlineStr">
        <is>
          <t>KÖPING</t>
        </is>
      </c>
      <c r="I79" t="n">
        <v>1</v>
      </c>
      <c r="J79" t="n">
        <v>0</v>
      </c>
      <c r="K79" t="n">
        <v>0</v>
      </c>
      <c r="L79" t="n">
        <v>0</v>
      </c>
      <c r="M79" t="n">
        <v>0</v>
      </c>
      <c r="N79" t="n">
        <v>0</v>
      </c>
      <c r="O79" t="n">
        <v>0</v>
      </c>
      <c r="P79" t="n">
        <v>0</v>
      </c>
      <c r="Q79" t="n">
        <v>0</v>
      </c>
      <c r="R79" t="n">
        <v>0</v>
      </c>
      <c r="S79" t="n">
        <v>0</v>
      </c>
      <c r="T79" t="n">
        <v>0</v>
      </c>
      <c r="U79" s="2" t="inlineStr"/>
    </row>
    <row r="80" ht="15" customHeight="1">
      <c r="A80" t="inlineStr">
        <is>
          <t>A 3508-2025</t>
        </is>
      </c>
      <c r="B80" t="inlineStr">
        <is>
          <t>avverkningsanmälan</t>
        </is>
      </c>
      <c r="C80" t="inlineStr">
        <is>
          <t>Föryngringsavverkning</t>
        </is>
      </c>
      <c r="D80" s="1" t="n">
        <v>45680</v>
      </c>
      <c r="E80" s="1" t="n">
        <v>46218</v>
      </c>
      <c r="F80" t="inlineStr">
        <is>
          <t>VÄSTMANLANDS LÄN</t>
        </is>
      </c>
      <c r="G80" t="inlineStr">
        <is>
          <t>KÖPING</t>
        </is>
      </c>
      <c r="I80" t="n">
        <v>0.9</v>
      </c>
      <c r="J80" t="n">
        <v>0</v>
      </c>
      <c r="K80" t="n">
        <v>0</v>
      </c>
      <c r="L80" t="n">
        <v>0</v>
      </c>
      <c r="M80" t="n">
        <v>0</v>
      </c>
      <c r="N80" t="n">
        <v>0</v>
      </c>
      <c r="O80" t="n">
        <v>0</v>
      </c>
      <c r="P80" t="n">
        <v>0</v>
      </c>
      <c r="Q80" t="n">
        <v>0</v>
      </c>
      <c r="R80" t="n">
        <v>0</v>
      </c>
      <c r="S80" t="n">
        <v>0</v>
      </c>
      <c r="T80" t="n">
        <v>0</v>
      </c>
      <c r="U80" s="2" t="inlineStr"/>
    </row>
    <row r="81" ht="15" customHeight="1">
      <c r="A81" t="inlineStr">
        <is>
          <t>A 28937-2024</t>
        </is>
      </c>
      <c r="B81" t="inlineStr">
        <is>
          <t>avverkningsanmälan</t>
        </is>
      </c>
      <c r="C81" t="inlineStr">
        <is>
          <t>Föryngringsavverkning</t>
        </is>
      </c>
      <c r="D81" s="1" t="n">
        <v>45480</v>
      </c>
      <c r="E81" s="1" t="n">
        <v>46218</v>
      </c>
      <c r="F81" t="inlineStr">
        <is>
          <t>VÄSTMANLANDS LÄN</t>
        </is>
      </c>
      <c r="G81" t="inlineStr">
        <is>
          <t>KÖPING</t>
        </is>
      </c>
      <c r="I81" t="n">
        <v>3.1</v>
      </c>
      <c r="J81" t="n">
        <v>0</v>
      </c>
      <c r="K81" t="n">
        <v>0</v>
      </c>
      <c r="L81" t="n">
        <v>0</v>
      </c>
      <c r="M81" t="n">
        <v>0</v>
      </c>
      <c r="N81" t="n">
        <v>0</v>
      </c>
      <c r="O81" t="n">
        <v>0</v>
      </c>
      <c r="P81" t="n">
        <v>0</v>
      </c>
      <c r="Q81" t="n">
        <v>0</v>
      </c>
      <c r="R81" t="n">
        <v>0</v>
      </c>
      <c r="S81" t="n">
        <v>0</v>
      </c>
      <c r="T81" t="n">
        <v>0</v>
      </c>
      <c r="U81" s="2" t="inlineStr"/>
    </row>
    <row r="82" ht="15" customHeight="1">
      <c r="A82" t="inlineStr">
        <is>
          <t>A 25660-2024</t>
        </is>
      </c>
      <c r="B82" t="inlineStr">
        <is>
          <t>avverkningsanmälan</t>
        </is>
      </c>
      <c r="C82" t="inlineStr">
        <is>
          <t>Föryngringsavverkning</t>
        </is>
      </c>
      <c r="D82" s="1" t="n">
        <v>45463</v>
      </c>
      <c r="E82" s="1" t="n">
        <v>46218</v>
      </c>
      <c r="F82" t="inlineStr">
        <is>
          <t>VÄSTMANLANDS LÄN</t>
        </is>
      </c>
      <c r="G82" t="inlineStr">
        <is>
          <t>KÖPING</t>
        </is>
      </c>
      <c r="I82" t="n">
        <v>0.9</v>
      </c>
      <c r="J82" t="n">
        <v>0</v>
      </c>
      <c r="K82" t="n">
        <v>0</v>
      </c>
      <c r="L82" t="n">
        <v>0</v>
      </c>
      <c r="M82" t="n">
        <v>0</v>
      </c>
      <c r="N82" t="n">
        <v>0</v>
      </c>
      <c r="O82" t="n">
        <v>0</v>
      </c>
      <c r="P82" t="n">
        <v>0</v>
      </c>
      <c r="Q82" t="n">
        <v>0</v>
      </c>
      <c r="R82" t="n">
        <v>0</v>
      </c>
      <c r="S82" t="n">
        <v>0</v>
      </c>
      <c r="T82" t="n">
        <v>0</v>
      </c>
      <c r="U82" s="2" t="inlineStr"/>
    </row>
    <row r="83" ht="15" customHeight="1">
      <c r="A83" t="inlineStr">
        <is>
          <t>A 2584-2024</t>
        </is>
      </c>
      <c r="B83" t="inlineStr">
        <is>
          <t>avverkningsanmälan</t>
        </is>
      </c>
      <c r="C83" t="inlineStr">
        <is>
          <t>Avverkning för annat ändamål</t>
        </is>
      </c>
      <c r="D83" s="1" t="n">
        <v>45313</v>
      </c>
      <c r="E83" s="1" t="n">
        <v>46218</v>
      </c>
      <c r="F83" t="inlineStr">
        <is>
          <t>VÄSTMANLANDS LÄN</t>
        </is>
      </c>
      <c r="G83" t="inlineStr">
        <is>
          <t>KÖPING</t>
        </is>
      </c>
      <c r="I83" t="n">
        <v>3.5</v>
      </c>
      <c r="J83" t="n">
        <v>0</v>
      </c>
      <c r="K83" t="n">
        <v>0</v>
      </c>
      <c r="L83" t="n">
        <v>0</v>
      </c>
      <c r="M83" t="n">
        <v>0</v>
      </c>
      <c r="N83" t="n">
        <v>0</v>
      </c>
      <c r="O83" t="n">
        <v>0</v>
      </c>
      <c r="P83" t="n">
        <v>0</v>
      </c>
      <c r="Q83" t="n">
        <v>0</v>
      </c>
      <c r="R83" t="n">
        <v>0</v>
      </c>
      <c r="S83" t="n">
        <v>0</v>
      </c>
      <c r="T83" t="n">
        <v>0</v>
      </c>
      <c r="U83" s="2" t="inlineStr"/>
    </row>
    <row r="84" ht="15" customHeight="1">
      <c r="A84" t="inlineStr">
        <is>
          <t>A 61358-2023</t>
        </is>
      </c>
      <c r="B84" t="inlineStr">
        <is>
          <t>avverkningsanmälan</t>
        </is>
      </c>
      <c r="C84" t="inlineStr">
        <is>
          <t>Föryngringsavverkning</t>
        </is>
      </c>
      <c r="D84" s="1" t="n">
        <v>45264</v>
      </c>
      <c r="E84" s="1" t="n">
        <v>46218</v>
      </c>
      <c r="F84" t="inlineStr">
        <is>
          <t>VÄSTMANLANDS LÄN</t>
        </is>
      </c>
      <c r="G84" t="inlineStr">
        <is>
          <t>KÖPING</t>
        </is>
      </c>
      <c r="I84" t="n">
        <v>1.1</v>
      </c>
      <c r="J84" t="n">
        <v>0</v>
      </c>
      <c r="K84" t="n">
        <v>0</v>
      </c>
      <c r="L84" t="n">
        <v>0</v>
      </c>
      <c r="M84" t="n">
        <v>0</v>
      </c>
      <c r="N84" t="n">
        <v>0</v>
      </c>
      <c r="O84" t="n">
        <v>0</v>
      </c>
      <c r="P84" t="n">
        <v>0</v>
      </c>
      <c r="Q84" t="n">
        <v>0</v>
      </c>
      <c r="R84" t="n">
        <v>0</v>
      </c>
      <c r="S84" t="n">
        <v>0</v>
      </c>
      <c r="T84" t="n">
        <v>0</v>
      </c>
      <c r="U84" s="2" t="inlineStr"/>
    </row>
    <row r="85" ht="15" customHeight="1">
      <c r="A85" t="inlineStr">
        <is>
          <t>A 33989-2024</t>
        </is>
      </c>
      <c r="B85" t="inlineStr">
        <is>
          <t>avverkningsanmälan</t>
        </is>
      </c>
      <c r="C85" t="inlineStr">
        <is>
          <t>Avverkning för annat ändamål</t>
        </is>
      </c>
      <c r="D85" s="1" t="n">
        <v>45523</v>
      </c>
      <c r="E85" s="1" t="n">
        <v>46218</v>
      </c>
      <c r="F85" t="inlineStr">
        <is>
          <t>VÄSTMANLANDS LÄN</t>
        </is>
      </c>
      <c r="G85" t="inlineStr">
        <is>
          <t>KÖPING</t>
        </is>
      </c>
      <c r="I85" t="n">
        <v>2.1</v>
      </c>
      <c r="J85" t="n">
        <v>0</v>
      </c>
      <c r="K85" t="n">
        <v>0</v>
      </c>
      <c r="L85" t="n">
        <v>0</v>
      </c>
      <c r="M85" t="n">
        <v>0</v>
      </c>
      <c r="N85" t="n">
        <v>0</v>
      </c>
      <c r="O85" t="n">
        <v>0</v>
      </c>
      <c r="P85" t="n">
        <v>0</v>
      </c>
      <c r="Q85" t="n">
        <v>0</v>
      </c>
      <c r="R85" t="n">
        <v>0</v>
      </c>
      <c r="S85" t="n">
        <v>0</v>
      </c>
      <c r="T85" t="n">
        <v>0</v>
      </c>
      <c r="U85" s="2" t="inlineStr"/>
    </row>
    <row r="86" ht="15" customHeight="1">
      <c r="A86" t="inlineStr">
        <is>
          <t>A 28230-2023</t>
        </is>
      </c>
      <c r="B86" t="inlineStr">
        <is>
          <t>avverkningsanmälan</t>
        </is>
      </c>
      <c r="C86" t="inlineStr">
        <is>
          <t>Föryngringsavverkning</t>
        </is>
      </c>
      <c r="D86" s="1" t="n">
        <v>45099</v>
      </c>
      <c r="E86" s="1" t="n">
        <v>46218</v>
      </c>
      <c r="F86" t="inlineStr">
        <is>
          <t>VÄSTMANLANDS LÄN</t>
        </is>
      </c>
      <c r="G86" t="inlineStr">
        <is>
          <t>KÖPING</t>
        </is>
      </c>
      <c r="I86" t="n">
        <v>6.7</v>
      </c>
      <c r="J86" t="n">
        <v>0</v>
      </c>
      <c r="K86" t="n">
        <v>0</v>
      </c>
      <c r="L86" t="n">
        <v>0</v>
      </c>
      <c r="M86" t="n">
        <v>0</v>
      </c>
      <c r="N86" t="n">
        <v>0</v>
      </c>
      <c r="O86" t="n">
        <v>0</v>
      </c>
      <c r="P86" t="n">
        <v>0</v>
      </c>
      <c r="Q86" t="n">
        <v>0</v>
      </c>
      <c r="R86" t="n">
        <v>0</v>
      </c>
      <c r="S86" t="n">
        <v>0</v>
      </c>
      <c r="T86" t="n">
        <v>0</v>
      </c>
      <c r="U86" s="2" t="inlineStr"/>
    </row>
    <row r="87" ht="15" customHeight="1">
      <c r="A87" t="inlineStr">
        <is>
          <t>A 1926-2025</t>
        </is>
      </c>
      <c r="B87" t="inlineStr">
        <is>
          <t>avverkningsanmälan</t>
        </is>
      </c>
      <c r="C87" t="inlineStr">
        <is>
          <t>Föryngringsavverkning</t>
        </is>
      </c>
      <c r="D87" s="1" t="n">
        <v>45671</v>
      </c>
      <c r="E87" s="1" t="n">
        <v>46218</v>
      </c>
      <c r="F87" t="inlineStr">
        <is>
          <t>VÄSTMANLANDS LÄN</t>
        </is>
      </c>
      <c r="G87" t="inlineStr">
        <is>
          <t>KÖPING</t>
        </is>
      </c>
      <c r="I87" t="n">
        <v>2.6</v>
      </c>
      <c r="J87" t="n">
        <v>0</v>
      </c>
      <c r="K87" t="n">
        <v>0</v>
      </c>
      <c r="L87" t="n">
        <v>0</v>
      </c>
      <c r="M87" t="n">
        <v>0</v>
      </c>
      <c r="N87" t="n">
        <v>0</v>
      </c>
      <c r="O87" t="n">
        <v>0</v>
      </c>
      <c r="P87" t="n">
        <v>0</v>
      </c>
      <c r="Q87" t="n">
        <v>0</v>
      </c>
      <c r="R87" t="n">
        <v>0</v>
      </c>
      <c r="S87" t="n">
        <v>0</v>
      </c>
      <c r="T87" t="n">
        <v>0</v>
      </c>
      <c r="U87" s="2" t="inlineStr"/>
    </row>
    <row r="88" ht="15" customHeight="1">
      <c r="A88" t="inlineStr">
        <is>
          <t>A 40502-2025</t>
        </is>
      </c>
      <c r="B88" t="inlineStr">
        <is>
          <t>avverkningsanmälan</t>
        </is>
      </c>
      <c r="C88" t="inlineStr">
        <is>
          <t>Föryngringsavverkning</t>
        </is>
      </c>
      <c r="D88" s="1" t="n">
        <v>45896</v>
      </c>
      <c r="E88" s="1" t="n">
        <v>46218</v>
      </c>
      <c r="F88" t="inlineStr">
        <is>
          <t>VÄSTMANLANDS LÄN</t>
        </is>
      </c>
      <c r="G88" t="inlineStr">
        <is>
          <t>KÖPING</t>
        </is>
      </c>
      <c r="I88" t="n">
        <v>2.1</v>
      </c>
      <c r="J88" t="n">
        <v>0</v>
      </c>
      <c r="K88" t="n">
        <v>0</v>
      </c>
      <c r="L88" t="n">
        <v>0</v>
      </c>
      <c r="M88" t="n">
        <v>0</v>
      </c>
      <c r="N88" t="n">
        <v>0</v>
      </c>
      <c r="O88" t="n">
        <v>0</v>
      </c>
      <c r="P88" t="n">
        <v>0</v>
      </c>
      <c r="Q88" t="n">
        <v>0</v>
      </c>
      <c r="R88" t="n">
        <v>0</v>
      </c>
      <c r="S88" t="n">
        <v>0</v>
      </c>
      <c r="T88" t="n">
        <v>0</v>
      </c>
      <c r="U88" s="2" t="inlineStr"/>
    </row>
    <row r="89" ht="15" customHeight="1">
      <c r="A89" t="inlineStr">
        <is>
          <t>A 45308-2023</t>
        </is>
      </c>
      <c r="B89" t="inlineStr">
        <is>
          <t>avverkningsanmälan</t>
        </is>
      </c>
      <c r="C89" t="inlineStr">
        <is>
          <t>Föryngringsavverkning</t>
        </is>
      </c>
      <c r="D89" s="1" t="n">
        <v>45191</v>
      </c>
      <c r="E89" s="1" t="n">
        <v>46218</v>
      </c>
      <c r="F89" t="inlineStr">
        <is>
          <t>VÄSTMANLANDS LÄN</t>
        </is>
      </c>
      <c r="G89" t="inlineStr">
        <is>
          <t>KÖPING</t>
        </is>
      </c>
      <c r="I89" t="n">
        <v>5</v>
      </c>
      <c r="J89" t="n">
        <v>0</v>
      </c>
      <c r="K89" t="n">
        <v>0</v>
      </c>
      <c r="L89" t="n">
        <v>0</v>
      </c>
      <c r="M89" t="n">
        <v>0</v>
      </c>
      <c r="N89" t="n">
        <v>0</v>
      </c>
      <c r="O89" t="n">
        <v>0</v>
      </c>
      <c r="P89" t="n">
        <v>0</v>
      </c>
      <c r="Q89" t="n">
        <v>0</v>
      </c>
      <c r="R89" t="n">
        <v>0</v>
      </c>
      <c r="S89" t="n">
        <v>0</v>
      </c>
      <c r="T89" t="n">
        <v>0</v>
      </c>
      <c r="U89" s="2" t="inlineStr"/>
    </row>
    <row r="90" ht="15" customHeight="1">
      <c r="A90" t="inlineStr">
        <is>
          <t>A 64044-2023</t>
        </is>
      </c>
      <c r="B90" t="inlineStr">
        <is>
          <t>avverkningsanmälan</t>
        </is>
      </c>
      <c r="C90" t="inlineStr">
        <is>
          <t>Föryngringsavverkning</t>
        </is>
      </c>
      <c r="D90" s="1" t="n">
        <v>45278</v>
      </c>
      <c r="E90" s="1" t="n">
        <v>46218</v>
      </c>
      <c r="F90" t="inlineStr">
        <is>
          <t>VÄSTMANLANDS LÄN</t>
        </is>
      </c>
      <c r="G90" t="inlineStr">
        <is>
          <t>KÖPING</t>
        </is>
      </c>
      <c r="I90" t="n">
        <v>1.4</v>
      </c>
      <c r="J90" t="n">
        <v>0</v>
      </c>
      <c r="K90" t="n">
        <v>0</v>
      </c>
      <c r="L90" t="n">
        <v>0</v>
      </c>
      <c r="M90" t="n">
        <v>0</v>
      </c>
      <c r="N90" t="n">
        <v>0</v>
      </c>
      <c r="O90" t="n">
        <v>0</v>
      </c>
      <c r="P90" t="n">
        <v>0</v>
      </c>
      <c r="Q90" t="n">
        <v>0</v>
      </c>
      <c r="R90" t="n">
        <v>0</v>
      </c>
      <c r="S90" t="n">
        <v>0</v>
      </c>
      <c r="T90" t="n">
        <v>0</v>
      </c>
      <c r="U90" s="2" t="inlineStr"/>
    </row>
    <row r="91" ht="15" customHeight="1">
      <c r="A91" t="inlineStr">
        <is>
          <t>A 45664-2024</t>
        </is>
      </c>
      <c r="B91" t="inlineStr">
        <is>
          <t>avverkningsanmälan</t>
        </is>
      </c>
      <c r="C91" t="inlineStr">
        <is>
          <t>Avverkning för annat ändamål</t>
        </is>
      </c>
      <c r="D91" s="1" t="n">
        <v>45579</v>
      </c>
      <c r="E91" s="1" t="n">
        <v>46218</v>
      </c>
      <c r="F91" t="inlineStr">
        <is>
          <t>VÄSTMANLANDS LÄN</t>
        </is>
      </c>
      <c r="G91" t="inlineStr">
        <is>
          <t>KÖPING</t>
        </is>
      </c>
      <c r="I91" t="n">
        <v>0.3</v>
      </c>
      <c r="J91" t="n">
        <v>0</v>
      </c>
      <c r="K91" t="n">
        <v>0</v>
      </c>
      <c r="L91" t="n">
        <v>0</v>
      </c>
      <c r="M91" t="n">
        <v>0</v>
      </c>
      <c r="N91" t="n">
        <v>0</v>
      </c>
      <c r="O91" t="n">
        <v>0</v>
      </c>
      <c r="P91" t="n">
        <v>0</v>
      </c>
      <c r="Q91" t="n">
        <v>0</v>
      </c>
      <c r="R91" t="n">
        <v>0</v>
      </c>
      <c r="S91" t="n">
        <v>0</v>
      </c>
      <c r="T91" t="n">
        <v>0</v>
      </c>
      <c r="U91" s="2" t="inlineStr"/>
    </row>
    <row r="92" ht="15" customHeight="1">
      <c r="A92" t="inlineStr">
        <is>
          <t>A 17380-2023</t>
        </is>
      </c>
      <c r="B92" t="inlineStr">
        <is>
          <t>avverkningsanmälan</t>
        </is>
      </c>
      <c r="C92" t="inlineStr">
        <is>
          <t>Föryngringsavverkning</t>
        </is>
      </c>
      <c r="D92" s="1" t="n">
        <v>45035</v>
      </c>
      <c r="E92" s="1" t="n">
        <v>46218</v>
      </c>
      <c r="F92" t="inlineStr">
        <is>
          <t>VÄSTMANLANDS LÄN</t>
        </is>
      </c>
      <c r="G92" t="inlineStr">
        <is>
          <t>KÖPING</t>
        </is>
      </c>
      <c r="I92" t="n">
        <v>1.5</v>
      </c>
      <c r="J92" t="n">
        <v>0</v>
      </c>
      <c r="K92" t="n">
        <v>0</v>
      </c>
      <c r="L92" t="n">
        <v>0</v>
      </c>
      <c r="M92" t="n">
        <v>0</v>
      </c>
      <c r="N92" t="n">
        <v>0</v>
      </c>
      <c r="O92" t="n">
        <v>0</v>
      </c>
      <c r="P92" t="n">
        <v>0</v>
      </c>
      <c r="Q92" t="n">
        <v>0</v>
      </c>
      <c r="R92" t="n">
        <v>0</v>
      </c>
      <c r="S92" t="n">
        <v>0</v>
      </c>
      <c r="T92" t="n">
        <v>0</v>
      </c>
      <c r="U92" s="2" t="inlineStr"/>
    </row>
    <row r="93" ht="15" customHeight="1">
      <c r="A93" t="inlineStr">
        <is>
          <t>A 59735-2022</t>
        </is>
      </c>
      <c r="B93" t="inlineStr">
        <is>
          <t>avverkningsanmälan</t>
        </is>
      </c>
      <c r="C93" t="inlineStr">
        <is>
          <t>Föryngringsavverkning</t>
        </is>
      </c>
      <c r="D93" s="1" t="n">
        <v>44908</v>
      </c>
      <c r="E93" s="1" t="n">
        <v>46218</v>
      </c>
      <c r="F93" t="inlineStr">
        <is>
          <t>VÄSTMANLANDS LÄN</t>
        </is>
      </c>
      <c r="G93" t="inlineStr">
        <is>
          <t>KÖPING</t>
        </is>
      </c>
      <c r="I93" t="n">
        <v>3.9</v>
      </c>
      <c r="J93" t="n">
        <v>0</v>
      </c>
      <c r="K93" t="n">
        <v>0</v>
      </c>
      <c r="L93" t="n">
        <v>0</v>
      </c>
      <c r="M93" t="n">
        <v>0</v>
      </c>
      <c r="N93" t="n">
        <v>0</v>
      </c>
      <c r="O93" t="n">
        <v>0</v>
      </c>
      <c r="P93" t="n">
        <v>0</v>
      </c>
      <c r="Q93" t="n">
        <v>0</v>
      </c>
      <c r="R93" t="n">
        <v>0</v>
      </c>
      <c r="S93" t="n">
        <v>0</v>
      </c>
      <c r="T93" t="n">
        <v>0</v>
      </c>
      <c r="U93" s="2" t="inlineStr"/>
    </row>
    <row r="94" ht="15" customHeight="1">
      <c r="A94" t="inlineStr">
        <is>
          <t>A 40693-2023</t>
        </is>
      </c>
      <c r="B94" t="inlineStr">
        <is>
          <t>avverkningsanmälan</t>
        </is>
      </c>
      <c r="C94" t="inlineStr">
        <is>
          <t>Avverkning för att bevara och utveckla /försöksver</t>
        </is>
      </c>
      <c r="D94" s="1" t="n">
        <v>45170</v>
      </c>
      <c r="E94" s="1" t="n">
        <v>46218</v>
      </c>
      <c r="F94" t="inlineStr">
        <is>
          <t>VÄSTMANLANDS LÄN</t>
        </is>
      </c>
      <c r="G94" t="inlineStr">
        <is>
          <t>KÖPING</t>
        </is>
      </c>
      <c r="H94" t="inlineStr">
        <is>
          <t>Sveaskog</t>
        </is>
      </c>
      <c r="I94" t="n">
        <v>1.7</v>
      </c>
      <c r="J94" t="n">
        <v>0</v>
      </c>
      <c r="K94" t="n">
        <v>0</v>
      </c>
      <c r="L94" t="n">
        <v>0</v>
      </c>
      <c r="M94" t="n">
        <v>0</v>
      </c>
      <c r="N94" t="n">
        <v>0</v>
      </c>
      <c r="O94" t="n">
        <v>0</v>
      </c>
      <c r="P94" t="n">
        <v>0</v>
      </c>
      <c r="Q94" t="n">
        <v>0</v>
      </c>
      <c r="R94" t="n">
        <v>0</v>
      </c>
      <c r="S94" t="n">
        <v>0</v>
      </c>
      <c r="T94" t="n">
        <v>0</v>
      </c>
      <c r="U94" s="2" t="inlineStr"/>
    </row>
    <row r="95" ht="15" customHeight="1">
      <c r="A95" t="inlineStr">
        <is>
          <t>A 54657-2023</t>
        </is>
      </c>
      <c r="B95" t="inlineStr">
        <is>
          <t>avverkningsanmälan</t>
        </is>
      </c>
      <c r="C95" t="inlineStr">
        <is>
          <t>Föryngringsavverkning</t>
        </is>
      </c>
      <c r="D95" s="1" t="n">
        <v>45235</v>
      </c>
      <c r="E95" s="1" t="n">
        <v>46218</v>
      </c>
      <c r="F95" t="inlineStr">
        <is>
          <t>VÄSTMANLANDS LÄN</t>
        </is>
      </c>
      <c r="G95" t="inlineStr">
        <is>
          <t>KÖPING</t>
        </is>
      </c>
      <c r="I95" t="n">
        <v>4.2</v>
      </c>
      <c r="J95" t="n">
        <v>0</v>
      </c>
      <c r="K95" t="n">
        <v>0</v>
      </c>
      <c r="L95" t="n">
        <v>0</v>
      </c>
      <c r="M95" t="n">
        <v>0</v>
      </c>
      <c r="N95" t="n">
        <v>0</v>
      </c>
      <c r="O95" t="n">
        <v>0</v>
      </c>
      <c r="P95" t="n">
        <v>0</v>
      </c>
      <c r="Q95" t="n">
        <v>0</v>
      </c>
      <c r="R95" t="n">
        <v>0</v>
      </c>
      <c r="S95" t="n">
        <v>0</v>
      </c>
      <c r="T95" t="n">
        <v>0</v>
      </c>
      <c r="U95" s="2" t="inlineStr"/>
    </row>
    <row r="96" ht="15" customHeight="1">
      <c r="A96" t="inlineStr">
        <is>
          <t>A 23389-2023</t>
        </is>
      </c>
      <c r="B96" t="inlineStr">
        <is>
          <t>avverkningsanmälan</t>
        </is>
      </c>
      <c r="C96" t="inlineStr">
        <is>
          <t>Föryngringsavverkning</t>
        </is>
      </c>
      <c r="D96" s="1" t="n">
        <v>45076</v>
      </c>
      <c r="E96" s="1" t="n">
        <v>46218</v>
      </c>
      <c r="F96" t="inlineStr">
        <is>
          <t>VÄSTMANLANDS LÄN</t>
        </is>
      </c>
      <c r="G96" t="inlineStr">
        <is>
          <t>KÖPING</t>
        </is>
      </c>
      <c r="I96" t="n">
        <v>5.6</v>
      </c>
      <c r="J96" t="n">
        <v>0</v>
      </c>
      <c r="K96" t="n">
        <v>0</v>
      </c>
      <c r="L96" t="n">
        <v>0</v>
      </c>
      <c r="M96" t="n">
        <v>0</v>
      </c>
      <c r="N96" t="n">
        <v>0</v>
      </c>
      <c r="O96" t="n">
        <v>0</v>
      </c>
      <c r="P96" t="n">
        <v>0</v>
      </c>
      <c r="Q96" t="n">
        <v>0</v>
      </c>
      <c r="R96" t="n">
        <v>0</v>
      </c>
      <c r="S96" t="n">
        <v>0</v>
      </c>
      <c r="T96" t="n">
        <v>0</v>
      </c>
      <c r="U96" s="2" t="inlineStr"/>
    </row>
    <row r="97" ht="15" customHeight="1">
      <c r="A97" t="inlineStr">
        <is>
          <t>A 2854-2022</t>
        </is>
      </c>
      <c r="B97" t="inlineStr">
        <is>
          <t>avverkningsanmälan</t>
        </is>
      </c>
      <c r="C97" t="inlineStr">
        <is>
          <t>Föryngringsavverkning</t>
        </is>
      </c>
      <c r="D97" s="1" t="n">
        <v>44581</v>
      </c>
      <c r="E97" s="1" t="n">
        <v>46218</v>
      </c>
      <c r="F97" t="inlineStr">
        <is>
          <t>VÄSTMANLANDS LÄN</t>
        </is>
      </c>
      <c r="G97" t="inlineStr">
        <is>
          <t>KÖPING</t>
        </is>
      </c>
      <c r="I97" t="n">
        <v>7.1</v>
      </c>
      <c r="J97" t="n">
        <v>0</v>
      </c>
      <c r="K97" t="n">
        <v>0</v>
      </c>
      <c r="L97" t="n">
        <v>0</v>
      </c>
      <c r="M97" t="n">
        <v>0</v>
      </c>
      <c r="N97" t="n">
        <v>0</v>
      </c>
      <c r="O97" t="n">
        <v>0</v>
      </c>
      <c r="P97" t="n">
        <v>0</v>
      </c>
      <c r="Q97" t="n">
        <v>0</v>
      </c>
      <c r="R97" t="n">
        <v>0</v>
      </c>
      <c r="S97" t="n">
        <v>0</v>
      </c>
      <c r="T97" t="n">
        <v>0</v>
      </c>
      <c r="U97" s="2" t="inlineStr"/>
    </row>
    <row r="98" ht="15" customHeight="1">
      <c r="A98" t="inlineStr">
        <is>
          <t>A 51407-2023</t>
        </is>
      </c>
      <c r="B98" t="inlineStr">
        <is>
          <t>avverkningsanmälan</t>
        </is>
      </c>
      <c r="C98" t="inlineStr">
        <is>
          <t>Föryngringsavverkning</t>
        </is>
      </c>
      <c r="D98" s="1" t="n">
        <v>45219</v>
      </c>
      <c r="E98" s="1" t="n">
        <v>46218</v>
      </c>
      <c r="F98" t="inlineStr">
        <is>
          <t>VÄSTMANLANDS LÄN</t>
        </is>
      </c>
      <c r="G98" t="inlineStr">
        <is>
          <t>KÖPING</t>
        </is>
      </c>
      <c r="I98" t="n">
        <v>4</v>
      </c>
      <c r="J98" t="n">
        <v>0</v>
      </c>
      <c r="K98" t="n">
        <v>0</v>
      </c>
      <c r="L98" t="n">
        <v>0</v>
      </c>
      <c r="M98" t="n">
        <v>0</v>
      </c>
      <c r="N98" t="n">
        <v>0</v>
      </c>
      <c r="O98" t="n">
        <v>0</v>
      </c>
      <c r="P98" t="n">
        <v>0</v>
      </c>
      <c r="Q98" t="n">
        <v>0</v>
      </c>
      <c r="R98" t="n">
        <v>0</v>
      </c>
      <c r="S98" t="n">
        <v>0</v>
      </c>
      <c r="T98" t="n">
        <v>0</v>
      </c>
      <c r="U98" s="2" t="inlineStr"/>
    </row>
    <row r="99" ht="15" customHeight="1">
      <c r="A99" t="inlineStr">
        <is>
          <t>A 60894-2022</t>
        </is>
      </c>
      <c r="B99" t="inlineStr">
        <is>
          <t>avverkningsanmälan</t>
        </is>
      </c>
      <c r="C99" t="inlineStr">
        <is>
          <t>Föryngringsavverkning</t>
        </is>
      </c>
      <c r="D99" s="1" t="n">
        <v>44914</v>
      </c>
      <c r="E99" s="1" t="n">
        <v>46218</v>
      </c>
      <c r="F99" t="inlineStr">
        <is>
          <t>VÄSTMANLANDS LÄN</t>
        </is>
      </c>
      <c r="G99" t="inlineStr">
        <is>
          <t>KÖPING</t>
        </is>
      </c>
      <c r="I99" t="n">
        <v>8.199999999999999</v>
      </c>
      <c r="J99" t="n">
        <v>0</v>
      </c>
      <c r="K99" t="n">
        <v>0</v>
      </c>
      <c r="L99" t="n">
        <v>0</v>
      </c>
      <c r="M99" t="n">
        <v>0</v>
      </c>
      <c r="N99" t="n">
        <v>0</v>
      </c>
      <c r="O99" t="n">
        <v>0</v>
      </c>
      <c r="P99" t="n">
        <v>0</v>
      </c>
      <c r="Q99" t="n">
        <v>0</v>
      </c>
      <c r="R99" t="n">
        <v>0</v>
      </c>
      <c r="S99" t="n">
        <v>0</v>
      </c>
      <c r="T99" t="n">
        <v>0</v>
      </c>
      <c r="U99" s="2" t="inlineStr"/>
    </row>
    <row r="100" ht="15" customHeight="1">
      <c r="A100" t="inlineStr">
        <is>
          <t>A 60924-2022</t>
        </is>
      </c>
      <c r="B100" t="inlineStr">
        <is>
          <t>avverkningsanmälan</t>
        </is>
      </c>
      <c r="C100" t="inlineStr">
        <is>
          <t>Föryngringsavverkning</t>
        </is>
      </c>
      <c r="D100" s="1" t="n">
        <v>44914</v>
      </c>
      <c r="E100" s="1" t="n">
        <v>46218</v>
      </c>
      <c r="F100" t="inlineStr">
        <is>
          <t>VÄSTMANLANDS LÄN</t>
        </is>
      </c>
      <c r="G100" t="inlineStr">
        <is>
          <t>KÖPING</t>
        </is>
      </c>
      <c r="I100" t="n">
        <v>0.8</v>
      </c>
      <c r="J100" t="n">
        <v>0</v>
      </c>
      <c r="K100" t="n">
        <v>0</v>
      </c>
      <c r="L100" t="n">
        <v>0</v>
      </c>
      <c r="M100" t="n">
        <v>0</v>
      </c>
      <c r="N100" t="n">
        <v>0</v>
      </c>
      <c r="O100" t="n">
        <v>0</v>
      </c>
      <c r="P100" t="n">
        <v>0</v>
      </c>
      <c r="Q100" t="n">
        <v>0</v>
      </c>
      <c r="R100" t="n">
        <v>0</v>
      </c>
      <c r="S100" t="n">
        <v>0</v>
      </c>
      <c r="T100" t="n">
        <v>0</v>
      </c>
      <c r="U100" s="2" t="inlineStr"/>
    </row>
    <row r="101" ht="15" customHeight="1">
      <c r="A101" t="inlineStr">
        <is>
          <t>A 10478-2022</t>
        </is>
      </c>
      <c r="B101" t="inlineStr">
        <is>
          <t>avverkningsanmälan</t>
        </is>
      </c>
      <c r="C101" t="inlineStr">
        <is>
          <t>Föryngringsavverkning</t>
        </is>
      </c>
      <c r="D101" s="1" t="n">
        <v>44623</v>
      </c>
      <c r="E101" s="1" t="n">
        <v>46218</v>
      </c>
      <c r="F101" t="inlineStr">
        <is>
          <t>VÄSTMANLANDS LÄN</t>
        </is>
      </c>
      <c r="G101" t="inlineStr">
        <is>
          <t>KÖPING</t>
        </is>
      </c>
      <c r="I101" t="n">
        <v>1.8</v>
      </c>
      <c r="J101" t="n">
        <v>0</v>
      </c>
      <c r="K101" t="n">
        <v>0</v>
      </c>
      <c r="L101" t="n">
        <v>0</v>
      </c>
      <c r="M101" t="n">
        <v>0</v>
      </c>
      <c r="N101" t="n">
        <v>0</v>
      </c>
      <c r="O101" t="n">
        <v>0</v>
      </c>
      <c r="P101" t="n">
        <v>0</v>
      </c>
      <c r="Q101" t="n">
        <v>0</v>
      </c>
      <c r="R101" t="n">
        <v>0</v>
      </c>
      <c r="S101" t="n">
        <v>0</v>
      </c>
      <c r="T101" t="n">
        <v>0</v>
      </c>
      <c r="U101" s="2" t="inlineStr"/>
    </row>
    <row r="102" ht="15" customHeight="1">
      <c r="A102" t="inlineStr">
        <is>
          <t>A 23386-2023</t>
        </is>
      </c>
      <c r="B102" t="inlineStr">
        <is>
          <t>avverkningsanmälan</t>
        </is>
      </c>
      <c r="C102" t="inlineStr">
        <is>
          <t>Föryngringsavverkning</t>
        </is>
      </c>
      <c r="D102" s="1" t="n">
        <v>45076</v>
      </c>
      <c r="E102" s="1" t="n">
        <v>46218</v>
      </c>
      <c r="F102" t="inlineStr">
        <is>
          <t>VÄSTMANLANDS LÄN</t>
        </is>
      </c>
      <c r="G102" t="inlineStr">
        <is>
          <t>KÖPING</t>
        </is>
      </c>
      <c r="I102" t="n">
        <v>0.9</v>
      </c>
      <c r="J102" t="n">
        <v>0</v>
      </c>
      <c r="K102" t="n">
        <v>0</v>
      </c>
      <c r="L102" t="n">
        <v>0</v>
      </c>
      <c r="M102" t="n">
        <v>0</v>
      </c>
      <c r="N102" t="n">
        <v>0</v>
      </c>
      <c r="O102" t="n">
        <v>0</v>
      </c>
      <c r="P102" t="n">
        <v>0</v>
      </c>
      <c r="Q102" t="n">
        <v>0</v>
      </c>
      <c r="R102" t="n">
        <v>0</v>
      </c>
      <c r="S102" t="n">
        <v>0</v>
      </c>
      <c r="T102" t="n">
        <v>0</v>
      </c>
      <c r="U102" s="2" t="inlineStr"/>
    </row>
    <row r="103" ht="15" customHeight="1">
      <c r="A103" t="inlineStr">
        <is>
          <t>A 3945-2024</t>
        </is>
      </c>
      <c r="B103" t="inlineStr">
        <is>
          <t>avverkningsanmälan</t>
        </is>
      </c>
      <c r="C103" t="inlineStr">
        <is>
          <t>Föryngringsavverkning</t>
        </is>
      </c>
      <c r="D103" s="1" t="n">
        <v>45322</v>
      </c>
      <c r="E103" s="1" t="n">
        <v>46218</v>
      </c>
      <c r="F103" t="inlineStr">
        <is>
          <t>VÄSTMANLANDS LÄN</t>
        </is>
      </c>
      <c r="G103" t="inlineStr">
        <is>
          <t>KÖPING</t>
        </is>
      </c>
      <c r="I103" t="n">
        <v>1.6</v>
      </c>
      <c r="J103" t="n">
        <v>0</v>
      </c>
      <c r="K103" t="n">
        <v>0</v>
      </c>
      <c r="L103" t="n">
        <v>0</v>
      </c>
      <c r="M103" t="n">
        <v>0</v>
      </c>
      <c r="N103" t="n">
        <v>0</v>
      </c>
      <c r="O103" t="n">
        <v>0</v>
      </c>
      <c r="P103" t="n">
        <v>0</v>
      </c>
      <c r="Q103" t="n">
        <v>0</v>
      </c>
      <c r="R103" t="n">
        <v>0</v>
      </c>
      <c r="S103" t="n">
        <v>0</v>
      </c>
      <c r="T103" t="n">
        <v>0</v>
      </c>
      <c r="U103" s="2" t="inlineStr"/>
    </row>
    <row r="104" ht="15" customHeight="1">
      <c r="A104" t="inlineStr">
        <is>
          <t>A 28374-2024</t>
        </is>
      </c>
      <c r="B104" t="inlineStr">
        <is>
          <t>avverkningsanmälan</t>
        </is>
      </c>
      <c r="C104" t="inlineStr">
        <is>
          <t>Föryngringsavverkning</t>
        </is>
      </c>
      <c r="D104" s="1" t="n">
        <v>45477</v>
      </c>
      <c r="E104" s="1" t="n">
        <v>46218</v>
      </c>
      <c r="F104" t="inlineStr">
        <is>
          <t>VÄSTMANLANDS LÄN</t>
        </is>
      </c>
      <c r="G104" t="inlineStr">
        <is>
          <t>KÖPING</t>
        </is>
      </c>
      <c r="H104" t="inlineStr">
        <is>
          <t>Sveaskog</t>
        </is>
      </c>
      <c r="I104" t="n">
        <v>2.6</v>
      </c>
      <c r="J104" t="n">
        <v>0</v>
      </c>
      <c r="K104" t="n">
        <v>0</v>
      </c>
      <c r="L104" t="n">
        <v>0</v>
      </c>
      <c r="M104" t="n">
        <v>0</v>
      </c>
      <c r="N104" t="n">
        <v>0</v>
      </c>
      <c r="O104" t="n">
        <v>0</v>
      </c>
      <c r="P104" t="n">
        <v>0</v>
      </c>
      <c r="Q104" t="n">
        <v>0</v>
      </c>
      <c r="R104" t="n">
        <v>0</v>
      </c>
      <c r="S104" t="n">
        <v>0</v>
      </c>
      <c r="T104" t="n">
        <v>0</v>
      </c>
      <c r="U104" s="2" t="inlineStr"/>
    </row>
    <row r="105" ht="15" customHeight="1">
      <c r="A105" t="inlineStr">
        <is>
          <t>A 43183-2025</t>
        </is>
      </c>
      <c r="B105" t="inlineStr">
        <is>
          <t>avverkningsanmälan</t>
        </is>
      </c>
      <c r="C105" t="inlineStr">
        <is>
          <t>Föryngringsavverkning</t>
        </is>
      </c>
      <c r="D105" s="1" t="n">
        <v>45910</v>
      </c>
      <c r="E105" s="1" t="n">
        <v>46218</v>
      </c>
      <c r="F105" t="inlineStr">
        <is>
          <t>VÄSTMANLANDS LÄN</t>
        </is>
      </c>
      <c r="G105" t="inlineStr">
        <is>
          <t>KÖPING</t>
        </is>
      </c>
      <c r="I105" t="n">
        <v>0.4</v>
      </c>
      <c r="J105" t="n">
        <v>0</v>
      </c>
      <c r="K105" t="n">
        <v>0</v>
      </c>
      <c r="L105" t="n">
        <v>0</v>
      </c>
      <c r="M105" t="n">
        <v>0</v>
      </c>
      <c r="N105" t="n">
        <v>0</v>
      </c>
      <c r="O105" t="n">
        <v>0</v>
      </c>
      <c r="P105" t="n">
        <v>0</v>
      </c>
      <c r="Q105" t="n">
        <v>0</v>
      </c>
      <c r="R105" t="n">
        <v>0</v>
      </c>
      <c r="S105" t="n">
        <v>0</v>
      </c>
      <c r="T105" t="n">
        <v>0</v>
      </c>
      <c r="U105" s="2" t="inlineStr"/>
    </row>
    <row r="106" ht="15" customHeight="1">
      <c r="A106" t="inlineStr">
        <is>
          <t>A 43192-2025</t>
        </is>
      </c>
      <c r="B106" t="inlineStr">
        <is>
          <t>avverkningsanmälan</t>
        </is>
      </c>
      <c r="C106" t="inlineStr">
        <is>
          <t>Föryngringsavverkning</t>
        </is>
      </c>
      <c r="D106" s="1" t="n">
        <v>45910</v>
      </c>
      <c r="E106" s="1" t="n">
        <v>46218</v>
      </c>
      <c r="F106" t="inlineStr">
        <is>
          <t>VÄSTMANLANDS LÄN</t>
        </is>
      </c>
      <c r="G106" t="inlineStr">
        <is>
          <t>KÖPING</t>
        </is>
      </c>
      <c r="H106" t="inlineStr">
        <is>
          <t>Sveaskog</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43303-2022</t>
        </is>
      </c>
      <c r="B107" t="inlineStr">
        <is>
          <t>avverkningsanmälan</t>
        </is>
      </c>
      <c r="C107" t="inlineStr">
        <is>
          <t>Föryngringsavverkning</t>
        </is>
      </c>
      <c r="D107" s="1" t="n">
        <v>44834</v>
      </c>
      <c r="E107" s="1" t="n">
        <v>46218</v>
      </c>
      <c r="F107" t="inlineStr">
        <is>
          <t>VÄSTMANLANDS LÄN</t>
        </is>
      </c>
      <c r="G107" t="inlineStr">
        <is>
          <t>KÖPING</t>
        </is>
      </c>
      <c r="I107" t="n">
        <v>2.6</v>
      </c>
      <c r="J107" t="n">
        <v>0</v>
      </c>
      <c r="K107" t="n">
        <v>0</v>
      </c>
      <c r="L107" t="n">
        <v>0</v>
      </c>
      <c r="M107" t="n">
        <v>0</v>
      </c>
      <c r="N107" t="n">
        <v>0</v>
      </c>
      <c r="O107" t="n">
        <v>0</v>
      </c>
      <c r="P107" t="n">
        <v>0</v>
      </c>
      <c r="Q107" t="n">
        <v>0</v>
      </c>
      <c r="R107" t="n">
        <v>0</v>
      </c>
      <c r="S107" t="n">
        <v>0</v>
      </c>
      <c r="T107" t="n">
        <v>0</v>
      </c>
      <c r="U107" s="2" t="inlineStr"/>
    </row>
    <row r="108" ht="15" customHeight="1">
      <c r="A108" t="inlineStr">
        <is>
          <t>A 44370-2022</t>
        </is>
      </c>
      <c r="B108" t="inlineStr">
        <is>
          <t>avverkningsanmälan</t>
        </is>
      </c>
      <c r="C108" t="inlineStr">
        <is>
          <t>Föryngringsavverkning</t>
        </is>
      </c>
      <c r="D108" s="1" t="n">
        <v>44839</v>
      </c>
      <c r="E108" s="1" t="n">
        <v>46218</v>
      </c>
      <c r="F108" t="inlineStr">
        <is>
          <t>VÄSTMANLANDS LÄN</t>
        </is>
      </c>
      <c r="G108" t="inlineStr">
        <is>
          <t>KÖPING</t>
        </is>
      </c>
      <c r="I108" t="n">
        <v>9.199999999999999</v>
      </c>
      <c r="J108" t="n">
        <v>0</v>
      </c>
      <c r="K108" t="n">
        <v>0</v>
      </c>
      <c r="L108" t="n">
        <v>0</v>
      </c>
      <c r="M108" t="n">
        <v>0</v>
      </c>
      <c r="N108" t="n">
        <v>0</v>
      </c>
      <c r="O108" t="n">
        <v>0</v>
      </c>
      <c r="P108" t="n">
        <v>0</v>
      </c>
      <c r="Q108" t="n">
        <v>0</v>
      </c>
      <c r="R108" t="n">
        <v>0</v>
      </c>
      <c r="S108" t="n">
        <v>0</v>
      </c>
      <c r="T108" t="n">
        <v>0</v>
      </c>
      <c r="U108" s="2" t="inlineStr"/>
    </row>
    <row r="109" ht="15" customHeight="1">
      <c r="A109" t="inlineStr">
        <is>
          <t>A 43187-2025</t>
        </is>
      </c>
      <c r="B109" t="inlineStr">
        <is>
          <t>avverkningsanmälan</t>
        </is>
      </c>
      <c r="C109" t="inlineStr">
        <is>
          <t>Föryngringsavverkning</t>
        </is>
      </c>
      <c r="D109" s="1" t="n">
        <v>45910</v>
      </c>
      <c r="E109" s="1" t="n">
        <v>46218</v>
      </c>
      <c r="F109" t="inlineStr">
        <is>
          <t>VÄSTMANLANDS LÄN</t>
        </is>
      </c>
      <c r="G109" t="inlineStr">
        <is>
          <t>KÖPING</t>
        </is>
      </c>
      <c r="I109" t="n">
        <v>0.2</v>
      </c>
      <c r="J109" t="n">
        <v>0</v>
      </c>
      <c r="K109" t="n">
        <v>0</v>
      </c>
      <c r="L109" t="n">
        <v>0</v>
      </c>
      <c r="M109" t="n">
        <v>0</v>
      </c>
      <c r="N109" t="n">
        <v>0</v>
      </c>
      <c r="O109" t="n">
        <v>0</v>
      </c>
      <c r="P109" t="n">
        <v>0</v>
      </c>
      <c r="Q109" t="n">
        <v>0</v>
      </c>
      <c r="R109" t="n">
        <v>0</v>
      </c>
      <c r="S109" t="n">
        <v>0</v>
      </c>
      <c r="T109" t="n">
        <v>0</v>
      </c>
      <c r="U109" s="2" t="inlineStr"/>
    </row>
    <row r="110" ht="15" customHeight="1">
      <c r="A110" t="inlineStr">
        <is>
          <t>A 65582-2021</t>
        </is>
      </c>
      <c r="B110" t="inlineStr">
        <is>
          <t>avverkningsanmälan</t>
        </is>
      </c>
      <c r="C110" t="inlineStr">
        <is>
          <t>Föryngringsavverkning</t>
        </is>
      </c>
      <c r="D110" s="1" t="n">
        <v>44516</v>
      </c>
      <c r="E110" s="1" t="n">
        <v>46218</v>
      </c>
      <c r="F110" t="inlineStr">
        <is>
          <t>VÄSTMANLANDS LÄN</t>
        </is>
      </c>
      <c r="G110" t="inlineStr">
        <is>
          <t>KÖPING</t>
        </is>
      </c>
      <c r="I110" t="n">
        <v>7.7</v>
      </c>
      <c r="J110" t="n">
        <v>0</v>
      </c>
      <c r="K110" t="n">
        <v>0</v>
      </c>
      <c r="L110" t="n">
        <v>0</v>
      </c>
      <c r="M110" t="n">
        <v>0</v>
      </c>
      <c r="N110" t="n">
        <v>0</v>
      </c>
      <c r="O110" t="n">
        <v>0</v>
      </c>
      <c r="P110" t="n">
        <v>0</v>
      </c>
      <c r="Q110" t="n">
        <v>0</v>
      </c>
      <c r="R110" t="n">
        <v>0</v>
      </c>
      <c r="S110" t="n">
        <v>0</v>
      </c>
      <c r="T110" t="n">
        <v>0</v>
      </c>
      <c r="U110" s="2" t="inlineStr"/>
    </row>
    <row r="111" ht="15" customHeight="1">
      <c r="A111" t="inlineStr">
        <is>
          <t>A 44408-2022</t>
        </is>
      </c>
      <c r="B111" t="inlineStr">
        <is>
          <t>avverkningsanmälan</t>
        </is>
      </c>
      <c r="C111" t="inlineStr">
        <is>
          <t>Föryngringsavverkning</t>
        </is>
      </c>
      <c r="D111" s="1" t="n">
        <v>44839</v>
      </c>
      <c r="E111" s="1" t="n">
        <v>46218</v>
      </c>
      <c r="F111" t="inlineStr">
        <is>
          <t>VÄSTMANLANDS LÄN</t>
        </is>
      </c>
      <c r="G111" t="inlineStr">
        <is>
          <t>KÖPING</t>
        </is>
      </c>
      <c r="I111" t="n">
        <v>2.7</v>
      </c>
      <c r="J111" t="n">
        <v>0</v>
      </c>
      <c r="K111" t="n">
        <v>0</v>
      </c>
      <c r="L111" t="n">
        <v>0</v>
      </c>
      <c r="M111" t="n">
        <v>0</v>
      </c>
      <c r="N111" t="n">
        <v>0</v>
      </c>
      <c r="O111" t="n">
        <v>0</v>
      </c>
      <c r="P111" t="n">
        <v>0</v>
      </c>
      <c r="Q111" t="n">
        <v>0</v>
      </c>
      <c r="R111" t="n">
        <v>0</v>
      </c>
      <c r="S111" t="n">
        <v>0</v>
      </c>
      <c r="T111" t="n">
        <v>0</v>
      </c>
      <c r="U111" s="2" t="inlineStr"/>
    </row>
    <row r="112" ht="15" customHeight="1">
      <c r="A112" t="inlineStr">
        <is>
          <t>A 44171-2025</t>
        </is>
      </c>
      <c r="B112" t="inlineStr">
        <is>
          <t>avverkningsanmälan</t>
        </is>
      </c>
      <c r="C112" t="inlineStr">
        <is>
          <t>Föryngringsavverkning</t>
        </is>
      </c>
      <c r="D112" s="1" t="n">
        <v>45915</v>
      </c>
      <c r="E112" s="1" t="n">
        <v>46218</v>
      </c>
      <c r="F112" t="inlineStr">
        <is>
          <t>VÄSTMANLANDS LÄN</t>
        </is>
      </c>
      <c r="G112" t="inlineStr">
        <is>
          <t>KÖPING</t>
        </is>
      </c>
      <c r="H112" t="inlineStr">
        <is>
          <t>Sveaskog</t>
        </is>
      </c>
      <c r="I112" t="n">
        <v>2.1</v>
      </c>
      <c r="J112" t="n">
        <v>0</v>
      </c>
      <c r="K112" t="n">
        <v>0</v>
      </c>
      <c r="L112" t="n">
        <v>0</v>
      </c>
      <c r="M112" t="n">
        <v>0</v>
      </c>
      <c r="N112" t="n">
        <v>0</v>
      </c>
      <c r="O112" t="n">
        <v>0</v>
      </c>
      <c r="P112" t="n">
        <v>0</v>
      </c>
      <c r="Q112" t="n">
        <v>0</v>
      </c>
      <c r="R112" t="n">
        <v>0</v>
      </c>
      <c r="S112" t="n">
        <v>0</v>
      </c>
      <c r="T112" t="n">
        <v>0</v>
      </c>
      <c r="U112" s="2" t="inlineStr"/>
    </row>
    <row r="113" ht="15" customHeight="1">
      <c r="A113" t="inlineStr">
        <is>
          <t>A 30141-2022</t>
        </is>
      </c>
      <c r="B113" t="inlineStr">
        <is>
          <t>avverkningsanmälan</t>
        </is>
      </c>
      <c r="C113" t="inlineStr">
        <is>
          <t>Föryngringsavverkning</t>
        </is>
      </c>
      <c r="D113" s="1" t="n">
        <v>44757</v>
      </c>
      <c r="E113" s="1" t="n">
        <v>46218</v>
      </c>
      <c r="F113" t="inlineStr">
        <is>
          <t>VÄSTMANLANDS LÄN</t>
        </is>
      </c>
      <c r="G113" t="inlineStr">
        <is>
          <t>KÖPING</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24130-2024</t>
        </is>
      </c>
      <c r="B114" t="inlineStr">
        <is>
          <t>avverkningsanmälan</t>
        </is>
      </c>
      <c r="C114" t="inlineStr">
        <is>
          <t>Föryngringsavverkning</t>
        </is>
      </c>
      <c r="D114" s="1" t="n">
        <v>45456</v>
      </c>
      <c r="E114" s="1" t="n">
        <v>46218</v>
      </c>
      <c r="F114" t="inlineStr">
        <is>
          <t>VÄSTMANLANDS LÄN</t>
        </is>
      </c>
      <c r="G114" t="inlineStr">
        <is>
          <t>KÖPING</t>
        </is>
      </c>
      <c r="H114" t="inlineStr">
        <is>
          <t>Sveaskog</t>
        </is>
      </c>
      <c r="I114" t="n">
        <v>1.4</v>
      </c>
      <c r="J114" t="n">
        <v>0</v>
      </c>
      <c r="K114" t="n">
        <v>0</v>
      </c>
      <c r="L114" t="n">
        <v>0</v>
      </c>
      <c r="M114" t="n">
        <v>0</v>
      </c>
      <c r="N114" t="n">
        <v>0</v>
      </c>
      <c r="O114" t="n">
        <v>0</v>
      </c>
      <c r="P114" t="n">
        <v>0</v>
      </c>
      <c r="Q114" t="n">
        <v>0</v>
      </c>
      <c r="R114" t="n">
        <v>0</v>
      </c>
      <c r="S114" t="n">
        <v>0</v>
      </c>
      <c r="T114" t="n">
        <v>0</v>
      </c>
      <c r="U114" s="2" t="inlineStr"/>
    </row>
    <row r="115" ht="15" customHeight="1">
      <c r="A115" t="inlineStr">
        <is>
          <t>A 23825-2023</t>
        </is>
      </c>
      <c r="B115" t="inlineStr">
        <is>
          <t>avverkningsanmälan</t>
        </is>
      </c>
      <c r="C115" t="inlineStr">
        <is>
          <t>Föryngringsavverkning</t>
        </is>
      </c>
      <c r="D115" s="1" t="n">
        <v>45078</v>
      </c>
      <c r="E115" s="1" t="n">
        <v>46218</v>
      </c>
      <c r="F115" t="inlineStr">
        <is>
          <t>VÄSTMANLANDS LÄN</t>
        </is>
      </c>
      <c r="G115" t="inlineStr">
        <is>
          <t>KÖPING</t>
        </is>
      </c>
      <c r="I115" t="n">
        <v>1.6</v>
      </c>
      <c r="J115" t="n">
        <v>0</v>
      </c>
      <c r="K115" t="n">
        <v>0</v>
      </c>
      <c r="L115" t="n">
        <v>0</v>
      </c>
      <c r="M115" t="n">
        <v>0</v>
      </c>
      <c r="N115" t="n">
        <v>0</v>
      </c>
      <c r="O115" t="n">
        <v>0</v>
      </c>
      <c r="P115" t="n">
        <v>0</v>
      </c>
      <c r="Q115" t="n">
        <v>0</v>
      </c>
      <c r="R115" t="n">
        <v>0</v>
      </c>
      <c r="S115" t="n">
        <v>0</v>
      </c>
      <c r="T115" t="n">
        <v>0</v>
      </c>
      <c r="U115" s="2" t="inlineStr"/>
    </row>
    <row r="116" ht="15" customHeight="1">
      <c r="A116" t="inlineStr">
        <is>
          <t>A 17816-2024</t>
        </is>
      </c>
      <c r="B116" t="inlineStr">
        <is>
          <t>avverkningsanmälan</t>
        </is>
      </c>
      <c r="C116" t="inlineStr">
        <is>
          <t>Föryngringsavverkning</t>
        </is>
      </c>
      <c r="D116" s="1" t="n">
        <v>45418</v>
      </c>
      <c r="E116" s="1" t="n">
        <v>46218</v>
      </c>
      <c r="F116" t="inlineStr">
        <is>
          <t>VÄSTMANLANDS LÄN</t>
        </is>
      </c>
      <c r="G116" t="inlineStr">
        <is>
          <t>KÖPING</t>
        </is>
      </c>
      <c r="I116" t="n">
        <v>2.5</v>
      </c>
      <c r="J116" t="n">
        <v>0</v>
      </c>
      <c r="K116" t="n">
        <v>0</v>
      </c>
      <c r="L116" t="n">
        <v>0</v>
      </c>
      <c r="M116" t="n">
        <v>0</v>
      </c>
      <c r="N116" t="n">
        <v>0</v>
      </c>
      <c r="O116" t="n">
        <v>0</v>
      </c>
      <c r="P116" t="n">
        <v>0</v>
      </c>
      <c r="Q116" t="n">
        <v>0</v>
      </c>
      <c r="R116" t="n">
        <v>0</v>
      </c>
      <c r="S116" t="n">
        <v>0</v>
      </c>
      <c r="T116" t="n">
        <v>0</v>
      </c>
      <c r="U116" s="2" t="inlineStr"/>
    </row>
    <row r="117" ht="15" customHeight="1">
      <c r="A117" t="inlineStr">
        <is>
          <t>A 37730-2022</t>
        </is>
      </c>
      <c r="B117" t="inlineStr">
        <is>
          <t>avverkningsanmälan</t>
        </is>
      </c>
      <c r="C117" t="inlineStr">
        <is>
          <t>Föryngringsavverkning</t>
        </is>
      </c>
      <c r="D117" s="1" t="n">
        <v>44810</v>
      </c>
      <c r="E117" s="1" t="n">
        <v>46218</v>
      </c>
      <c r="F117" t="inlineStr">
        <is>
          <t>VÄSTMANLANDS LÄN</t>
        </is>
      </c>
      <c r="G117" t="inlineStr">
        <is>
          <t>KÖPING</t>
        </is>
      </c>
      <c r="I117" t="n">
        <v>2</v>
      </c>
      <c r="J117" t="n">
        <v>0</v>
      </c>
      <c r="K117" t="n">
        <v>0</v>
      </c>
      <c r="L117" t="n">
        <v>0</v>
      </c>
      <c r="M117" t="n">
        <v>0</v>
      </c>
      <c r="N117" t="n">
        <v>0</v>
      </c>
      <c r="O117" t="n">
        <v>0</v>
      </c>
      <c r="P117" t="n">
        <v>0</v>
      </c>
      <c r="Q117" t="n">
        <v>0</v>
      </c>
      <c r="R117" t="n">
        <v>0</v>
      </c>
      <c r="S117" t="n">
        <v>0</v>
      </c>
      <c r="T117" t="n">
        <v>0</v>
      </c>
      <c r="U117" s="2" t="inlineStr"/>
    </row>
    <row r="118" ht="15" customHeight="1">
      <c r="A118" t="inlineStr">
        <is>
          <t>A 13160-2024</t>
        </is>
      </c>
      <c r="B118" t="inlineStr">
        <is>
          <t>avverkningsanmälan</t>
        </is>
      </c>
      <c r="C118" t="inlineStr">
        <is>
          <t>Föryngringsavverkning</t>
        </is>
      </c>
      <c r="D118" s="1" t="n">
        <v>45386</v>
      </c>
      <c r="E118" s="1" t="n">
        <v>46218</v>
      </c>
      <c r="F118" t="inlineStr">
        <is>
          <t>VÄSTMANLANDS LÄN</t>
        </is>
      </c>
      <c r="G118" t="inlineStr">
        <is>
          <t>KÖPING</t>
        </is>
      </c>
      <c r="I118" t="n">
        <v>1.5</v>
      </c>
      <c r="J118" t="n">
        <v>0</v>
      </c>
      <c r="K118" t="n">
        <v>0</v>
      </c>
      <c r="L118" t="n">
        <v>0</v>
      </c>
      <c r="M118" t="n">
        <v>0</v>
      </c>
      <c r="N118" t="n">
        <v>0</v>
      </c>
      <c r="O118" t="n">
        <v>0</v>
      </c>
      <c r="P118" t="n">
        <v>0</v>
      </c>
      <c r="Q118" t="n">
        <v>0</v>
      </c>
      <c r="R118" t="n">
        <v>0</v>
      </c>
      <c r="S118" t="n">
        <v>0</v>
      </c>
      <c r="T118" t="n">
        <v>0</v>
      </c>
      <c r="U118" s="2" t="inlineStr"/>
    </row>
    <row r="119" ht="15" customHeight="1">
      <c r="A119" t="inlineStr">
        <is>
          <t>A 25804-2022</t>
        </is>
      </c>
      <c r="B119" t="inlineStr">
        <is>
          <t>avverkningsanmälan</t>
        </is>
      </c>
      <c r="C119" t="inlineStr">
        <is>
          <t>Föryngringsavverkning</t>
        </is>
      </c>
      <c r="D119" s="1" t="n">
        <v>44733</v>
      </c>
      <c r="E119" s="1" t="n">
        <v>46218</v>
      </c>
      <c r="F119" t="inlineStr">
        <is>
          <t>VÄSTMANLANDS LÄN</t>
        </is>
      </c>
      <c r="G119" t="inlineStr">
        <is>
          <t>KÖPING</t>
        </is>
      </c>
      <c r="I119" t="n">
        <v>2.4</v>
      </c>
      <c r="J119" t="n">
        <v>0</v>
      </c>
      <c r="K119" t="n">
        <v>0</v>
      </c>
      <c r="L119" t="n">
        <v>0</v>
      </c>
      <c r="M119" t="n">
        <v>0</v>
      </c>
      <c r="N119" t="n">
        <v>0</v>
      </c>
      <c r="O119" t="n">
        <v>0</v>
      </c>
      <c r="P119" t="n">
        <v>0</v>
      </c>
      <c r="Q119" t="n">
        <v>0</v>
      </c>
      <c r="R119" t="n">
        <v>0</v>
      </c>
      <c r="S119" t="n">
        <v>0</v>
      </c>
      <c r="T119" t="n">
        <v>0</v>
      </c>
      <c r="U119" s="2" t="inlineStr"/>
    </row>
    <row r="120" ht="15" customHeight="1">
      <c r="A120" t="inlineStr">
        <is>
          <t>A 63236-2023</t>
        </is>
      </c>
      <c r="B120" t="inlineStr">
        <is>
          <t>avverkningsanmälan</t>
        </is>
      </c>
      <c r="C120" t="inlineStr">
        <is>
          <t>Föryngringsavverkning</t>
        </is>
      </c>
      <c r="D120" s="1" t="n">
        <v>45273</v>
      </c>
      <c r="E120" s="1" t="n">
        <v>46218</v>
      </c>
      <c r="F120" t="inlineStr">
        <is>
          <t>VÄSTMANLANDS LÄN</t>
        </is>
      </c>
      <c r="G120" t="inlineStr">
        <is>
          <t>KÖPING</t>
        </is>
      </c>
      <c r="I120" t="n">
        <v>2.5</v>
      </c>
      <c r="J120" t="n">
        <v>0</v>
      </c>
      <c r="K120" t="n">
        <v>0</v>
      </c>
      <c r="L120" t="n">
        <v>0</v>
      </c>
      <c r="M120" t="n">
        <v>0</v>
      </c>
      <c r="N120" t="n">
        <v>0</v>
      </c>
      <c r="O120" t="n">
        <v>0</v>
      </c>
      <c r="P120" t="n">
        <v>0</v>
      </c>
      <c r="Q120" t="n">
        <v>0</v>
      </c>
      <c r="R120" t="n">
        <v>0</v>
      </c>
      <c r="S120" t="n">
        <v>0</v>
      </c>
      <c r="T120" t="n">
        <v>0</v>
      </c>
      <c r="U120" s="2" t="inlineStr"/>
    </row>
    <row r="121" ht="15" customHeight="1">
      <c r="A121" t="inlineStr">
        <is>
          <t>A 44814-2023</t>
        </is>
      </c>
      <c r="B121" t="inlineStr">
        <is>
          <t>avverkningsanmälan</t>
        </is>
      </c>
      <c r="C121" t="inlineStr">
        <is>
          <t>Avverkning för annat ändamål</t>
        </is>
      </c>
      <c r="D121" s="1" t="n">
        <v>45190</v>
      </c>
      <c r="E121" s="1" t="n">
        <v>46218</v>
      </c>
      <c r="F121" t="inlineStr">
        <is>
          <t>VÄSTMANLANDS LÄN</t>
        </is>
      </c>
      <c r="G121" t="inlineStr">
        <is>
          <t>KÖPING</t>
        </is>
      </c>
      <c r="I121" t="n">
        <v>24.2</v>
      </c>
      <c r="J121" t="n">
        <v>0</v>
      </c>
      <c r="K121" t="n">
        <v>0</v>
      </c>
      <c r="L121" t="n">
        <v>0</v>
      </c>
      <c r="M121" t="n">
        <v>0</v>
      </c>
      <c r="N121" t="n">
        <v>0</v>
      </c>
      <c r="O121" t="n">
        <v>0</v>
      </c>
      <c r="P121" t="n">
        <v>0</v>
      </c>
      <c r="Q121" t="n">
        <v>0</v>
      </c>
      <c r="R121" t="n">
        <v>0</v>
      </c>
      <c r="S121" t="n">
        <v>0</v>
      </c>
      <c r="T121" t="n">
        <v>0</v>
      </c>
      <c r="U121" s="2" t="inlineStr"/>
    </row>
    <row r="122" ht="15" customHeight="1">
      <c r="A122" t="inlineStr">
        <is>
          <t>A 30079-2022</t>
        </is>
      </c>
      <c r="B122" t="inlineStr">
        <is>
          <t>avverkningsanmälan</t>
        </is>
      </c>
      <c r="C122" t="inlineStr">
        <is>
          <t>Föryngringsavverkning</t>
        </is>
      </c>
      <c r="D122" s="1" t="n">
        <v>44757</v>
      </c>
      <c r="E122" s="1" t="n">
        <v>46218</v>
      </c>
      <c r="F122" t="inlineStr">
        <is>
          <t>VÄSTMANLANDS LÄN</t>
        </is>
      </c>
      <c r="G122" t="inlineStr">
        <is>
          <t>KÖPING</t>
        </is>
      </c>
      <c r="I122" t="n">
        <v>2.3</v>
      </c>
      <c r="J122" t="n">
        <v>0</v>
      </c>
      <c r="K122" t="n">
        <v>0</v>
      </c>
      <c r="L122" t="n">
        <v>0</v>
      </c>
      <c r="M122" t="n">
        <v>0</v>
      </c>
      <c r="N122" t="n">
        <v>0</v>
      </c>
      <c r="O122" t="n">
        <v>0</v>
      </c>
      <c r="P122" t="n">
        <v>0</v>
      </c>
      <c r="Q122" t="n">
        <v>0</v>
      </c>
      <c r="R122" t="n">
        <v>0</v>
      </c>
      <c r="S122" t="n">
        <v>0</v>
      </c>
      <c r="T122" t="n">
        <v>0</v>
      </c>
      <c r="U122" s="2" t="inlineStr"/>
    </row>
    <row r="123" ht="15" customHeight="1">
      <c r="A123" t="inlineStr">
        <is>
          <t>A 47681-2025</t>
        </is>
      </c>
      <c r="B123" t="inlineStr">
        <is>
          <t>avverkningsanmälan</t>
        </is>
      </c>
      <c r="C123" t="inlineStr">
        <is>
          <t>Föryngringsavverkning</t>
        </is>
      </c>
      <c r="D123" s="1" t="n">
        <v>45931</v>
      </c>
      <c r="E123" s="1" t="n">
        <v>46218</v>
      </c>
      <c r="F123" t="inlineStr">
        <is>
          <t>VÄSTMANLANDS LÄN</t>
        </is>
      </c>
      <c r="G123" t="inlineStr">
        <is>
          <t>KÖPING</t>
        </is>
      </c>
      <c r="I123" t="n">
        <v>1</v>
      </c>
      <c r="J123" t="n">
        <v>0</v>
      </c>
      <c r="K123" t="n">
        <v>0</v>
      </c>
      <c r="L123" t="n">
        <v>0</v>
      </c>
      <c r="M123" t="n">
        <v>0</v>
      </c>
      <c r="N123" t="n">
        <v>0</v>
      </c>
      <c r="O123" t="n">
        <v>0</v>
      </c>
      <c r="P123" t="n">
        <v>0</v>
      </c>
      <c r="Q123" t="n">
        <v>0</v>
      </c>
      <c r="R123" t="n">
        <v>0</v>
      </c>
      <c r="S123" t="n">
        <v>0</v>
      </c>
      <c r="T123" t="n">
        <v>0</v>
      </c>
      <c r="U123" s="2" t="inlineStr"/>
    </row>
    <row r="124" ht="15" customHeight="1">
      <c r="A124" t="inlineStr">
        <is>
          <t>A 68714-2021</t>
        </is>
      </c>
      <c r="B124" t="inlineStr">
        <is>
          <t>avverkningsanmälan</t>
        </is>
      </c>
      <c r="C124" t="inlineStr">
        <is>
          <t>Föryngringsavverkning</t>
        </is>
      </c>
      <c r="D124" s="1" t="n">
        <v>44529</v>
      </c>
      <c r="E124" s="1" t="n">
        <v>46218</v>
      </c>
      <c r="F124" t="inlineStr">
        <is>
          <t>VÄSTMANLANDS LÄN</t>
        </is>
      </c>
      <c r="G124" t="inlineStr">
        <is>
          <t>KÖPING</t>
        </is>
      </c>
      <c r="I124" t="n">
        <v>6.4</v>
      </c>
      <c r="J124" t="n">
        <v>0</v>
      </c>
      <c r="K124" t="n">
        <v>0</v>
      </c>
      <c r="L124" t="n">
        <v>0</v>
      </c>
      <c r="M124" t="n">
        <v>0</v>
      </c>
      <c r="N124" t="n">
        <v>0</v>
      </c>
      <c r="O124" t="n">
        <v>0</v>
      </c>
      <c r="P124" t="n">
        <v>0</v>
      </c>
      <c r="Q124" t="n">
        <v>0</v>
      </c>
      <c r="R124" t="n">
        <v>0</v>
      </c>
      <c r="S124" t="n">
        <v>0</v>
      </c>
      <c r="T124" t="n">
        <v>0</v>
      </c>
      <c r="U124" s="2" t="inlineStr"/>
    </row>
    <row r="125" ht="15" customHeight="1">
      <c r="A125" t="inlineStr">
        <is>
          <t>A 65023-2021</t>
        </is>
      </c>
      <c r="B125" t="inlineStr">
        <is>
          <t>avverkningsanmälan</t>
        </is>
      </c>
      <c r="C125" t="inlineStr">
        <is>
          <t>Föryngringsavverkning</t>
        </is>
      </c>
      <c r="D125" s="1" t="n">
        <v>44512</v>
      </c>
      <c r="E125" s="1" t="n">
        <v>46218</v>
      </c>
      <c r="F125" t="inlineStr">
        <is>
          <t>VÄSTMANLANDS LÄN</t>
        </is>
      </c>
      <c r="G125" t="inlineStr">
        <is>
          <t>KÖPING</t>
        </is>
      </c>
      <c r="I125" t="n">
        <v>2</v>
      </c>
      <c r="J125" t="n">
        <v>0</v>
      </c>
      <c r="K125" t="n">
        <v>0</v>
      </c>
      <c r="L125" t="n">
        <v>0</v>
      </c>
      <c r="M125" t="n">
        <v>0</v>
      </c>
      <c r="N125" t="n">
        <v>0</v>
      </c>
      <c r="O125" t="n">
        <v>0</v>
      </c>
      <c r="P125" t="n">
        <v>0</v>
      </c>
      <c r="Q125" t="n">
        <v>0</v>
      </c>
      <c r="R125" t="n">
        <v>0</v>
      </c>
      <c r="S125" t="n">
        <v>0</v>
      </c>
      <c r="T125" t="n">
        <v>0</v>
      </c>
      <c r="U125" s="2" t="inlineStr"/>
    </row>
    <row r="126" ht="15" customHeight="1">
      <c r="A126" t="inlineStr">
        <is>
          <t>A 40823-2024</t>
        </is>
      </c>
      <c r="B126" t="inlineStr">
        <is>
          <t>avverkningsanmälan</t>
        </is>
      </c>
      <c r="C126" t="inlineStr">
        <is>
          <t>Föryngringsavverkning</t>
        </is>
      </c>
      <c r="D126" s="1" t="n">
        <v>45558</v>
      </c>
      <c r="E126" s="1" t="n">
        <v>46218</v>
      </c>
      <c r="F126" t="inlineStr">
        <is>
          <t>VÄSTMANLANDS LÄN</t>
        </is>
      </c>
      <c r="G126" t="inlineStr">
        <is>
          <t>KÖPING</t>
        </is>
      </c>
      <c r="I126" t="n">
        <v>3.5</v>
      </c>
      <c r="J126" t="n">
        <v>0</v>
      </c>
      <c r="K126" t="n">
        <v>0</v>
      </c>
      <c r="L126" t="n">
        <v>0</v>
      </c>
      <c r="M126" t="n">
        <v>0</v>
      </c>
      <c r="N126" t="n">
        <v>0</v>
      </c>
      <c r="O126" t="n">
        <v>0</v>
      </c>
      <c r="P126" t="n">
        <v>0</v>
      </c>
      <c r="Q126" t="n">
        <v>0</v>
      </c>
      <c r="R126" t="n">
        <v>0</v>
      </c>
      <c r="S126" t="n">
        <v>0</v>
      </c>
      <c r="T126" t="n">
        <v>0</v>
      </c>
      <c r="U126" s="2" t="inlineStr"/>
    </row>
    <row r="127" ht="15" customHeight="1">
      <c r="A127" t="inlineStr">
        <is>
          <t>A 47576-2025</t>
        </is>
      </c>
      <c r="B127" t="inlineStr">
        <is>
          <t>avverkningsanmälan</t>
        </is>
      </c>
      <c r="C127" t="inlineStr">
        <is>
          <t>Avverkning för att bevara och utveckla /försöksver</t>
        </is>
      </c>
      <c r="D127" s="1" t="n">
        <v>45931</v>
      </c>
      <c r="E127" s="1" t="n">
        <v>46218</v>
      </c>
      <c r="F127" t="inlineStr">
        <is>
          <t>VÄSTMANLANDS LÄN</t>
        </is>
      </c>
      <c r="G127" t="inlineStr">
        <is>
          <t>KÖPING</t>
        </is>
      </c>
      <c r="H127" t="inlineStr">
        <is>
          <t>Sveaskog</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33932-2024</t>
        </is>
      </c>
      <c r="B128" t="inlineStr">
        <is>
          <t>avverkningsanmälan</t>
        </is>
      </c>
      <c r="C128" t="inlineStr">
        <is>
          <t>Föryngringsavverkning</t>
        </is>
      </c>
      <c r="D128" s="1" t="n">
        <v>45523</v>
      </c>
      <c r="E128" s="1" t="n">
        <v>46218</v>
      </c>
      <c r="F128" t="inlineStr">
        <is>
          <t>VÄSTMANLANDS LÄN</t>
        </is>
      </c>
      <c r="G128" t="inlineStr">
        <is>
          <t>KÖPING</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18366-2025</t>
        </is>
      </c>
      <c r="B129" t="inlineStr">
        <is>
          <t>avverkningsanmälan</t>
        </is>
      </c>
      <c r="C129" t="inlineStr">
        <is>
          <t>Föryngringsavverkning</t>
        </is>
      </c>
      <c r="D129" s="1" t="n">
        <v>45762</v>
      </c>
      <c r="E129" s="1" t="n">
        <v>46218</v>
      </c>
      <c r="F129" t="inlineStr">
        <is>
          <t>VÄSTMANLANDS LÄN</t>
        </is>
      </c>
      <c r="G129" t="inlineStr">
        <is>
          <t>KÖPING</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53061-2023</t>
        </is>
      </c>
      <c r="B130" t="inlineStr">
        <is>
          <t>avverkningsanmälan</t>
        </is>
      </c>
      <c r="C130" t="inlineStr">
        <is>
          <t>Föryngringsavverkning</t>
        </is>
      </c>
      <c r="D130" s="1" t="n">
        <v>45227</v>
      </c>
      <c r="E130" s="1" t="n">
        <v>46218</v>
      </c>
      <c r="F130" t="inlineStr">
        <is>
          <t>VÄSTMANLANDS LÄN</t>
        </is>
      </c>
      <c r="G130" t="inlineStr">
        <is>
          <t>KÖPING</t>
        </is>
      </c>
      <c r="I130" t="n">
        <v>1.2</v>
      </c>
      <c r="J130" t="n">
        <v>0</v>
      </c>
      <c r="K130" t="n">
        <v>0</v>
      </c>
      <c r="L130" t="n">
        <v>0</v>
      </c>
      <c r="M130" t="n">
        <v>0</v>
      </c>
      <c r="N130" t="n">
        <v>0</v>
      </c>
      <c r="O130" t="n">
        <v>0</v>
      </c>
      <c r="P130" t="n">
        <v>0</v>
      </c>
      <c r="Q130" t="n">
        <v>0</v>
      </c>
      <c r="R130" t="n">
        <v>0</v>
      </c>
      <c r="S130" t="n">
        <v>0</v>
      </c>
      <c r="T130" t="n">
        <v>0</v>
      </c>
      <c r="U130" s="2" t="inlineStr"/>
    </row>
    <row r="131" ht="15" customHeight="1">
      <c r="A131" t="inlineStr">
        <is>
          <t>A 46659-2024</t>
        </is>
      </c>
      <c r="B131" t="inlineStr">
        <is>
          <t>avverkningsanmälan</t>
        </is>
      </c>
      <c r="C131" t="inlineStr">
        <is>
          <t>Föryngringsavverkning</t>
        </is>
      </c>
      <c r="D131" s="1" t="n">
        <v>45583</v>
      </c>
      <c r="E131" s="1" t="n">
        <v>46218</v>
      </c>
      <c r="F131" t="inlineStr">
        <is>
          <t>VÄSTMANLANDS LÄN</t>
        </is>
      </c>
      <c r="G131" t="inlineStr">
        <is>
          <t>KÖPING</t>
        </is>
      </c>
      <c r="I131" t="n">
        <v>4</v>
      </c>
      <c r="J131" t="n">
        <v>0</v>
      </c>
      <c r="K131" t="n">
        <v>0</v>
      </c>
      <c r="L131" t="n">
        <v>0</v>
      </c>
      <c r="M131" t="n">
        <v>0</v>
      </c>
      <c r="N131" t="n">
        <v>0</v>
      </c>
      <c r="O131" t="n">
        <v>0</v>
      </c>
      <c r="P131" t="n">
        <v>0</v>
      </c>
      <c r="Q131" t="n">
        <v>0</v>
      </c>
      <c r="R131" t="n">
        <v>0</v>
      </c>
      <c r="S131" t="n">
        <v>0</v>
      </c>
      <c r="T131" t="n">
        <v>0</v>
      </c>
      <c r="U131" s="2" t="inlineStr"/>
    </row>
    <row r="132" ht="15" customHeight="1">
      <c r="A132" t="inlineStr">
        <is>
          <t>A 34290-2023</t>
        </is>
      </c>
      <c r="B132" t="inlineStr">
        <is>
          <t>avverkningsanmälan</t>
        </is>
      </c>
      <c r="C132" t="inlineStr">
        <is>
          <t>Avverkning för annat ändamål</t>
        </is>
      </c>
      <c r="D132" s="1" t="n">
        <v>45138</v>
      </c>
      <c r="E132" s="1" t="n">
        <v>46218</v>
      </c>
      <c r="F132" t="inlineStr">
        <is>
          <t>VÄSTMANLANDS LÄN</t>
        </is>
      </c>
      <c r="G132" t="inlineStr">
        <is>
          <t>KÖPING</t>
        </is>
      </c>
      <c r="H132" t="inlineStr">
        <is>
          <t>Sveaskog</t>
        </is>
      </c>
      <c r="I132" t="n">
        <v>0.7</v>
      </c>
      <c r="J132" t="n">
        <v>0</v>
      </c>
      <c r="K132" t="n">
        <v>0</v>
      </c>
      <c r="L132" t="n">
        <v>0</v>
      </c>
      <c r="M132" t="n">
        <v>0</v>
      </c>
      <c r="N132" t="n">
        <v>0</v>
      </c>
      <c r="O132" t="n">
        <v>0</v>
      </c>
      <c r="P132" t="n">
        <v>0</v>
      </c>
      <c r="Q132" t="n">
        <v>0</v>
      </c>
      <c r="R132" t="n">
        <v>0</v>
      </c>
      <c r="S132" t="n">
        <v>0</v>
      </c>
      <c r="T132" t="n">
        <v>0</v>
      </c>
      <c r="U132" s="2" t="inlineStr"/>
    </row>
    <row r="133" ht="15" customHeight="1">
      <c r="A133" t="inlineStr">
        <is>
          <t>A 39332-2024</t>
        </is>
      </c>
      <c r="B133" t="inlineStr">
        <is>
          <t>avverkningsanmälan</t>
        </is>
      </c>
      <c r="C133" t="inlineStr">
        <is>
          <t>Föryngringsavverkning</t>
        </is>
      </c>
      <c r="D133" s="1" t="n">
        <v>45551</v>
      </c>
      <c r="E133" s="1" t="n">
        <v>46218</v>
      </c>
      <c r="F133" t="inlineStr">
        <is>
          <t>VÄSTMANLANDS LÄN</t>
        </is>
      </c>
      <c r="G133" t="inlineStr">
        <is>
          <t>KÖPING</t>
        </is>
      </c>
      <c r="I133" t="n">
        <v>4.4</v>
      </c>
      <c r="J133" t="n">
        <v>0</v>
      </c>
      <c r="K133" t="n">
        <v>0</v>
      </c>
      <c r="L133" t="n">
        <v>0</v>
      </c>
      <c r="M133" t="n">
        <v>0</v>
      </c>
      <c r="N133" t="n">
        <v>0</v>
      </c>
      <c r="O133" t="n">
        <v>0</v>
      </c>
      <c r="P133" t="n">
        <v>0</v>
      </c>
      <c r="Q133" t="n">
        <v>0</v>
      </c>
      <c r="R133" t="n">
        <v>0</v>
      </c>
      <c r="S133" t="n">
        <v>0</v>
      </c>
      <c r="T133" t="n">
        <v>0</v>
      </c>
      <c r="U133" s="2" t="inlineStr"/>
    </row>
    <row r="134" ht="15" customHeight="1">
      <c r="A134" t="inlineStr">
        <is>
          <t>A 68954-2021</t>
        </is>
      </c>
      <c r="B134" t="inlineStr">
        <is>
          <t>avverkningsanmälan</t>
        </is>
      </c>
      <c r="C134" t="inlineStr">
        <is>
          <t>Föryngringsavverkning</t>
        </is>
      </c>
      <c r="D134" s="1" t="n">
        <v>44530</v>
      </c>
      <c r="E134" s="1" t="n">
        <v>46218</v>
      </c>
      <c r="F134" t="inlineStr">
        <is>
          <t>VÄSTMANLANDS LÄN</t>
        </is>
      </c>
      <c r="G134" t="inlineStr">
        <is>
          <t>KÖPING</t>
        </is>
      </c>
      <c r="I134" t="n">
        <v>6.8</v>
      </c>
      <c r="J134" t="n">
        <v>0</v>
      </c>
      <c r="K134" t="n">
        <v>0</v>
      </c>
      <c r="L134" t="n">
        <v>0</v>
      </c>
      <c r="M134" t="n">
        <v>0</v>
      </c>
      <c r="N134" t="n">
        <v>0</v>
      </c>
      <c r="O134" t="n">
        <v>0</v>
      </c>
      <c r="P134" t="n">
        <v>0</v>
      </c>
      <c r="Q134" t="n">
        <v>0</v>
      </c>
      <c r="R134" t="n">
        <v>0</v>
      </c>
      <c r="S134" t="n">
        <v>0</v>
      </c>
      <c r="T134" t="n">
        <v>0</v>
      </c>
      <c r="U134" s="2" t="inlineStr"/>
    </row>
    <row r="135" ht="15" customHeight="1">
      <c r="A135" t="inlineStr">
        <is>
          <t>A 18361-2025</t>
        </is>
      </c>
      <c r="B135" t="inlineStr">
        <is>
          <t>avverkningsanmälan</t>
        </is>
      </c>
      <c r="C135" t="inlineStr">
        <is>
          <t>Föryngringsavverkning</t>
        </is>
      </c>
      <c r="D135" s="1" t="n">
        <v>45762</v>
      </c>
      <c r="E135" s="1" t="n">
        <v>46218</v>
      </c>
      <c r="F135" t="inlineStr">
        <is>
          <t>VÄSTMANLANDS LÄN</t>
        </is>
      </c>
      <c r="G135" t="inlineStr">
        <is>
          <t>KÖPING</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44749-2021</t>
        </is>
      </c>
      <c r="B136" t="inlineStr">
        <is>
          <t>avverkningsanmälan</t>
        </is>
      </c>
      <c r="C136" t="inlineStr">
        <is>
          <t>Föryngringsavverkning</t>
        </is>
      </c>
      <c r="D136" s="1" t="n">
        <v>44438</v>
      </c>
      <c r="E136" s="1" t="n">
        <v>46218</v>
      </c>
      <c r="F136" t="inlineStr">
        <is>
          <t>VÄSTMANLANDS LÄN</t>
        </is>
      </c>
      <c r="G136" t="inlineStr">
        <is>
          <t>KÖPING</t>
        </is>
      </c>
      <c r="I136" t="n">
        <v>2.1</v>
      </c>
      <c r="J136" t="n">
        <v>0</v>
      </c>
      <c r="K136" t="n">
        <v>0</v>
      </c>
      <c r="L136" t="n">
        <v>0</v>
      </c>
      <c r="M136" t="n">
        <v>0</v>
      </c>
      <c r="N136" t="n">
        <v>0</v>
      </c>
      <c r="O136" t="n">
        <v>0</v>
      </c>
      <c r="P136" t="n">
        <v>0</v>
      </c>
      <c r="Q136" t="n">
        <v>0</v>
      </c>
      <c r="R136" t="n">
        <v>0</v>
      </c>
      <c r="S136" t="n">
        <v>0</v>
      </c>
      <c r="T136" t="n">
        <v>0</v>
      </c>
      <c r="U136" s="2" t="inlineStr"/>
    </row>
    <row r="137" ht="15" customHeight="1">
      <c r="A137" t="inlineStr">
        <is>
          <t>A 17345-2022</t>
        </is>
      </c>
      <c r="B137" t="inlineStr">
        <is>
          <t>avverkningsanmälan</t>
        </is>
      </c>
      <c r="C137" t="inlineStr">
        <is>
          <t>Föryngringsavverkning</t>
        </is>
      </c>
      <c r="D137" s="1" t="n">
        <v>44678</v>
      </c>
      <c r="E137" s="1" t="n">
        <v>46218</v>
      </c>
      <c r="F137" t="inlineStr">
        <is>
          <t>VÄSTMANLANDS LÄN</t>
        </is>
      </c>
      <c r="G137" t="inlineStr">
        <is>
          <t>KÖPING</t>
        </is>
      </c>
      <c r="I137" t="n">
        <v>3.2</v>
      </c>
      <c r="J137" t="n">
        <v>0</v>
      </c>
      <c r="K137" t="n">
        <v>0</v>
      </c>
      <c r="L137" t="n">
        <v>0</v>
      </c>
      <c r="M137" t="n">
        <v>0</v>
      </c>
      <c r="N137" t="n">
        <v>0</v>
      </c>
      <c r="O137" t="n">
        <v>0</v>
      </c>
      <c r="P137" t="n">
        <v>0</v>
      </c>
      <c r="Q137" t="n">
        <v>0</v>
      </c>
      <c r="R137" t="n">
        <v>0</v>
      </c>
      <c r="S137" t="n">
        <v>0</v>
      </c>
      <c r="T137" t="n">
        <v>0</v>
      </c>
      <c r="U137" s="2" t="inlineStr"/>
    </row>
    <row r="138" ht="15" customHeight="1">
      <c r="A138" t="inlineStr">
        <is>
          <t>A 48978-2025</t>
        </is>
      </c>
      <c r="B138" t="inlineStr">
        <is>
          <t>avverkningsanmälan</t>
        </is>
      </c>
      <c r="C138" t="inlineStr">
        <is>
          <t>Föryngringsavverkning</t>
        </is>
      </c>
      <c r="D138" s="1" t="n">
        <v>45937</v>
      </c>
      <c r="E138" s="1" t="n">
        <v>46218</v>
      </c>
      <c r="F138" t="inlineStr">
        <is>
          <t>VÄSTMANLANDS LÄN</t>
        </is>
      </c>
      <c r="G138" t="inlineStr">
        <is>
          <t>KÖPING</t>
        </is>
      </c>
      <c r="H138" t="inlineStr">
        <is>
          <t>Sveaskog</t>
        </is>
      </c>
      <c r="I138" t="n">
        <v>7.2</v>
      </c>
      <c r="J138" t="n">
        <v>0</v>
      </c>
      <c r="K138" t="n">
        <v>0</v>
      </c>
      <c r="L138" t="n">
        <v>0</v>
      </c>
      <c r="M138" t="n">
        <v>0</v>
      </c>
      <c r="N138" t="n">
        <v>0</v>
      </c>
      <c r="O138" t="n">
        <v>0</v>
      </c>
      <c r="P138" t="n">
        <v>0</v>
      </c>
      <c r="Q138" t="n">
        <v>0</v>
      </c>
      <c r="R138" t="n">
        <v>0</v>
      </c>
      <c r="S138" t="n">
        <v>0</v>
      </c>
      <c r="T138" t="n">
        <v>0</v>
      </c>
      <c r="U138" s="2" t="inlineStr"/>
    </row>
    <row r="139" ht="15" customHeight="1">
      <c r="A139" t="inlineStr">
        <is>
          <t>A 48979-2025</t>
        </is>
      </c>
      <c r="B139" t="inlineStr">
        <is>
          <t>avverkningsanmälan</t>
        </is>
      </c>
      <c r="C139" t="inlineStr">
        <is>
          <t>Föryngringsavverkning</t>
        </is>
      </c>
      <c r="D139" s="1" t="n">
        <v>45937</v>
      </c>
      <c r="E139" s="1" t="n">
        <v>46218</v>
      </c>
      <c r="F139" t="inlineStr">
        <is>
          <t>VÄSTMANLANDS LÄN</t>
        </is>
      </c>
      <c r="G139" t="inlineStr">
        <is>
          <t>KÖPING</t>
        </is>
      </c>
      <c r="H139" t="inlineStr">
        <is>
          <t>Sveaskog</t>
        </is>
      </c>
      <c r="I139" t="n">
        <v>5.6</v>
      </c>
      <c r="J139" t="n">
        <v>0</v>
      </c>
      <c r="K139" t="n">
        <v>0</v>
      </c>
      <c r="L139" t="n">
        <v>0</v>
      </c>
      <c r="M139" t="n">
        <v>0</v>
      </c>
      <c r="N139" t="n">
        <v>0</v>
      </c>
      <c r="O139" t="n">
        <v>0</v>
      </c>
      <c r="P139" t="n">
        <v>0</v>
      </c>
      <c r="Q139" t="n">
        <v>0</v>
      </c>
      <c r="R139" t="n">
        <v>0</v>
      </c>
      <c r="S139" t="n">
        <v>0</v>
      </c>
      <c r="T139" t="n">
        <v>0</v>
      </c>
      <c r="U139" s="2" t="inlineStr"/>
    </row>
    <row r="140" ht="15" customHeight="1">
      <c r="A140" t="inlineStr">
        <is>
          <t>A 2868-2023</t>
        </is>
      </c>
      <c r="B140" t="inlineStr">
        <is>
          <t>avverkningsanmälan</t>
        </is>
      </c>
      <c r="C140" t="inlineStr">
        <is>
          <t>Avverkning för att bevara och utveckla /försöksver</t>
        </is>
      </c>
      <c r="D140" s="1" t="n">
        <v>44945</v>
      </c>
      <c r="E140" s="1" t="n">
        <v>46218</v>
      </c>
      <c r="F140" t="inlineStr">
        <is>
          <t>VÄSTMANLANDS LÄN</t>
        </is>
      </c>
      <c r="G140" t="inlineStr">
        <is>
          <t>KÖPING</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42621-2021</t>
        </is>
      </c>
      <c r="B141" t="inlineStr">
        <is>
          <t>avverkningsanmälan</t>
        </is>
      </c>
      <c r="C141" t="inlineStr">
        <is>
          <t>Föryngringsavverkning</t>
        </is>
      </c>
      <c r="D141" s="1" t="n">
        <v>44428</v>
      </c>
      <c r="E141" s="1" t="n">
        <v>46218</v>
      </c>
      <c r="F141" t="inlineStr">
        <is>
          <t>VÄSTMANLANDS LÄN</t>
        </is>
      </c>
      <c r="G141" t="inlineStr">
        <is>
          <t>KÖPING</t>
        </is>
      </c>
      <c r="I141" t="n">
        <v>1.6</v>
      </c>
      <c r="J141" t="n">
        <v>0</v>
      </c>
      <c r="K141" t="n">
        <v>0</v>
      </c>
      <c r="L141" t="n">
        <v>0</v>
      </c>
      <c r="M141" t="n">
        <v>0</v>
      </c>
      <c r="N141" t="n">
        <v>0</v>
      </c>
      <c r="O141" t="n">
        <v>0</v>
      </c>
      <c r="P141" t="n">
        <v>0</v>
      </c>
      <c r="Q141" t="n">
        <v>0</v>
      </c>
      <c r="R141" t="n">
        <v>0</v>
      </c>
      <c r="S141" t="n">
        <v>0</v>
      </c>
      <c r="T141" t="n">
        <v>0</v>
      </c>
      <c r="U141" s="2" t="inlineStr"/>
    </row>
    <row r="142" ht="15" customHeight="1">
      <c r="A142" t="inlineStr">
        <is>
          <t>A 6948-2023</t>
        </is>
      </c>
      <c r="B142" t="inlineStr">
        <is>
          <t>avverkningsanmälan</t>
        </is>
      </c>
      <c r="C142" t="inlineStr">
        <is>
          <t>Föryngringsavverkning</t>
        </is>
      </c>
      <c r="D142" s="1" t="n">
        <v>44967</v>
      </c>
      <c r="E142" s="1" t="n">
        <v>46218</v>
      </c>
      <c r="F142" t="inlineStr">
        <is>
          <t>VÄSTMANLANDS LÄN</t>
        </is>
      </c>
      <c r="G142" t="inlineStr">
        <is>
          <t>KÖPING</t>
        </is>
      </c>
      <c r="H142" t="inlineStr">
        <is>
          <t>Sveaskog</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13847-2025</t>
        </is>
      </c>
      <c r="B143" t="inlineStr">
        <is>
          <t>avverkningsanmälan</t>
        </is>
      </c>
      <c r="C143" t="inlineStr">
        <is>
          <t>Avverkning för annat ändamål</t>
        </is>
      </c>
      <c r="D143" s="1" t="n">
        <v>45737</v>
      </c>
      <c r="E143" s="1" t="n">
        <v>46218</v>
      </c>
      <c r="F143" t="inlineStr">
        <is>
          <t>VÄSTMANLANDS LÄN</t>
        </is>
      </c>
      <c r="G143" t="inlineStr">
        <is>
          <t>KÖPING</t>
        </is>
      </c>
      <c r="H143" t="inlineStr">
        <is>
          <t>Sveaskog</t>
        </is>
      </c>
      <c r="I143" t="n">
        <v>0.7</v>
      </c>
      <c r="J143" t="n">
        <v>0</v>
      </c>
      <c r="K143" t="n">
        <v>0</v>
      </c>
      <c r="L143" t="n">
        <v>0</v>
      </c>
      <c r="M143" t="n">
        <v>0</v>
      </c>
      <c r="N143" t="n">
        <v>0</v>
      </c>
      <c r="O143" t="n">
        <v>0</v>
      </c>
      <c r="P143" t="n">
        <v>0</v>
      </c>
      <c r="Q143" t="n">
        <v>0</v>
      </c>
      <c r="R143" t="n">
        <v>0</v>
      </c>
      <c r="S143" t="n">
        <v>0</v>
      </c>
      <c r="T143" t="n">
        <v>0</v>
      </c>
      <c r="U143" s="2" t="inlineStr"/>
    </row>
    <row r="144" ht="15" customHeight="1">
      <c r="A144" t="inlineStr">
        <is>
          <t>A 15158-2022</t>
        </is>
      </c>
      <c r="B144" t="inlineStr">
        <is>
          <t>avverkningsanmälan</t>
        </is>
      </c>
      <c r="C144" t="inlineStr">
        <is>
          <t>Föryngringsavverkning</t>
        </is>
      </c>
      <c r="D144" s="1" t="n">
        <v>44658</v>
      </c>
      <c r="E144" s="1" t="n">
        <v>46218</v>
      </c>
      <c r="F144" t="inlineStr">
        <is>
          <t>VÄSTMANLANDS LÄN</t>
        </is>
      </c>
      <c r="G144" t="inlineStr">
        <is>
          <t>KÖPING</t>
        </is>
      </c>
      <c r="I144" t="n">
        <v>0.4</v>
      </c>
      <c r="J144" t="n">
        <v>0</v>
      </c>
      <c r="K144" t="n">
        <v>0</v>
      </c>
      <c r="L144" t="n">
        <v>0</v>
      </c>
      <c r="M144" t="n">
        <v>0</v>
      </c>
      <c r="N144" t="n">
        <v>0</v>
      </c>
      <c r="O144" t="n">
        <v>0</v>
      </c>
      <c r="P144" t="n">
        <v>0</v>
      </c>
      <c r="Q144" t="n">
        <v>0</v>
      </c>
      <c r="R144" t="n">
        <v>0</v>
      </c>
      <c r="S144" t="n">
        <v>0</v>
      </c>
      <c r="T144" t="n">
        <v>0</v>
      </c>
      <c r="U144" s="2" t="inlineStr"/>
    </row>
    <row r="145" ht="15" customHeight="1">
      <c r="A145" t="inlineStr">
        <is>
          <t>A 15162-2022</t>
        </is>
      </c>
      <c r="B145" t="inlineStr">
        <is>
          <t>avverkningsanmälan</t>
        </is>
      </c>
      <c r="C145" t="inlineStr">
        <is>
          <t>Föryngringsavverkning</t>
        </is>
      </c>
      <c r="D145" s="1" t="n">
        <v>44658</v>
      </c>
      <c r="E145" s="1" t="n">
        <v>46218</v>
      </c>
      <c r="F145" t="inlineStr">
        <is>
          <t>VÄSTMANLANDS LÄN</t>
        </is>
      </c>
      <c r="G145" t="inlineStr">
        <is>
          <t>KÖPING</t>
        </is>
      </c>
      <c r="I145" t="n">
        <v>4.6</v>
      </c>
      <c r="J145" t="n">
        <v>0</v>
      </c>
      <c r="K145" t="n">
        <v>0</v>
      </c>
      <c r="L145" t="n">
        <v>0</v>
      </c>
      <c r="M145" t="n">
        <v>0</v>
      </c>
      <c r="N145" t="n">
        <v>0</v>
      </c>
      <c r="O145" t="n">
        <v>0</v>
      </c>
      <c r="P145" t="n">
        <v>0</v>
      </c>
      <c r="Q145" t="n">
        <v>0</v>
      </c>
      <c r="R145" t="n">
        <v>0</v>
      </c>
      <c r="S145" t="n">
        <v>0</v>
      </c>
      <c r="T145" t="n">
        <v>0</v>
      </c>
      <c r="U145" s="2" t="inlineStr"/>
    </row>
    <row r="146" ht="15" customHeight="1">
      <c r="A146" t="inlineStr">
        <is>
          <t>A 13043-2025</t>
        </is>
      </c>
      <c r="B146" t="inlineStr">
        <is>
          <t>avverkningsanmälan</t>
        </is>
      </c>
      <c r="C146" t="inlineStr">
        <is>
          <t>Avverkning för att bevara och utveckla /försöksver</t>
        </is>
      </c>
      <c r="D146" s="1" t="n">
        <v>45734</v>
      </c>
      <c r="E146" s="1" t="n">
        <v>46218</v>
      </c>
      <c r="F146" t="inlineStr">
        <is>
          <t>VÄSTMANLANDS LÄN</t>
        </is>
      </c>
      <c r="G146" t="inlineStr">
        <is>
          <t>KÖPING</t>
        </is>
      </c>
      <c r="H146" t="inlineStr">
        <is>
          <t>Sveaskog</t>
        </is>
      </c>
      <c r="I146" t="n">
        <v>3.1</v>
      </c>
      <c r="J146" t="n">
        <v>0</v>
      </c>
      <c r="K146" t="n">
        <v>0</v>
      </c>
      <c r="L146" t="n">
        <v>0</v>
      </c>
      <c r="M146" t="n">
        <v>0</v>
      </c>
      <c r="N146" t="n">
        <v>0</v>
      </c>
      <c r="O146" t="n">
        <v>0</v>
      </c>
      <c r="P146" t="n">
        <v>0</v>
      </c>
      <c r="Q146" t="n">
        <v>0</v>
      </c>
      <c r="R146" t="n">
        <v>0</v>
      </c>
      <c r="S146" t="n">
        <v>0</v>
      </c>
      <c r="T146" t="n">
        <v>0</v>
      </c>
      <c r="U146" s="2" t="inlineStr"/>
    </row>
    <row r="147" ht="15" customHeight="1">
      <c r="A147" t="inlineStr">
        <is>
          <t>A 37752-2023</t>
        </is>
      </c>
      <c r="B147" t="inlineStr">
        <is>
          <t>avverkningsanmälan</t>
        </is>
      </c>
      <c r="C147" t="inlineStr">
        <is>
          <t>Föryngringsavverkning</t>
        </is>
      </c>
      <c r="D147" s="1" t="n">
        <v>45159</v>
      </c>
      <c r="E147" s="1" t="n">
        <v>46218</v>
      </c>
      <c r="F147" t="inlineStr">
        <is>
          <t>VÄSTMANLANDS LÄN</t>
        </is>
      </c>
      <c r="G147" t="inlineStr">
        <is>
          <t>KÖPING</t>
        </is>
      </c>
      <c r="I147" t="n">
        <v>1.6</v>
      </c>
      <c r="J147" t="n">
        <v>0</v>
      </c>
      <c r="K147" t="n">
        <v>0</v>
      </c>
      <c r="L147" t="n">
        <v>0</v>
      </c>
      <c r="M147" t="n">
        <v>0</v>
      </c>
      <c r="N147" t="n">
        <v>0</v>
      </c>
      <c r="O147" t="n">
        <v>0</v>
      </c>
      <c r="P147" t="n">
        <v>0</v>
      </c>
      <c r="Q147" t="n">
        <v>0</v>
      </c>
      <c r="R147" t="n">
        <v>0</v>
      </c>
      <c r="S147" t="n">
        <v>0</v>
      </c>
      <c r="T147" t="n">
        <v>0</v>
      </c>
      <c r="U147" s="2" t="inlineStr"/>
    </row>
    <row r="148" ht="15" customHeight="1">
      <c r="A148" t="inlineStr">
        <is>
          <t>A 51190-2024</t>
        </is>
      </c>
      <c r="B148" t="inlineStr">
        <is>
          <t>avverkningsanmälan</t>
        </is>
      </c>
      <c r="C148" t="inlineStr">
        <is>
          <t>Föryngringsavverkning</t>
        </is>
      </c>
      <c r="D148" s="1" t="n">
        <v>45603</v>
      </c>
      <c r="E148" s="1" t="n">
        <v>46218</v>
      </c>
      <c r="F148" t="inlineStr">
        <is>
          <t>VÄSTMANLANDS LÄN</t>
        </is>
      </c>
      <c r="G148" t="inlineStr">
        <is>
          <t>KÖPING</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63561-2021</t>
        </is>
      </c>
      <c r="B149" t="inlineStr">
        <is>
          <t>avverkningsanmälan</t>
        </is>
      </c>
      <c r="C149" t="inlineStr">
        <is>
          <t>Föryngringsavverkning</t>
        </is>
      </c>
      <c r="D149" s="1" t="n">
        <v>44508</v>
      </c>
      <c r="E149" s="1" t="n">
        <v>46218</v>
      </c>
      <c r="F149" t="inlineStr">
        <is>
          <t>VÄSTMANLANDS LÄN</t>
        </is>
      </c>
      <c r="G149" t="inlineStr">
        <is>
          <t>KÖPING</t>
        </is>
      </c>
      <c r="I149" t="n">
        <v>3.3</v>
      </c>
      <c r="J149" t="n">
        <v>0</v>
      </c>
      <c r="K149" t="n">
        <v>0</v>
      </c>
      <c r="L149" t="n">
        <v>0</v>
      </c>
      <c r="M149" t="n">
        <v>0</v>
      </c>
      <c r="N149" t="n">
        <v>0</v>
      </c>
      <c r="O149" t="n">
        <v>0</v>
      </c>
      <c r="P149" t="n">
        <v>0</v>
      </c>
      <c r="Q149" t="n">
        <v>0</v>
      </c>
      <c r="R149" t="n">
        <v>0</v>
      </c>
      <c r="S149" t="n">
        <v>0</v>
      </c>
      <c r="T149" t="n">
        <v>0</v>
      </c>
      <c r="U149" s="2" t="inlineStr"/>
    </row>
    <row r="150" ht="15" customHeight="1">
      <c r="A150" t="inlineStr">
        <is>
          <t>A 2071-2025</t>
        </is>
      </c>
      <c r="B150" t="inlineStr">
        <is>
          <t>avverkningsanmälan</t>
        </is>
      </c>
      <c r="C150" t="inlineStr">
        <is>
          <t>Föryngringsavverkning</t>
        </is>
      </c>
      <c r="D150" s="1" t="n">
        <v>45672</v>
      </c>
      <c r="E150" s="1" t="n">
        <v>46218</v>
      </c>
      <c r="F150" t="inlineStr">
        <is>
          <t>VÄSTMANLANDS LÄN</t>
        </is>
      </c>
      <c r="G150" t="inlineStr">
        <is>
          <t>KÖPING</t>
        </is>
      </c>
      <c r="I150" t="n">
        <v>1.5</v>
      </c>
      <c r="J150" t="n">
        <v>0</v>
      </c>
      <c r="K150" t="n">
        <v>0</v>
      </c>
      <c r="L150" t="n">
        <v>0</v>
      </c>
      <c r="M150" t="n">
        <v>0</v>
      </c>
      <c r="N150" t="n">
        <v>0</v>
      </c>
      <c r="O150" t="n">
        <v>0</v>
      </c>
      <c r="P150" t="n">
        <v>0</v>
      </c>
      <c r="Q150" t="n">
        <v>0</v>
      </c>
      <c r="R150" t="n">
        <v>0</v>
      </c>
      <c r="S150" t="n">
        <v>0</v>
      </c>
      <c r="T150" t="n">
        <v>0</v>
      </c>
      <c r="U150" s="2" t="inlineStr"/>
    </row>
    <row r="151" ht="15" customHeight="1">
      <c r="A151" t="inlineStr">
        <is>
          <t>A 44621-2023</t>
        </is>
      </c>
      <c r="B151" t="inlineStr">
        <is>
          <t>avverkningsanmälan</t>
        </is>
      </c>
      <c r="C151" t="inlineStr">
        <is>
          <t>Föryngringsavverkning</t>
        </is>
      </c>
      <c r="D151" s="1" t="n">
        <v>45189</v>
      </c>
      <c r="E151" s="1" t="n">
        <v>46218</v>
      </c>
      <c r="F151" t="inlineStr">
        <is>
          <t>VÄSTMANLANDS LÄN</t>
        </is>
      </c>
      <c r="G151" t="inlineStr">
        <is>
          <t>KÖPING</t>
        </is>
      </c>
      <c r="I151" t="n">
        <v>2</v>
      </c>
      <c r="J151" t="n">
        <v>0</v>
      </c>
      <c r="K151" t="n">
        <v>0</v>
      </c>
      <c r="L151" t="n">
        <v>0</v>
      </c>
      <c r="M151" t="n">
        <v>0</v>
      </c>
      <c r="N151" t="n">
        <v>0</v>
      </c>
      <c r="O151" t="n">
        <v>0</v>
      </c>
      <c r="P151" t="n">
        <v>0</v>
      </c>
      <c r="Q151" t="n">
        <v>0</v>
      </c>
      <c r="R151" t="n">
        <v>0</v>
      </c>
      <c r="S151" t="n">
        <v>0</v>
      </c>
      <c r="T151" t="n">
        <v>0</v>
      </c>
      <c r="U151" s="2" t="inlineStr"/>
    </row>
    <row r="152" ht="15" customHeight="1">
      <c r="A152" t="inlineStr">
        <is>
          <t>A 21163-2025</t>
        </is>
      </c>
      <c r="B152" t="inlineStr">
        <is>
          <t>avverkningsanmälan</t>
        </is>
      </c>
      <c r="C152" t="inlineStr">
        <is>
          <t>Föryngringsavverkning</t>
        </is>
      </c>
      <c r="D152" s="1" t="n">
        <v>45779</v>
      </c>
      <c r="E152" s="1" t="n">
        <v>46218</v>
      </c>
      <c r="F152" t="inlineStr">
        <is>
          <t>VÄSTMANLANDS LÄN</t>
        </is>
      </c>
      <c r="G152" t="inlineStr">
        <is>
          <t>KÖPING</t>
        </is>
      </c>
      <c r="H152" t="inlineStr">
        <is>
          <t>Sveaskog</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51156-2024</t>
        </is>
      </c>
      <c r="B153" t="inlineStr">
        <is>
          <t>avverkningsanmälan</t>
        </is>
      </c>
      <c r="C153" t="inlineStr">
        <is>
          <t>Föryngringsavverkning</t>
        </is>
      </c>
      <c r="D153" s="1" t="n">
        <v>45603</v>
      </c>
      <c r="E153" s="1" t="n">
        <v>46218</v>
      </c>
      <c r="F153" t="inlineStr">
        <is>
          <t>VÄSTMANLANDS LÄN</t>
        </is>
      </c>
      <c r="G153" t="inlineStr">
        <is>
          <t>KÖPING</t>
        </is>
      </c>
      <c r="I153" t="n">
        <v>2.5</v>
      </c>
      <c r="J153" t="n">
        <v>0</v>
      </c>
      <c r="K153" t="n">
        <v>0</v>
      </c>
      <c r="L153" t="n">
        <v>0</v>
      </c>
      <c r="M153" t="n">
        <v>0</v>
      </c>
      <c r="N153" t="n">
        <v>0</v>
      </c>
      <c r="O153" t="n">
        <v>0</v>
      </c>
      <c r="P153" t="n">
        <v>0</v>
      </c>
      <c r="Q153" t="n">
        <v>0</v>
      </c>
      <c r="R153" t="n">
        <v>0</v>
      </c>
      <c r="S153" t="n">
        <v>0</v>
      </c>
      <c r="T153" t="n">
        <v>0</v>
      </c>
      <c r="U153" s="2" t="inlineStr"/>
    </row>
    <row r="154" ht="15" customHeight="1">
      <c r="A154" t="inlineStr">
        <is>
          <t>A 55720-2022</t>
        </is>
      </c>
      <c r="B154" t="inlineStr">
        <is>
          <t>avverkningsanmälan</t>
        </is>
      </c>
      <c r="C154" t="inlineStr">
        <is>
          <t>Föryngringsavverkning</t>
        </is>
      </c>
      <c r="D154" s="1" t="n">
        <v>44888</v>
      </c>
      <c r="E154" s="1" t="n">
        <v>46218</v>
      </c>
      <c r="F154" t="inlineStr">
        <is>
          <t>VÄSTMANLANDS LÄN</t>
        </is>
      </c>
      <c r="G154" t="inlineStr">
        <is>
          <t>KÖPING</t>
        </is>
      </c>
      <c r="I154" t="n">
        <v>3.2</v>
      </c>
      <c r="J154" t="n">
        <v>0</v>
      </c>
      <c r="K154" t="n">
        <v>0</v>
      </c>
      <c r="L154" t="n">
        <v>0</v>
      </c>
      <c r="M154" t="n">
        <v>0</v>
      </c>
      <c r="N154" t="n">
        <v>0</v>
      </c>
      <c r="O154" t="n">
        <v>0</v>
      </c>
      <c r="P154" t="n">
        <v>0</v>
      </c>
      <c r="Q154" t="n">
        <v>0</v>
      </c>
      <c r="R154" t="n">
        <v>0</v>
      </c>
      <c r="S154" t="n">
        <v>0</v>
      </c>
      <c r="T154" t="n">
        <v>0</v>
      </c>
      <c r="U154" s="2" t="inlineStr"/>
    </row>
    <row r="155" ht="15" customHeight="1">
      <c r="A155" t="inlineStr">
        <is>
          <t>A 10512-2022</t>
        </is>
      </c>
      <c r="B155" t="inlineStr">
        <is>
          <t>avverkningsanmälan</t>
        </is>
      </c>
      <c r="C155" t="inlineStr">
        <is>
          <t>Föryngringsavverkning</t>
        </is>
      </c>
      <c r="D155" s="1" t="n">
        <v>44623</v>
      </c>
      <c r="E155" s="1" t="n">
        <v>46218</v>
      </c>
      <c r="F155" t="inlineStr">
        <is>
          <t>VÄSTMANLANDS LÄN</t>
        </is>
      </c>
      <c r="G155" t="inlineStr">
        <is>
          <t>KÖPING</t>
        </is>
      </c>
      <c r="I155" t="n">
        <v>2.1</v>
      </c>
      <c r="J155" t="n">
        <v>0</v>
      </c>
      <c r="K155" t="n">
        <v>0</v>
      </c>
      <c r="L155" t="n">
        <v>0</v>
      </c>
      <c r="M155" t="n">
        <v>0</v>
      </c>
      <c r="N155" t="n">
        <v>0</v>
      </c>
      <c r="O155" t="n">
        <v>0</v>
      </c>
      <c r="P155" t="n">
        <v>0</v>
      </c>
      <c r="Q155" t="n">
        <v>0</v>
      </c>
      <c r="R155" t="n">
        <v>0</v>
      </c>
      <c r="S155" t="n">
        <v>0</v>
      </c>
      <c r="T155" t="n">
        <v>0</v>
      </c>
      <c r="U155" s="2" t="inlineStr"/>
    </row>
    <row r="156" ht="15" customHeight="1">
      <c r="A156" t="inlineStr">
        <is>
          <t>A 21691-2025</t>
        </is>
      </c>
      <c r="B156" t="inlineStr">
        <is>
          <t>avverkningsanmälan</t>
        </is>
      </c>
      <c r="C156" t="inlineStr">
        <is>
          <t>Föryngringsavverkning</t>
        </is>
      </c>
      <c r="D156" s="1" t="n">
        <v>45783</v>
      </c>
      <c r="E156" s="1" t="n">
        <v>46218</v>
      </c>
      <c r="F156" t="inlineStr">
        <is>
          <t>VÄSTMANLANDS LÄN</t>
        </is>
      </c>
      <c r="G156" t="inlineStr">
        <is>
          <t>KÖPING</t>
        </is>
      </c>
      <c r="I156" t="n">
        <v>10.1</v>
      </c>
      <c r="J156" t="n">
        <v>0</v>
      </c>
      <c r="K156" t="n">
        <v>0</v>
      </c>
      <c r="L156" t="n">
        <v>0</v>
      </c>
      <c r="M156" t="n">
        <v>0</v>
      </c>
      <c r="N156" t="n">
        <v>0</v>
      </c>
      <c r="O156" t="n">
        <v>0</v>
      </c>
      <c r="P156" t="n">
        <v>0</v>
      </c>
      <c r="Q156" t="n">
        <v>0</v>
      </c>
      <c r="R156" t="n">
        <v>0</v>
      </c>
      <c r="S156" t="n">
        <v>0</v>
      </c>
      <c r="T156" t="n">
        <v>0</v>
      </c>
      <c r="U156" s="2" t="inlineStr"/>
    </row>
    <row r="157" ht="15" customHeight="1">
      <c r="A157" t="inlineStr">
        <is>
          <t>A 61083-2022</t>
        </is>
      </c>
      <c r="B157" t="inlineStr">
        <is>
          <t>avverkningsanmälan</t>
        </is>
      </c>
      <c r="C157" t="inlineStr">
        <is>
          <t>Föryngringsavverkning</t>
        </is>
      </c>
      <c r="D157" s="1" t="n">
        <v>44915</v>
      </c>
      <c r="E157" s="1" t="n">
        <v>46218</v>
      </c>
      <c r="F157" t="inlineStr">
        <is>
          <t>VÄSTMANLANDS LÄN</t>
        </is>
      </c>
      <c r="G157" t="inlineStr">
        <is>
          <t>KÖPING</t>
        </is>
      </c>
      <c r="I157" t="n">
        <v>6.7</v>
      </c>
      <c r="J157" t="n">
        <v>0</v>
      </c>
      <c r="K157" t="n">
        <v>0</v>
      </c>
      <c r="L157" t="n">
        <v>0</v>
      </c>
      <c r="M157" t="n">
        <v>0</v>
      </c>
      <c r="N157" t="n">
        <v>0</v>
      </c>
      <c r="O157" t="n">
        <v>0</v>
      </c>
      <c r="P157" t="n">
        <v>0</v>
      </c>
      <c r="Q157" t="n">
        <v>0</v>
      </c>
      <c r="R157" t="n">
        <v>0</v>
      </c>
      <c r="S157" t="n">
        <v>0</v>
      </c>
      <c r="T157" t="n">
        <v>0</v>
      </c>
      <c r="U157" s="2" t="inlineStr"/>
    </row>
    <row r="158" ht="15" customHeight="1">
      <c r="A158" t="inlineStr">
        <is>
          <t>A 30147-2022</t>
        </is>
      </c>
      <c r="B158" t="inlineStr">
        <is>
          <t>avverkningsanmälan</t>
        </is>
      </c>
      <c r="C158" t="inlineStr">
        <is>
          <t>Föryngringsavverkning</t>
        </is>
      </c>
      <c r="D158" s="1" t="n">
        <v>44757</v>
      </c>
      <c r="E158" s="1" t="n">
        <v>46218</v>
      </c>
      <c r="F158" t="inlineStr">
        <is>
          <t>VÄSTMANLANDS LÄN</t>
        </is>
      </c>
      <c r="G158" t="inlineStr">
        <is>
          <t>KÖPING</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20798-2022</t>
        </is>
      </c>
      <c r="B159" t="inlineStr">
        <is>
          <t>avverkningsanmälan</t>
        </is>
      </c>
      <c r="C159" t="inlineStr">
        <is>
          <t>Avverkning för att bevara och utveckla /försöksver</t>
        </is>
      </c>
      <c r="D159" s="1" t="n">
        <v>44701</v>
      </c>
      <c r="E159" s="1" t="n">
        <v>46218</v>
      </c>
      <c r="F159" t="inlineStr">
        <is>
          <t>VÄSTMANLANDS LÄN</t>
        </is>
      </c>
      <c r="G159" t="inlineStr">
        <is>
          <t>KÖPING</t>
        </is>
      </c>
      <c r="H159" t="inlineStr">
        <is>
          <t>Sveaskog</t>
        </is>
      </c>
      <c r="I159" t="n">
        <v>1.8</v>
      </c>
      <c r="J159" t="n">
        <v>0</v>
      </c>
      <c r="K159" t="n">
        <v>0</v>
      </c>
      <c r="L159" t="n">
        <v>0</v>
      </c>
      <c r="M159" t="n">
        <v>0</v>
      </c>
      <c r="N159" t="n">
        <v>0</v>
      </c>
      <c r="O159" t="n">
        <v>0</v>
      </c>
      <c r="P159" t="n">
        <v>0</v>
      </c>
      <c r="Q159" t="n">
        <v>0</v>
      </c>
      <c r="R159" t="n">
        <v>0</v>
      </c>
      <c r="S159" t="n">
        <v>0</v>
      </c>
      <c r="T159" t="n">
        <v>0</v>
      </c>
      <c r="U159" s="2" t="inlineStr"/>
    </row>
    <row r="160" ht="15" customHeight="1">
      <c r="A160" t="inlineStr">
        <is>
          <t>A 27261-2022</t>
        </is>
      </c>
      <c r="B160" t="inlineStr">
        <is>
          <t>avverkningsanmälan</t>
        </is>
      </c>
      <c r="C160" t="inlineStr">
        <is>
          <t>Föryngringsavverkning</t>
        </is>
      </c>
      <c r="D160" s="1" t="n">
        <v>44741</v>
      </c>
      <c r="E160" s="1" t="n">
        <v>46218</v>
      </c>
      <c r="F160" t="inlineStr">
        <is>
          <t>VÄSTMANLANDS LÄN</t>
        </is>
      </c>
      <c r="G160" t="inlineStr">
        <is>
          <t>KÖPING</t>
        </is>
      </c>
      <c r="H160" t="inlineStr">
        <is>
          <t>Sveaskog</t>
        </is>
      </c>
      <c r="I160" t="n">
        <v>3.5</v>
      </c>
      <c r="J160" t="n">
        <v>0</v>
      </c>
      <c r="K160" t="n">
        <v>0</v>
      </c>
      <c r="L160" t="n">
        <v>0</v>
      </c>
      <c r="M160" t="n">
        <v>0</v>
      </c>
      <c r="N160" t="n">
        <v>0</v>
      </c>
      <c r="O160" t="n">
        <v>0</v>
      </c>
      <c r="P160" t="n">
        <v>0</v>
      </c>
      <c r="Q160" t="n">
        <v>0</v>
      </c>
      <c r="R160" t="n">
        <v>0</v>
      </c>
      <c r="S160" t="n">
        <v>0</v>
      </c>
      <c r="T160" t="n">
        <v>0</v>
      </c>
      <c r="U160" s="2" t="inlineStr"/>
    </row>
    <row r="161" ht="15" customHeight="1">
      <c r="A161" t="inlineStr">
        <is>
          <t>A 11034-2022</t>
        </is>
      </c>
      <c r="B161" t="inlineStr">
        <is>
          <t>avverkningsanmälan</t>
        </is>
      </c>
      <c r="C161" t="inlineStr">
        <is>
          <t>Föryngringsavverkning</t>
        </is>
      </c>
      <c r="D161" s="1" t="n">
        <v>44628</v>
      </c>
      <c r="E161" s="1" t="n">
        <v>46218</v>
      </c>
      <c r="F161" t="inlineStr">
        <is>
          <t>VÄSTMANLANDS LÄN</t>
        </is>
      </c>
      <c r="G161" t="inlineStr">
        <is>
          <t>KÖPING</t>
        </is>
      </c>
      <c r="I161" t="n">
        <v>1.7</v>
      </c>
      <c r="J161" t="n">
        <v>0</v>
      </c>
      <c r="K161" t="n">
        <v>0</v>
      </c>
      <c r="L161" t="n">
        <v>0</v>
      </c>
      <c r="M161" t="n">
        <v>0</v>
      </c>
      <c r="N161" t="n">
        <v>0</v>
      </c>
      <c r="O161" t="n">
        <v>0</v>
      </c>
      <c r="P161" t="n">
        <v>0</v>
      </c>
      <c r="Q161" t="n">
        <v>0</v>
      </c>
      <c r="R161" t="n">
        <v>0</v>
      </c>
      <c r="S161" t="n">
        <v>0</v>
      </c>
      <c r="T161" t="n">
        <v>0</v>
      </c>
      <c r="U161" s="2" t="inlineStr"/>
    </row>
    <row r="162" ht="15" customHeight="1">
      <c r="A162" t="inlineStr">
        <is>
          <t>A 1387-2025</t>
        </is>
      </c>
      <c r="B162" t="inlineStr">
        <is>
          <t>avverkningsanmälan</t>
        </is>
      </c>
      <c r="C162" t="inlineStr">
        <is>
          <t>Föryngringsavverkning</t>
        </is>
      </c>
      <c r="D162" s="1" t="n">
        <v>45667</v>
      </c>
      <c r="E162" s="1" t="n">
        <v>46218</v>
      </c>
      <c r="F162" t="inlineStr">
        <is>
          <t>VÄSTMANLANDS LÄN</t>
        </is>
      </c>
      <c r="G162" t="inlineStr">
        <is>
          <t>KÖPING</t>
        </is>
      </c>
      <c r="I162" t="n">
        <v>1.5</v>
      </c>
      <c r="J162" t="n">
        <v>0</v>
      </c>
      <c r="K162" t="n">
        <v>0</v>
      </c>
      <c r="L162" t="n">
        <v>0</v>
      </c>
      <c r="M162" t="n">
        <v>0</v>
      </c>
      <c r="N162" t="n">
        <v>0</v>
      </c>
      <c r="O162" t="n">
        <v>0</v>
      </c>
      <c r="P162" t="n">
        <v>0</v>
      </c>
      <c r="Q162" t="n">
        <v>0</v>
      </c>
      <c r="R162" t="n">
        <v>0</v>
      </c>
      <c r="S162" t="n">
        <v>0</v>
      </c>
      <c r="T162" t="n">
        <v>0</v>
      </c>
      <c r="U162" s="2" t="inlineStr"/>
    </row>
    <row r="163" ht="15" customHeight="1">
      <c r="A163" t="inlineStr">
        <is>
          <t>A 43567-2022</t>
        </is>
      </c>
      <c r="B163" t="inlineStr">
        <is>
          <t>avverkningsanmälan</t>
        </is>
      </c>
      <c r="C163" t="inlineStr">
        <is>
          <t>Föryngringsavverkning</t>
        </is>
      </c>
      <c r="D163" s="1" t="n">
        <v>44837</v>
      </c>
      <c r="E163" s="1" t="n">
        <v>46218</v>
      </c>
      <c r="F163" t="inlineStr">
        <is>
          <t>VÄSTMANLANDS LÄN</t>
        </is>
      </c>
      <c r="G163" t="inlineStr">
        <is>
          <t>KÖPING</t>
        </is>
      </c>
      <c r="I163" t="n">
        <v>4.5</v>
      </c>
      <c r="J163" t="n">
        <v>0</v>
      </c>
      <c r="K163" t="n">
        <v>0</v>
      </c>
      <c r="L163" t="n">
        <v>0</v>
      </c>
      <c r="M163" t="n">
        <v>0</v>
      </c>
      <c r="N163" t="n">
        <v>0</v>
      </c>
      <c r="O163" t="n">
        <v>0</v>
      </c>
      <c r="P163" t="n">
        <v>0</v>
      </c>
      <c r="Q163" t="n">
        <v>0</v>
      </c>
      <c r="R163" t="n">
        <v>0</v>
      </c>
      <c r="S163" t="n">
        <v>0</v>
      </c>
      <c r="T163" t="n">
        <v>0</v>
      </c>
      <c r="U163" s="2" t="inlineStr"/>
    </row>
    <row r="164" ht="15" customHeight="1">
      <c r="A164" t="inlineStr">
        <is>
          <t>A 57496-2024</t>
        </is>
      </c>
      <c r="B164" t="inlineStr">
        <is>
          <t>avverkningsanmälan</t>
        </is>
      </c>
      <c r="C164" t="inlineStr">
        <is>
          <t>Föryngringsavverkning</t>
        </is>
      </c>
      <c r="D164" s="1" t="n">
        <v>45630</v>
      </c>
      <c r="E164" s="1" t="n">
        <v>46218</v>
      </c>
      <c r="F164" t="inlineStr">
        <is>
          <t>VÄSTMANLANDS LÄN</t>
        </is>
      </c>
      <c r="G164" t="inlineStr">
        <is>
          <t>KÖPING</t>
        </is>
      </c>
      <c r="I164" t="n">
        <v>2.5</v>
      </c>
      <c r="J164" t="n">
        <v>0</v>
      </c>
      <c r="K164" t="n">
        <v>0</v>
      </c>
      <c r="L164" t="n">
        <v>0</v>
      </c>
      <c r="M164" t="n">
        <v>0</v>
      </c>
      <c r="N164" t="n">
        <v>0</v>
      </c>
      <c r="O164" t="n">
        <v>0</v>
      </c>
      <c r="P164" t="n">
        <v>0</v>
      </c>
      <c r="Q164" t="n">
        <v>0</v>
      </c>
      <c r="R164" t="n">
        <v>0</v>
      </c>
      <c r="S164" t="n">
        <v>0</v>
      </c>
      <c r="T164" t="n">
        <v>0</v>
      </c>
      <c r="U164" s="2" t="inlineStr"/>
    </row>
    <row r="165" ht="15" customHeight="1">
      <c r="A165" t="inlineStr">
        <is>
          <t>A 22793-2024</t>
        </is>
      </c>
      <c r="B165" t="inlineStr">
        <is>
          <t>avverkningsanmälan</t>
        </is>
      </c>
      <c r="C165" t="inlineStr">
        <is>
          <t>Föryngringsavverkning</t>
        </is>
      </c>
      <c r="D165" s="1" t="n">
        <v>45448</v>
      </c>
      <c r="E165" s="1" t="n">
        <v>46218</v>
      </c>
      <c r="F165" t="inlineStr">
        <is>
          <t>VÄSTMANLANDS LÄN</t>
        </is>
      </c>
      <c r="G165" t="inlineStr">
        <is>
          <t>KÖPING</t>
        </is>
      </c>
      <c r="I165" t="n">
        <v>3</v>
      </c>
      <c r="J165" t="n">
        <v>0</v>
      </c>
      <c r="K165" t="n">
        <v>0</v>
      </c>
      <c r="L165" t="n">
        <v>0</v>
      </c>
      <c r="M165" t="n">
        <v>0</v>
      </c>
      <c r="N165" t="n">
        <v>0</v>
      </c>
      <c r="O165" t="n">
        <v>0</v>
      </c>
      <c r="P165" t="n">
        <v>0</v>
      </c>
      <c r="Q165" t="n">
        <v>0</v>
      </c>
      <c r="R165" t="n">
        <v>0</v>
      </c>
      <c r="S165" t="n">
        <v>0</v>
      </c>
      <c r="T165" t="n">
        <v>0</v>
      </c>
      <c r="U165" s="2" t="inlineStr"/>
    </row>
    <row r="166" ht="15" customHeight="1">
      <c r="A166" t="inlineStr">
        <is>
          <t>A 50409-2024</t>
        </is>
      </c>
      <c r="B166" t="inlineStr">
        <is>
          <t>avverkningsanmälan</t>
        </is>
      </c>
      <c r="C166" t="inlineStr">
        <is>
          <t>Föryngringsavverkning</t>
        </is>
      </c>
      <c r="D166" s="1" t="n">
        <v>45601</v>
      </c>
      <c r="E166" s="1" t="n">
        <v>46218</v>
      </c>
      <c r="F166" t="inlineStr">
        <is>
          <t>VÄSTMANLANDS LÄN</t>
        </is>
      </c>
      <c r="G166" t="inlineStr">
        <is>
          <t>KÖPING</t>
        </is>
      </c>
      <c r="I166" t="n">
        <v>5.5</v>
      </c>
      <c r="J166" t="n">
        <v>0</v>
      </c>
      <c r="K166" t="n">
        <v>0</v>
      </c>
      <c r="L166" t="n">
        <v>0</v>
      </c>
      <c r="M166" t="n">
        <v>0</v>
      </c>
      <c r="N166" t="n">
        <v>0</v>
      </c>
      <c r="O166" t="n">
        <v>0</v>
      </c>
      <c r="P166" t="n">
        <v>0</v>
      </c>
      <c r="Q166" t="n">
        <v>0</v>
      </c>
      <c r="R166" t="n">
        <v>0</v>
      </c>
      <c r="S166" t="n">
        <v>0</v>
      </c>
      <c r="T166" t="n">
        <v>0</v>
      </c>
      <c r="U166" s="2" t="inlineStr"/>
    </row>
    <row r="167" ht="15" customHeight="1">
      <c r="A167" t="inlineStr">
        <is>
          <t>A 46124-2022</t>
        </is>
      </c>
      <c r="B167" t="inlineStr">
        <is>
          <t>avverkningsanmälan</t>
        </is>
      </c>
      <c r="C167" t="inlineStr">
        <is>
          <t>Föryngringsavverkning</t>
        </is>
      </c>
      <c r="D167" s="1" t="n">
        <v>44847</v>
      </c>
      <c r="E167" s="1" t="n">
        <v>46218</v>
      </c>
      <c r="F167" t="inlineStr">
        <is>
          <t>VÄSTMANLANDS LÄN</t>
        </is>
      </c>
      <c r="G167" t="inlineStr">
        <is>
          <t>KÖPING</t>
        </is>
      </c>
      <c r="I167" t="n">
        <v>8</v>
      </c>
      <c r="J167" t="n">
        <v>0</v>
      </c>
      <c r="K167" t="n">
        <v>0</v>
      </c>
      <c r="L167" t="n">
        <v>0</v>
      </c>
      <c r="M167" t="n">
        <v>0</v>
      </c>
      <c r="N167" t="n">
        <v>0</v>
      </c>
      <c r="O167" t="n">
        <v>0</v>
      </c>
      <c r="P167" t="n">
        <v>0</v>
      </c>
      <c r="Q167" t="n">
        <v>0</v>
      </c>
      <c r="R167" t="n">
        <v>0</v>
      </c>
      <c r="S167" t="n">
        <v>0</v>
      </c>
      <c r="T167" t="n">
        <v>0</v>
      </c>
      <c r="U167" s="2" t="inlineStr"/>
    </row>
    <row r="168" ht="15" customHeight="1">
      <c r="A168" t="inlineStr">
        <is>
          <t>A 14664-2022</t>
        </is>
      </c>
      <c r="B168" t="inlineStr">
        <is>
          <t>avverkningsanmälan</t>
        </is>
      </c>
      <c r="C168" t="inlineStr">
        <is>
          <t>Föryngringsavverkning</t>
        </is>
      </c>
      <c r="D168" s="1" t="n">
        <v>44655</v>
      </c>
      <c r="E168" s="1" t="n">
        <v>46218</v>
      </c>
      <c r="F168" t="inlineStr">
        <is>
          <t>VÄSTMANLANDS LÄN</t>
        </is>
      </c>
      <c r="G168" t="inlineStr">
        <is>
          <t>KÖPING</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28394-2024</t>
        </is>
      </c>
      <c r="B169" t="inlineStr">
        <is>
          <t>avverkningsanmälan</t>
        </is>
      </c>
      <c r="C169" t="inlineStr">
        <is>
          <t>Föryngringsavverkning</t>
        </is>
      </c>
      <c r="D169" s="1" t="n">
        <v>45477</v>
      </c>
      <c r="E169" s="1" t="n">
        <v>46218</v>
      </c>
      <c r="F169" t="inlineStr">
        <is>
          <t>VÄSTMANLANDS LÄN</t>
        </is>
      </c>
      <c r="G169" t="inlineStr">
        <is>
          <t>KÖPING</t>
        </is>
      </c>
      <c r="H169" t="inlineStr">
        <is>
          <t>Sveaskog</t>
        </is>
      </c>
      <c r="I169" t="n">
        <v>2</v>
      </c>
      <c r="J169" t="n">
        <v>0</v>
      </c>
      <c r="K169" t="n">
        <v>0</v>
      </c>
      <c r="L169" t="n">
        <v>0</v>
      </c>
      <c r="M169" t="n">
        <v>0</v>
      </c>
      <c r="N169" t="n">
        <v>0</v>
      </c>
      <c r="O169" t="n">
        <v>0</v>
      </c>
      <c r="P169" t="n">
        <v>0</v>
      </c>
      <c r="Q169" t="n">
        <v>0</v>
      </c>
      <c r="R169" t="n">
        <v>0</v>
      </c>
      <c r="S169" t="n">
        <v>0</v>
      </c>
      <c r="T169" t="n">
        <v>0</v>
      </c>
      <c r="U169" s="2" t="inlineStr"/>
    </row>
    <row r="170" ht="15" customHeight="1">
      <c r="A170" t="inlineStr">
        <is>
          <t>A 41815-2023</t>
        </is>
      </c>
      <c r="B170" t="inlineStr">
        <is>
          <t>avverkningsanmälan</t>
        </is>
      </c>
      <c r="C170" t="inlineStr">
        <is>
          <t>Föryngringsavverkning</t>
        </is>
      </c>
      <c r="D170" s="1" t="n">
        <v>45176</v>
      </c>
      <c r="E170" s="1" t="n">
        <v>46218</v>
      </c>
      <c r="F170" t="inlineStr">
        <is>
          <t>VÄSTMANLANDS LÄN</t>
        </is>
      </c>
      <c r="G170" t="inlineStr">
        <is>
          <t>KÖPING</t>
        </is>
      </c>
      <c r="I170" t="n">
        <v>0.7</v>
      </c>
      <c r="J170" t="n">
        <v>0</v>
      </c>
      <c r="K170" t="n">
        <v>0</v>
      </c>
      <c r="L170" t="n">
        <v>0</v>
      </c>
      <c r="M170" t="n">
        <v>0</v>
      </c>
      <c r="N170" t="n">
        <v>0</v>
      </c>
      <c r="O170" t="n">
        <v>0</v>
      </c>
      <c r="P170" t="n">
        <v>0</v>
      </c>
      <c r="Q170" t="n">
        <v>0</v>
      </c>
      <c r="R170" t="n">
        <v>0</v>
      </c>
      <c r="S170" t="n">
        <v>0</v>
      </c>
      <c r="T170" t="n">
        <v>0</v>
      </c>
      <c r="U170" s="2" t="inlineStr"/>
    </row>
    <row r="171" ht="15" customHeight="1">
      <c r="A171" t="inlineStr">
        <is>
          <t>A 53351-2025</t>
        </is>
      </c>
      <c r="B171" t="inlineStr">
        <is>
          <t>avverkningsanmälan</t>
        </is>
      </c>
      <c r="C171" t="inlineStr">
        <is>
          <t>Föryngringsavverkning</t>
        </is>
      </c>
      <c r="D171" s="1" t="n">
        <v>45959</v>
      </c>
      <c r="E171" s="1" t="n">
        <v>46218</v>
      </c>
      <c r="F171" t="inlineStr">
        <is>
          <t>VÄSTMANLANDS LÄN</t>
        </is>
      </c>
      <c r="G171" t="inlineStr">
        <is>
          <t>KÖPING</t>
        </is>
      </c>
      <c r="H171" t="inlineStr">
        <is>
          <t>Sveaskog</t>
        </is>
      </c>
      <c r="I171" t="n">
        <v>3</v>
      </c>
      <c r="J171" t="n">
        <v>0</v>
      </c>
      <c r="K171" t="n">
        <v>0</v>
      </c>
      <c r="L171" t="n">
        <v>0</v>
      </c>
      <c r="M171" t="n">
        <v>0</v>
      </c>
      <c r="N171" t="n">
        <v>0</v>
      </c>
      <c r="O171" t="n">
        <v>0</v>
      </c>
      <c r="P171" t="n">
        <v>0</v>
      </c>
      <c r="Q171" t="n">
        <v>0</v>
      </c>
      <c r="R171" t="n">
        <v>0</v>
      </c>
      <c r="S171" t="n">
        <v>0</v>
      </c>
      <c r="T171" t="n">
        <v>0</v>
      </c>
      <c r="U171" s="2" t="inlineStr"/>
    </row>
    <row r="172" ht="15" customHeight="1">
      <c r="A172" t="inlineStr">
        <is>
          <t>A 1360-2024</t>
        </is>
      </c>
      <c r="B172" t="inlineStr">
        <is>
          <t>avverkningsanmälan</t>
        </is>
      </c>
      <c r="C172" t="inlineStr">
        <is>
          <t>Föryngringsavverkning</t>
        </is>
      </c>
      <c r="D172" s="1" t="n">
        <v>45303</v>
      </c>
      <c r="E172" s="1" t="n">
        <v>46218</v>
      </c>
      <c r="F172" t="inlineStr">
        <is>
          <t>VÄSTMANLANDS LÄN</t>
        </is>
      </c>
      <c r="G172" t="inlineStr">
        <is>
          <t>KÖPING</t>
        </is>
      </c>
      <c r="I172" t="n">
        <v>1.5</v>
      </c>
      <c r="J172" t="n">
        <v>0</v>
      </c>
      <c r="K172" t="n">
        <v>0</v>
      </c>
      <c r="L172" t="n">
        <v>0</v>
      </c>
      <c r="M172" t="n">
        <v>0</v>
      </c>
      <c r="N172" t="n">
        <v>0</v>
      </c>
      <c r="O172" t="n">
        <v>0</v>
      </c>
      <c r="P172" t="n">
        <v>0</v>
      </c>
      <c r="Q172" t="n">
        <v>0</v>
      </c>
      <c r="R172" t="n">
        <v>0</v>
      </c>
      <c r="S172" t="n">
        <v>0</v>
      </c>
      <c r="T172" t="n">
        <v>0</v>
      </c>
      <c r="U172" s="2" t="inlineStr"/>
    </row>
    <row r="173" ht="15" customHeight="1">
      <c r="A173" t="inlineStr">
        <is>
          <t>A 68976-2021</t>
        </is>
      </c>
      <c r="B173" t="inlineStr">
        <is>
          <t>avverkningsanmälan</t>
        </is>
      </c>
      <c r="C173" t="inlineStr">
        <is>
          <t>Föryngringsavverkning</t>
        </is>
      </c>
      <c r="D173" s="1" t="n">
        <v>44530</v>
      </c>
      <c r="E173" s="1" t="n">
        <v>46218</v>
      </c>
      <c r="F173" t="inlineStr">
        <is>
          <t>VÄSTMANLANDS LÄN</t>
        </is>
      </c>
      <c r="G173" t="inlineStr">
        <is>
          <t>KÖPING</t>
        </is>
      </c>
      <c r="I173" t="n">
        <v>13.1</v>
      </c>
      <c r="J173" t="n">
        <v>0</v>
      </c>
      <c r="K173" t="n">
        <v>0</v>
      </c>
      <c r="L173" t="n">
        <v>0</v>
      </c>
      <c r="M173" t="n">
        <v>0</v>
      </c>
      <c r="N173" t="n">
        <v>0</v>
      </c>
      <c r="O173" t="n">
        <v>0</v>
      </c>
      <c r="P173" t="n">
        <v>0</v>
      </c>
      <c r="Q173" t="n">
        <v>0</v>
      </c>
      <c r="R173" t="n">
        <v>0</v>
      </c>
      <c r="S173" t="n">
        <v>0</v>
      </c>
      <c r="T173" t="n">
        <v>0</v>
      </c>
      <c r="U173" s="2" t="inlineStr"/>
    </row>
    <row r="174" ht="15" customHeight="1">
      <c r="A174" t="inlineStr">
        <is>
          <t>A 895-2025</t>
        </is>
      </c>
      <c r="B174" t="inlineStr">
        <is>
          <t>avverkningsanmälan</t>
        </is>
      </c>
      <c r="C174" t="inlineStr">
        <is>
          <t>Avverkning för annat ändamål</t>
        </is>
      </c>
      <c r="D174" s="1" t="n">
        <v>45665</v>
      </c>
      <c r="E174" s="1" t="n">
        <v>46218</v>
      </c>
      <c r="F174" t="inlineStr">
        <is>
          <t>VÄSTMANLANDS LÄN</t>
        </is>
      </c>
      <c r="G174" t="inlineStr">
        <is>
          <t>KÖPING</t>
        </is>
      </c>
      <c r="I174" t="n">
        <v>2</v>
      </c>
      <c r="J174" t="n">
        <v>0</v>
      </c>
      <c r="K174" t="n">
        <v>0</v>
      </c>
      <c r="L174" t="n">
        <v>0</v>
      </c>
      <c r="M174" t="n">
        <v>0</v>
      </c>
      <c r="N174" t="n">
        <v>0</v>
      </c>
      <c r="O174" t="n">
        <v>0</v>
      </c>
      <c r="P174" t="n">
        <v>0</v>
      </c>
      <c r="Q174" t="n">
        <v>0</v>
      </c>
      <c r="R174" t="n">
        <v>0</v>
      </c>
      <c r="S174" t="n">
        <v>0</v>
      </c>
      <c r="T174" t="n">
        <v>0</v>
      </c>
      <c r="U174" s="2" t="inlineStr"/>
    </row>
    <row r="175" ht="15" customHeight="1">
      <c r="A175" t="inlineStr">
        <is>
          <t>A 34436-2024</t>
        </is>
      </c>
      <c r="B175" t="inlineStr">
        <is>
          <t>avverkningsanmälan</t>
        </is>
      </c>
      <c r="C175" t="inlineStr">
        <is>
          <t>Föryngringsavverkning</t>
        </is>
      </c>
      <c r="D175" s="1" t="n">
        <v>45525</v>
      </c>
      <c r="E175" s="1" t="n">
        <v>46218</v>
      </c>
      <c r="F175" t="inlineStr">
        <is>
          <t>VÄSTMANLANDS LÄN</t>
        </is>
      </c>
      <c r="G175" t="inlineStr">
        <is>
          <t>KÖPING</t>
        </is>
      </c>
      <c r="I175" t="n">
        <v>2.1</v>
      </c>
      <c r="J175" t="n">
        <v>0</v>
      </c>
      <c r="K175" t="n">
        <v>0</v>
      </c>
      <c r="L175" t="n">
        <v>0</v>
      </c>
      <c r="M175" t="n">
        <v>0</v>
      </c>
      <c r="N175" t="n">
        <v>0</v>
      </c>
      <c r="O175" t="n">
        <v>0</v>
      </c>
      <c r="P175" t="n">
        <v>0</v>
      </c>
      <c r="Q175" t="n">
        <v>0</v>
      </c>
      <c r="R175" t="n">
        <v>0</v>
      </c>
      <c r="S175" t="n">
        <v>0</v>
      </c>
      <c r="T175" t="n">
        <v>0</v>
      </c>
      <c r="U175" s="2" t="inlineStr"/>
    </row>
    <row r="176" ht="15" customHeight="1">
      <c r="A176" t="inlineStr">
        <is>
          <t>A 1290-2023</t>
        </is>
      </c>
      <c r="B176" t="inlineStr">
        <is>
          <t>avverkningsanmälan</t>
        </is>
      </c>
      <c r="C176" t="inlineStr">
        <is>
          <t>Föryngringsavverkning</t>
        </is>
      </c>
      <c r="D176" s="1" t="n">
        <v>44936</v>
      </c>
      <c r="E176" s="1" t="n">
        <v>46218</v>
      </c>
      <c r="F176" t="inlineStr">
        <is>
          <t>VÄSTMANLANDS LÄN</t>
        </is>
      </c>
      <c r="G176" t="inlineStr">
        <is>
          <t>KÖPING</t>
        </is>
      </c>
      <c r="I176" t="n">
        <v>6</v>
      </c>
      <c r="J176" t="n">
        <v>0</v>
      </c>
      <c r="K176" t="n">
        <v>0</v>
      </c>
      <c r="L176" t="n">
        <v>0</v>
      </c>
      <c r="M176" t="n">
        <v>0</v>
      </c>
      <c r="N176" t="n">
        <v>0</v>
      </c>
      <c r="O176" t="n">
        <v>0</v>
      </c>
      <c r="P176" t="n">
        <v>0</v>
      </c>
      <c r="Q176" t="n">
        <v>0</v>
      </c>
      <c r="R176" t="n">
        <v>0</v>
      </c>
      <c r="S176" t="n">
        <v>0</v>
      </c>
      <c r="T176" t="n">
        <v>0</v>
      </c>
      <c r="U176" s="2" t="inlineStr"/>
    </row>
    <row r="177" ht="15" customHeight="1">
      <c r="A177" t="inlineStr">
        <is>
          <t>A 61322-2023</t>
        </is>
      </c>
      <c r="B177" t="inlineStr">
        <is>
          <t>avverkningsanmälan</t>
        </is>
      </c>
      <c r="C177" t="inlineStr">
        <is>
          <t>Föryngringsavverkning</t>
        </is>
      </c>
      <c r="D177" s="1" t="n">
        <v>45264</v>
      </c>
      <c r="E177" s="1" t="n">
        <v>46218</v>
      </c>
      <c r="F177" t="inlineStr">
        <is>
          <t>VÄSTMANLANDS LÄN</t>
        </is>
      </c>
      <c r="G177" t="inlineStr">
        <is>
          <t>KÖPING</t>
        </is>
      </c>
      <c r="I177" t="n">
        <v>17.5</v>
      </c>
      <c r="J177" t="n">
        <v>0</v>
      </c>
      <c r="K177" t="n">
        <v>0</v>
      </c>
      <c r="L177" t="n">
        <v>0</v>
      </c>
      <c r="M177" t="n">
        <v>0</v>
      </c>
      <c r="N177" t="n">
        <v>0</v>
      </c>
      <c r="O177" t="n">
        <v>0</v>
      </c>
      <c r="P177" t="n">
        <v>0</v>
      </c>
      <c r="Q177" t="n">
        <v>0</v>
      </c>
      <c r="R177" t="n">
        <v>0</v>
      </c>
      <c r="S177" t="n">
        <v>0</v>
      </c>
      <c r="T177" t="n">
        <v>0</v>
      </c>
      <c r="U177" s="2" t="inlineStr"/>
    </row>
    <row r="178" ht="15" customHeight="1">
      <c r="A178" t="inlineStr">
        <is>
          <t>A 7370-2022</t>
        </is>
      </c>
      <c r="B178" t="inlineStr">
        <is>
          <t>avverkningsanmälan</t>
        </is>
      </c>
      <c r="C178" t="inlineStr">
        <is>
          <t>Föryngringsavverkning</t>
        </is>
      </c>
      <c r="D178" s="1" t="n">
        <v>44606</v>
      </c>
      <c r="E178" s="1" t="n">
        <v>46218</v>
      </c>
      <c r="F178" t="inlineStr">
        <is>
          <t>VÄSTMANLANDS LÄN</t>
        </is>
      </c>
      <c r="G178" t="inlineStr">
        <is>
          <t>KÖPING</t>
        </is>
      </c>
      <c r="I178" t="n">
        <v>14.4</v>
      </c>
      <c r="J178" t="n">
        <v>0</v>
      </c>
      <c r="K178" t="n">
        <v>0</v>
      </c>
      <c r="L178" t="n">
        <v>0</v>
      </c>
      <c r="M178" t="n">
        <v>0</v>
      </c>
      <c r="N178" t="n">
        <v>0</v>
      </c>
      <c r="O178" t="n">
        <v>0</v>
      </c>
      <c r="P178" t="n">
        <v>0</v>
      </c>
      <c r="Q178" t="n">
        <v>0</v>
      </c>
      <c r="R178" t="n">
        <v>0</v>
      </c>
      <c r="S178" t="n">
        <v>0</v>
      </c>
      <c r="T178" t="n">
        <v>0</v>
      </c>
      <c r="U178" s="2" t="inlineStr"/>
    </row>
    <row r="179" ht="15" customHeight="1">
      <c r="A179" t="inlineStr">
        <is>
          <t>A 29934-2022</t>
        </is>
      </c>
      <c r="B179" t="inlineStr">
        <is>
          <t>avverkningsanmälan</t>
        </is>
      </c>
      <c r="C179" t="inlineStr">
        <is>
          <t>Föryngringsavverkning</t>
        </is>
      </c>
      <c r="D179" s="1" t="n">
        <v>44757</v>
      </c>
      <c r="E179" s="1" t="n">
        <v>46218</v>
      </c>
      <c r="F179" t="inlineStr">
        <is>
          <t>VÄSTMANLANDS LÄN</t>
        </is>
      </c>
      <c r="G179" t="inlineStr">
        <is>
          <t>KÖPING</t>
        </is>
      </c>
      <c r="I179" t="n">
        <v>5.1</v>
      </c>
      <c r="J179" t="n">
        <v>0</v>
      </c>
      <c r="K179" t="n">
        <v>0</v>
      </c>
      <c r="L179" t="n">
        <v>0</v>
      </c>
      <c r="M179" t="n">
        <v>0</v>
      </c>
      <c r="N179" t="n">
        <v>0</v>
      </c>
      <c r="O179" t="n">
        <v>0</v>
      </c>
      <c r="P179" t="n">
        <v>0</v>
      </c>
      <c r="Q179" t="n">
        <v>0</v>
      </c>
      <c r="R179" t="n">
        <v>0</v>
      </c>
      <c r="S179" t="n">
        <v>0</v>
      </c>
      <c r="T179" t="n">
        <v>0</v>
      </c>
      <c r="U179" s="2" t="inlineStr"/>
    </row>
    <row r="180" ht="15" customHeight="1">
      <c r="A180" t="inlineStr">
        <is>
          <t>A 44906-2022</t>
        </is>
      </c>
      <c r="B180" t="inlineStr">
        <is>
          <t>avverkningsanmälan</t>
        </is>
      </c>
      <c r="C180" t="inlineStr">
        <is>
          <t>Föryngringsavverkning</t>
        </is>
      </c>
      <c r="D180" s="1" t="n">
        <v>44840</v>
      </c>
      <c r="E180" s="1" t="n">
        <v>46218</v>
      </c>
      <c r="F180" t="inlineStr">
        <is>
          <t>VÄSTMANLANDS LÄN</t>
        </is>
      </c>
      <c r="G180" t="inlineStr">
        <is>
          <t>KÖPING</t>
        </is>
      </c>
      <c r="I180" t="n">
        <v>3.6</v>
      </c>
      <c r="J180" t="n">
        <v>0</v>
      </c>
      <c r="K180" t="n">
        <v>0</v>
      </c>
      <c r="L180" t="n">
        <v>0</v>
      </c>
      <c r="M180" t="n">
        <v>0</v>
      </c>
      <c r="N180" t="n">
        <v>0</v>
      </c>
      <c r="O180" t="n">
        <v>0</v>
      </c>
      <c r="P180" t="n">
        <v>0</v>
      </c>
      <c r="Q180" t="n">
        <v>0</v>
      </c>
      <c r="R180" t="n">
        <v>0</v>
      </c>
      <c r="S180" t="n">
        <v>0</v>
      </c>
      <c r="T180" t="n">
        <v>0</v>
      </c>
      <c r="U180" s="2" t="inlineStr"/>
    </row>
    <row r="181" ht="15" customHeight="1">
      <c r="A181" t="inlineStr">
        <is>
          <t>A 23656-2023</t>
        </is>
      </c>
      <c r="B181" t="inlineStr">
        <is>
          <t>avverkningsanmälan</t>
        </is>
      </c>
      <c r="C181" t="inlineStr">
        <is>
          <t>Föryngringsavverkning</t>
        </is>
      </c>
      <c r="D181" s="1" t="n">
        <v>45077</v>
      </c>
      <c r="E181" s="1" t="n">
        <v>46218</v>
      </c>
      <c r="F181" t="inlineStr">
        <is>
          <t>VÄSTMANLANDS LÄN</t>
        </is>
      </c>
      <c r="G181" t="inlineStr">
        <is>
          <t>KÖPING</t>
        </is>
      </c>
      <c r="I181" t="n">
        <v>1</v>
      </c>
      <c r="J181" t="n">
        <v>0</v>
      </c>
      <c r="K181" t="n">
        <v>0</v>
      </c>
      <c r="L181" t="n">
        <v>0</v>
      </c>
      <c r="M181" t="n">
        <v>0</v>
      </c>
      <c r="N181" t="n">
        <v>0</v>
      </c>
      <c r="O181" t="n">
        <v>0</v>
      </c>
      <c r="P181" t="n">
        <v>0</v>
      </c>
      <c r="Q181" t="n">
        <v>0</v>
      </c>
      <c r="R181" t="n">
        <v>0</v>
      </c>
      <c r="S181" t="n">
        <v>0</v>
      </c>
      <c r="T181" t="n">
        <v>0</v>
      </c>
      <c r="U181" s="2" t="inlineStr"/>
    </row>
    <row r="182" ht="15" customHeight="1">
      <c r="A182" t="inlineStr">
        <is>
          <t>A 23658-2023</t>
        </is>
      </c>
      <c r="B182" t="inlineStr">
        <is>
          <t>avverkningsanmälan</t>
        </is>
      </c>
      <c r="C182" t="inlineStr">
        <is>
          <t>Föryngringsavverkning</t>
        </is>
      </c>
      <c r="D182" s="1" t="n">
        <v>45077</v>
      </c>
      <c r="E182" s="1" t="n">
        <v>46218</v>
      </c>
      <c r="F182" t="inlineStr">
        <is>
          <t>VÄSTMANLANDS LÄN</t>
        </is>
      </c>
      <c r="G182" t="inlineStr">
        <is>
          <t>KÖPING</t>
        </is>
      </c>
      <c r="I182" t="n">
        <v>1.4</v>
      </c>
      <c r="J182" t="n">
        <v>0</v>
      </c>
      <c r="K182" t="n">
        <v>0</v>
      </c>
      <c r="L182" t="n">
        <v>0</v>
      </c>
      <c r="M182" t="n">
        <v>0</v>
      </c>
      <c r="N182" t="n">
        <v>0</v>
      </c>
      <c r="O182" t="n">
        <v>0</v>
      </c>
      <c r="P182" t="n">
        <v>0</v>
      </c>
      <c r="Q182" t="n">
        <v>0</v>
      </c>
      <c r="R182" t="n">
        <v>0</v>
      </c>
      <c r="S182" t="n">
        <v>0</v>
      </c>
      <c r="T182" t="n">
        <v>0</v>
      </c>
      <c r="U182" s="2" t="inlineStr"/>
    </row>
    <row r="183" ht="15" customHeight="1">
      <c r="A183" t="inlineStr">
        <is>
          <t>A 28902-2024</t>
        </is>
      </c>
      <c r="B183" t="inlineStr">
        <is>
          <t>avverkningsanmälan</t>
        </is>
      </c>
      <c r="C183" t="inlineStr">
        <is>
          <t>Föryngringsavverkning</t>
        </is>
      </c>
      <c r="D183" s="1" t="n">
        <v>45480</v>
      </c>
      <c r="E183" s="1" t="n">
        <v>46218</v>
      </c>
      <c r="F183" t="inlineStr">
        <is>
          <t>VÄSTMANLANDS LÄN</t>
        </is>
      </c>
      <c r="G183" t="inlineStr">
        <is>
          <t>KÖPING</t>
        </is>
      </c>
      <c r="I183" t="n">
        <v>4.6</v>
      </c>
      <c r="J183" t="n">
        <v>0</v>
      </c>
      <c r="K183" t="n">
        <v>0</v>
      </c>
      <c r="L183" t="n">
        <v>0</v>
      </c>
      <c r="M183" t="n">
        <v>0</v>
      </c>
      <c r="N183" t="n">
        <v>0</v>
      </c>
      <c r="O183" t="n">
        <v>0</v>
      </c>
      <c r="P183" t="n">
        <v>0</v>
      </c>
      <c r="Q183" t="n">
        <v>0</v>
      </c>
      <c r="R183" t="n">
        <v>0</v>
      </c>
      <c r="S183" t="n">
        <v>0</v>
      </c>
      <c r="T183" t="n">
        <v>0</v>
      </c>
      <c r="U183" s="2" t="inlineStr"/>
    </row>
    <row r="184" ht="15" customHeight="1">
      <c r="A184" t="inlineStr">
        <is>
          <t>A 857-2025</t>
        </is>
      </c>
      <c r="B184" t="inlineStr">
        <is>
          <t>avverkningsanmälan</t>
        </is>
      </c>
      <c r="C184" t="inlineStr">
        <is>
          <t>Avverkning för annat ändamål</t>
        </is>
      </c>
      <c r="D184" s="1" t="n">
        <v>45665</v>
      </c>
      <c r="E184" s="1" t="n">
        <v>46218</v>
      </c>
      <c r="F184" t="inlineStr">
        <is>
          <t>VÄSTMANLANDS LÄN</t>
        </is>
      </c>
      <c r="G184" t="inlineStr">
        <is>
          <t>KÖPING</t>
        </is>
      </c>
      <c r="I184" t="n">
        <v>4.2</v>
      </c>
      <c r="J184" t="n">
        <v>0</v>
      </c>
      <c r="K184" t="n">
        <v>0</v>
      </c>
      <c r="L184" t="n">
        <v>0</v>
      </c>
      <c r="M184" t="n">
        <v>0</v>
      </c>
      <c r="N184" t="n">
        <v>0</v>
      </c>
      <c r="O184" t="n">
        <v>0</v>
      </c>
      <c r="P184" t="n">
        <v>0</v>
      </c>
      <c r="Q184" t="n">
        <v>0</v>
      </c>
      <c r="R184" t="n">
        <v>0</v>
      </c>
      <c r="S184" t="n">
        <v>0</v>
      </c>
      <c r="T184" t="n">
        <v>0</v>
      </c>
      <c r="U184" s="2" t="inlineStr"/>
    </row>
    <row r="185" ht="15" customHeight="1">
      <c r="A185" t="inlineStr">
        <is>
          <t>A 24481-2025</t>
        </is>
      </c>
      <c r="B185" t="inlineStr">
        <is>
          <t>avverkningsanmälan</t>
        </is>
      </c>
      <c r="C185" t="inlineStr">
        <is>
          <t>Föryngringsavverkning</t>
        </is>
      </c>
      <c r="D185" s="1" t="n">
        <v>45798</v>
      </c>
      <c r="E185" s="1" t="n">
        <v>46218</v>
      </c>
      <c r="F185" t="inlineStr">
        <is>
          <t>VÄSTMANLANDS LÄN</t>
        </is>
      </c>
      <c r="G185" t="inlineStr">
        <is>
          <t>KÖPING</t>
        </is>
      </c>
      <c r="H185" t="inlineStr">
        <is>
          <t>Sveaskog</t>
        </is>
      </c>
      <c r="I185" t="n">
        <v>4.3</v>
      </c>
      <c r="J185" t="n">
        <v>0</v>
      </c>
      <c r="K185" t="n">
        <v>0</v>
      </c>
      <c r="L185" t="n">
        <v>0</v>
      </c>
      <c r="M185" t="n">
        <v>0</v>
      </c>
      <c r="N185" t="n">
        <v>0</v>
      </c>
      <c r="O185" t="n">
        <v>0</v>
      </c>
      <c r="P185" t="n">
        <v>0</v>
      </c>
      <c r="Q185" t="n">
        <v>0</v>
      </c>
      <c r="R185" t="n">
        <v>0</v>
      </c>
      <c r="S185" t="n">
        <v>0</v>
      </c>
      <c r="T185" t="n">
        <v>0</v>
      </c>
      <c r="U185" s="2" t="inlineStr"/>
    </row>
    <row r="186" ht="15" customHeight="1">
      <c r="A186" t="inlineStr">
        <is>
          <t>A 24469-2025</t>
        </is>
      </c>
      <c r="B186" t="inlineStr">
        <is>
          <t>avverkningsanmälan</t>
        </is>
      </c>
      <c r="C186" t="inlineStr">
        <is>
          <t>Föryngringsavverkning</t>
        </is>
      </c>
      <c r="D186" s="1" t="n">
        <v>45798</v>
      </c>
      <c r="E186" s="1" t="n">
        <v>46218</v>
      </c>
      <c r="F186" t="inlineStr">
        <is>
          <t>VÄSTMANLANDS LÄN</t>
        </is>
      </c>
      <c r="G186" t="inlineStr">
        <is>
          <t>KÖPING</t>
        </is>
      </c>
      <c r="H186" t="inlineStr">
        <is>
          <t>Sveaskog</t>
        </is>
      </c>
      <c r="I186" t="n">
        <v>2.2</v>
      </c>
      <c r="J186" t="n">
        <v>0</v>
      </c>
      <c r="K186" t="n">
        <v>0</v>
      </c>
      <c r="L186" t="n">
        <v>0</v>
      </c>
      <c r="M186" t="n">
        <v>0</v>
      </c>
      <c r="N186" t="n">
        <v>0</v>
      </c>
      <c r="O186" t="n">
        <v>0</v>
      </c>
      <c r="P186" t="n">
        <v>0</v>
      </c>
      <c r="Q186" t="n">
        <v>0</v>
      </c>
      <c r="R186" t="n">
        <v>0</v>
      </c>
      <c r="S186" t="n">
        <v>0</v>
      </c>
      <c r="T186" t="n">
        <v>0</v>
      </c>
      <c r="U186" s="2" t="inlineStr"/>
    </row>
    <row r="187" ht="15" customHeight="1">
      <c r="A187" t="inlineStr">
        <is>
          <t>A 24471-2025</t>
        </is>
      </c>
      <c r="B187" t="inlineStr">
        <is>
          <t>avverkningsanmälan</t>
        </is>
      </c>
      <c r="C187" t="inlineStr">
        <is>
          <t>Föryngringsavverkning</t>
        </is>
      </c>
      <c r="D187" s="1" t="n">
        <v>45798</v>
      </c>
      <c r="E187" s="1" t="n">
        <v>46218</v>
      </c>
      <c r="F187" t="inlineStr">
        <is>
          <t>VÄSTMANLANDS LÄN</t>
        </is>
      </c>
      <c r="G187" t="inlineStr">
        <is>
          <t>KÖPING</t>
        </is>
      </c>
      <c r="H187" t="inlineStr">
        <is>
          <t>Sveaskog</t>
        </is>
      </c>
      <c r="I187" t="n">
        <v>2.6</v>
      </c>
      <c r="J187" t="n">
        <v>0</v>
      </c>
      <c r="K187" t="n">
        <v>0</v>
      </c>
      <c r="L187" t="n">
        <v>0</v>
      </c>
      <c r="M187" t="n">
        <v>0</v>
      </c>
      <c r="N187" t="n">
        <v>0</v>
      </c>
      <c r="O187" t="n">
        <v>0</v>
      </c>
      <c r="P187" t="n">
        <v>0</v>
      </c>
      <c r="Q187" t="n">
        <v>0</v>
      </c>
      <c r="R187" t="n">
        <v>0</v>
      </c>
      <c r="S187" t="n">
        <v>0</v>
      </c>
      <c r="T187" t="n">
        <v>0</v>
      </c>
      <c r="U187" s="2" t="inlineStr"/>
    </row>
    <row r="188" ht="15" customHeight="1">
      <c r="A188" t="inlineStr">
        <is>
          <t>A 28904-2024</t>
        </is>
      </c>
      <c r="B188" t="inlineStr">
        <is>
          <t>avverkningsanmälan</t>
        </is>
      </c>
      <c r="C188" t="inlineStr">
        <is>
          <t>Föryngringsavverkning</t>
        </is>
      </c>
      <c r="D188" s="1" t="n">
        <v>45480</v>
      </c>
      <c r="E188" s="1" t="n">
        <v>46218</v>
      </c>
      <c r="F188" t="inlineStr">
        <is>
          <t>VÄSTMANLANDS LÄN</t>
        </is>
      </c>
      <c r="G188" t="inlineStr">
        <is>
          <t>KÖPING</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24472-2025</t>
        </is>
      </c>
      <c r="B189" t="inlineStr">
        <is>
          <t>avverkningsanmälan</t>
        </is>
      </c>
      <c r="C189" t="inlineStr">
        <is>
          <t>Föryngringsavverkning</t>
        </is>
      </c>
      <c r="D189" s="1" t="n">
        <v>45798</v>
      </c>
      <c r="E189" s="1" t="n">
        <v>46218</v>
      </c>
      <c r="F189" t="inlineStr">
        <is>
          <t>VÄSTMANLANDS LÄN</t>
        </is>
      </c>
      <c r="G189" t="inlineStr">
        <is>
          <t>KÖPING</t>
        </is>
      </c>
      <c r="H189" t="inlineStr">
        <is>
          <t>Sveaskog</t>
        </is>
      </c>
      <c r="I189" t="n">
        <v>5.5</v>
      </c>
      <c r="J189" t="n">
        <v>0</v>
      </c>
      <c r="K189" t="n">
        <v>0</v>
      </c>
      <c r="L189" t="n">
        <v>0</v>
      </c>
      <c r="M189" t="n">
        <v>0</v>
      </c>
      <c r="N189" t="n">
        <v>0</v>
      </c>
      <c r="O189" t="n">
        <v>0</v>
      </c>
      <c r="P189" t="n">
        <v>0</v>
      </c>
      <c r="Q189" t="n">
        <v>0</v>
      </c>
      <c r="R189" t="n">
        <v>0</v>
      </c>
      <c r="S189" t="n">
        <v>0</v>
      </c>
      <c r="T189" t="n">
        <v>0</v>
      </c>
      <c r="U189" s="2" t="inlineStr"/>
    </row>
    <row r="190" ht="15" customHeight="1">
      <c r="A190" t="inlineStr">
        <is>
          <t>A 24478-2025</t>
        </is>
      </c>
      <c r="B190" t="inlineStr">
        <is>
          <t>avverkningsanmälan</t>
        </is>
      </c>
      <c r="C190" t="inlineStr">
        <is>
          <t>Föryngringsavverkning</t>
        </is>
      </c>
      <c r="D190" s="1" t="n">
        <v>45798</v>
      </c>
      <c r="E190" s="1" t="n">
        <v>46218</v>
      </c>
      <c r="F190" t="inlineStr">
        <is>
          <t>VÄSTMANLANDS LÄN</t>
        </is>
      </c>
      <c r="G190" t="inlineStr">
        <is>
          <t>KÖPING</t>
        </is>
      </c>
      <c r="H190" t="inlineStr">
        <is>
          <t>Sveaskog</t>
        </is>
      </c>
      <c r="I190" t="n">
        <v>3.2</v>
      </c>
      <c r="J190" t="n">
        <v>0</v>
      </c>
      <c r="K190" t="n">
        <v>0</v>
      </c>
      <c r="L190" t="n">
        <v>0</v>
      </c>
      <c r="M190" t="n">
        <v>0</v>
      </c>
      <c r="N190" t="n">
        <v>0</v>
      </c>
      <c r="O190" t="n">
        <v>0</v>
      </c>
      <c r="P190" t="n">
        <v>0</v>
      </c>
      <c r="Q190" t="n">
        <v>0</v>
      </c>
      <c r="R190" t="n">
        <v>0</v>
      </c>
      <c r="S190" t="n">
        <v>0</v>
      </c>
      <c r="T190" t="n">
        <v>0</v>
      </c>
      <c r="U190" s="2" t="inlineStr"/>
    </row>
    <row r="191" ht="15" customHeight="1">
      <c r="A191" t="inlineStr">
        <is>
          <t>A 1440-2025</t>
        </is>
      </c>
      <c r="B191" t="inlineStr">
        <is>
          <t>avverkningsanmälan</t>
        </is>
      </c>
      <c r="C191" t="inlineStr">
        <is>
          <t>Föryngringsavverkning</t>
        </is>
      </c>
      <c r="D191" s="1" t="n">
        <v>45669</v>
      </c>
      <c r="E191" s="1" t="n">
        <v>46218</v>
      </c>
      <c r="F191" t="inlineStr">
        <is>
          <t>VÄSTMANLANDS LÄN</t>
        </is>
      </c>
      <c r="G191" t="inlineStr">
        <is>
          <t>KÖPING</t>
        </is>
      </c>
      <c r="I191" t="n">
        <v>2.1</v>
      </c>
      <c r="J191" t="n">
        <v>0</v>
      </c>
      <c r="K191" t="n">
        <v>0</v>
      </c>
      <c r="L191" t="n">
        <v>0</v>
      </c>
      <c r="M191" t="n">
        <v>0</v>
      </c>
      <c r="N191" t="n">
        <v>0</v>
      </c>
      <c r="O191" t="n">
        <v>0</v>
      </c>
      <c r="P191" t="n">
        <v>0</v>
      </c>
      <c r="Q191" t="n">
        <v>0</v>
      </c>
      <c r="R191" t="n">
        <v>0</v>
      </c>
      <c r="S191" t="n">
        <v>0</v>
      </c>
      <c r="T191" t="n">
        <v>0</v>
      </c>
      <c r="U191" s="2" t="inlineStr"/>
    </row>
    <row r="192" ht="15" customHeight="1">
      <c r="A192" t="inlineStr">
        <is>
          <t>A 24473-2025</t>
        </is>
      </c>
      <c r="B192" t="inlineStr">
        <is>
          <t>avverkningsanmälan</t>
        </is>
      </c>
      <c r="C192" t="inlineStr">
        <is>
          <t>Föryngringsavverkning</t>
        </is>
      </c>
      <c r="D192" s="1" t="n">
        <v>45798</v>
      </c>
      <c r="E192" s="1" t="n">
        <v>46218</v>
      </c>
      <c r="F192" t="inlineStr">
        <is>
          <t>VÄSTMANLANDS LÄN</t>
        </is>
      </c>
      <c r="G192" t="inlineStr">
        <is>
          <t>KÖPING</t>
        </is>
      </c>
      <c r="H192" t="inlineStr">
        <is>
          <t>Sveaskog</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24477-2025</t>
        </is>
      </c>
      <c r="B193" t="inlineStr">
        <is>
          <t>avverkningsanmälan</t>
        </is>
      </c>
      <c r="C193" t="inlineStr">
        <is>
          <t>Föryngringsavverkning</t>
        </is>
      </c>
      <c r="D193" s="1" t="n">
        <v>45798</v>
      </c>
      <c r="E193" s="1" t="n">
        <v>46218</v>
      </c>
      <c r="F193" t="inlineStr">
        <is>
          <t>VÄSTMANLANDS LÄN</t>
        </is>
      </c>
      <c r="G193" t="inlineStr">
        <is>
          <t>KÖPING</t>
        </is>
      </c>
      <c r="H193" t="inlineStr">
        <is>
          <t>Sveaskog</t>
        </is>
      </c>
      <c r="I193" t="n">
        <v>2.1</v>
      </c>
      <c r="J193" t="n">
        <v>0</v>
      </c>
      <c r="K193" t="n">
        <v>0</v>
      </c>
      <c r="L193" t="n">
        <v>0</v>
      </c>
      <c r="M193" t="n">
        <v>0</v>
      </c>
      <c r="N193" t="n">
        <v>0</v>
      </c>
      <c r="O193" t="n">
        <v>0</v>
      </c>
      <c r="P193" t="n">
        <v>0</v>
      </c>
      <c r="Q193" t="n">
        <v>0</v>
      </c>
      <c r="R193" t="n">
        <v>0</v>
      </c>
      <c r="S193" t="n">
        <v>0</v>
      </c>
      <c r="T193" t="n">
        <v>0</v>
      </c>
      <c r="U193" s="2" t="inlineStr"/>
    </row>
    <row r="194" ht="15" customHeight="1">
      <c r="A194" t="inlineStr">
        <is>
          <t>A 24479-2025</t>
        </is>
      </c>
      <c r="B194" t="inlineStr">
        <is>
          <t>avverkningsanmälan</t>
        </is>
      </c>
      <c r="C194" t="inlineStr">
        <is>
          <t>Föryngringsavverkning</t>
        </is>
      </c>
      <c r="D194" s="1" t="n">
        <v>45798</v>
      </c>
      <c r="E194" s="1" t="n">
        <v>46218</v>
      </c>
      <c r="F194" t="inlineStr">
        <is>
          <t>VÄSTMANLANDS LÄN</t>
        </is>
      </c>
      <c r="G194" t="inlineStr">
        <is>
          <t>KÖPING</t>
        </is>
      </c>
      <c r="H194" t="inlineStr">
        <is>
          <t>Sveaskog</t>
        </is>
      </c>
      <c r="I194" t="n">
        <v>3</v>
      </c>
      <c r="J194" t="n">
        <v>0</v>
      </c>
      <c r="K194" t="n">
        <v>0</v>
      </c>
      <c r="L194" t="n">
        <v>0</v>
      </c>
      <c r="M194" t="n">
        <v>0</v>
      </c>
      <c r="N194" t="n">
        <v>0</v>
      </c>
      <c r="O194" t="n">
        <v>0</v>
      </c>
      <c r="P194" t="n">
        <v>0</v>
      </c>
      <c r="Q194" t="n">
        <v>0</v>
      </c>
      <c r="R194" t="n">
        <v>0</v>
      </c>
      <c r="S194" t="n">
        <v>0</v>
      </c>
      <c r="T194" t="n">
        <v>0</v>
      </c>
      <c r="U194" s="2" t="inlineStr"/>
    </row>
    <row r="195" ht="15" customHeight="1">
      <c r="A195" t="inlineStr">
        <is>
          <t>A 22881-2024</t>
        </is>
      </c>
      <c r="B195" t="inlineStr">
        <is>
          <t>avverkningsanmälan</t>
        </is>
      </c>
      <c r="C195" t="inlineStr">
        <is>
          <t>Föryngringsavverkning</t>
        </is>
      </c>
      <c r="D195" s="1" t="n">
        <v>45448</v>
      </c>
      <c r="E195" s="1" t="n">
        <v>46218</v>
      </c>
      <c r="F195" t="inlineStr">
        <is>
          <t>VÄSTMANLANDS LÄN</t>
        </is>
      </c>
      <c r="G195" t="inlineStr">
        <is>
          <t>KÖPING</t>
        </is>
      </c>
      <c r="I195" t="n">
        <v>3.6</v>
      </c>
      <c r="J195" t="n">
        <v>0</v>
      </c>
      <c r="K195" t="n">
        <v>0</v>
      </c>
      <c r="L195" t="n">
        <v>0</v>
      </c>
      <c r="M195" t="n">
        <v>0</v>
      </c>
      <c r="N195" t="n">
        <v>0</v>
      </c>
      <c r="O195" t="n">
        <v>0</v>
      </c>
      <c r="P195" t="n">
        <v>0</v>
      </c>
      <c r="Q195" t="n">
        <v>0</v>
      </c>
      <c r="R195" t="n">
        <v>0</v>
      </c>
      <c r="S195" t="n">
        <v>0</v>
      </c>
      <c r="T195" t="n">
        <v>0</v>
      </c>
      <c r="U195" s="2" t="inlineStr"/>
    </row>
    <row r="196" ht="15" customHeight="1">
      <c r="A196" t="inlineStr">
        <is>
          <t>A 15735-2024</t>
        </is>
      </c>
      <c r="B196" t="inlineStr">
        <is>
          <t>avverkningsanmälan</t>
        </is>
      </c>
      <c r="C196" t="inlineStr">
        <is>
          <t>Föryngringsavverkning</t>
        </is>
      </c>
      <c r="D196" s="1" t="n">
        <v>45404</v>
      </c>
      <c r="E196" s="1" t="n">
        <v>46218</v>
      </c>
      <c r="F196" t="inlineStr">
        <is>
          <t>VÄSTMANLANDS LÄN</t>
        </is>
      </c>
      <c r="G196" t="inlineStr">
        <is>
          <t>KÖPING</t>
        </is>
      </c>
      <c r="H196" t="inlineStr">
        <is>
          <t>Sveaskog</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25543-2025</t>
        </is>
      </c>
      <c r="B197" t="inlineStr">
        <is>
          <t>avverkningsanmälan</t>
        </is>
      </c>
      <c r="C197" t="inlineStr">
        <is>
          <t>Föryngringsavverkning</t>
        </is>
      </c>
      <c r="D197" s="1" t="n">
        <v>45803</v>
      </c>
      <c r="E197" s="1" t="n">
        <v>46218</v>
      </c>
      <c r="F197" t="inlineStr">
        <is>
          <t>VÄSTMANLANDS LÄN</t>
        </is>
      </c>
      <c r="G197" t="inlineStr">
        <is>
          <t>KÖPING</t>
        </is>
      </c>
      <c r="I197" t="n">
        <v>5.3</v>
      </c>
      <c r="J197" t="n">
        <v>0</v>
      </c>
      <c r="K197" t="n">
        <v>0</v>
      </c>
      <c r="L197" t="n">
        <v>0</v>
      </c>
      <c r="M197" t="n">
        <v>0</v>
      </c>
      <c r="N197" t="n">
        <v>0</v>
      </c>
      <c r="O197" t="n">
        <v>0</v>
      </c>
      <c r="P197" t="n">
        <v>0</v>
      </c>
      <c r="Q197" t="n">
        <v>0</v>
      </c>
      <c r="R197" t="n">
        <v>0</v>
      </c>
      <c r="S197" t="n">
        <v>0</v>
      </c>
      <c r="T197" t="n">
        <v>0</v>
      </c>
      <c r="U197" s="2" t="inlineStr"/>
    </row>
    <row r="198" ht="15" customHeight="1">
      <c r="A198" t="inlineStr">
        <is>
          <t>A 20395-2025</t>
        </is>
      </c>
      <c r="B198" t="inlineStr">
        <is>
          <t>avverkningsanmälan</t>
        </is>
      </c>
      <c r="C198" t="inlineStr">
        <is>
          <t>Föryngringsavverkning</t>
        </is>
      </c>
      <c r="D198" s="1" t="n">
        <v>45775</v>
      </c>
      <c r="E198" s="1" t="n">
        <v>46218</v>
      </c>
      <c r="F198" t="inlineStr">
        <is>
          <t>VÄSTMANLANDS LÄN</t>
        </is>
      </c>
      <c r="G198" t="inlineStr">
        <is>
          <t>KÖPING</t>
        </is>
      </c>
      <c r="I198" t="n">
        <v>0.9</v>
      </c>
      <c r="J198" t="n">
        <v>0</v>
      </c>
      <c r="K198" t="n">
        <v>0</v>
      </c>
      <c r="L198" t="n">
        <v>0</v>
      </c>
      <c r="M198" t="n">
        <v>0</v>
      </c>
      <c r="N198" t="n">
        <v>0</v>
      </c>
      <c r="O198" t="n">
        <v>0</v>
      </c>
      <c r="P198" t="n">
        <v>0</v>
      </c>
      <c r="Q198" t="n">
        <v>0</v>
      </c>
      <c r="R198" t="n">
        <v>0</v>
      </c>
      <c r="S198" t="n">
        <v>0</v>
      </c>
      <c r="T198" t="n">
        <v>0</v>
      </c>
      <c r="U198" s="2" t="inlineStr"/>
    </row>
    <row r="199" ht="15" customHeight="1">
      <c r="A199" t="inlineStr">
        <is>
          <t>A 39358-2024</t>
        </is>
      </c>
      <c r="B199" t="inlineStr">
        <is>
          <t>avverkningsanmälan</t>
        </is>
      </c>
      <c r="C199" t="inlineStr">
        <is>
          <t>Föryngringsavverkning</t>
        </is>
      </c>
      <c r="D199" s="1" t="n">
        <v>45551</v>
      </c>
      <c r="E199" s="1" t="n">
        <v>46218</v>
      </c>
      <c r="F199" t="inlineStr">
        <is>
          <t>VÄSTMANLANDS LÄN</t>
        </is>
      </c>
      <c r="G199" t="inlineStr">
        <is>
          <t>KÖPING</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63241-2023</t>
        </is>
      </c>
      <c r="B200" t="inlineStr">
        <is>
          <t>avverkningsanmälan</t>
        </is>
      </c>
      <c r="C200" t="inlineStr">
        <is>
          <t>Föryngringsavverkning</t>
        </is>
      </c>
      <c r="D200" s="1" t="n">
        <v>45273</v>
      </c>
      <c r="E200" s="1" t="n">
        <v>46218</v>
      </c>
      <c r="F200" t="inlineStr">
        <is>
          <t>VÄSTMANLANDS LÄN</t>
        </is>
      </c>
      <c r="G200" t="inlineStr">
        <is>
          <t>KÖPING</t>
        </is>
      </c>
      <c r="I200" t="n">
        <v>4.5</v>
      </c>
      <c r="J200" t="n">
        <v>0</v>
      </c>
      <c r="K200" t="n">
        <v>0</v>
      </c>
      <c r="L200" t="n">
        <v>0</v>
      </c>
      <c r="M200" t="n">
        <v>0</v>
      </c>
      <c r="N200" t="n">
        <v>0</v>
      </c>
      <c r="O200" t="n">
        <v>0</v>
      </c>
      <c r="P200" t="n">
        <v>0</v>
      </c>
      <c r="Q200" t="n">
        <v>0</v>
      </c>
      <c r="R200" t="n">
        <v>0</v>
      </c>
      <c r="S200" t="n">
        <v>0</v>
      </c>
      <c r="T200" t="n">
        <v>0</v>
      </c>
      <c r="U200" s="2" t="inlineStr"/>
    </row>
    <row r="201" ht="15" customHeight="1">
      <c r="A201" t="inlineStr">
        <is>
          <t>A 11220-2023</t>
        </is>
      </c>
      <c r="B201" t="inlineStr">
        <is>
          <t>avverkningsanmälan</t>
        </is>
      </c>
      <c r="C201" t="inlineStr">
        <is>
          <t>Föryngringsavverkning</t>
        </is>
      </c>
      <c r="D201" s="1" t="n">
        <v>44988</v>
      </c>
      <c r="E201" s="1" t="n">
        <v>46218</v>
      </c>
      <c r="F201" t="inlineStr">
        <is>
          <t>VÄSTMANLANDS LÄN</t>
        </is>
      </c>
      <c r="G201" t="inlineStr">
        <is>
          <t>KÖPING</t>
        </is>
      </c>
      <c r="I201" t="n">
        <v>7</v>
      </c>
      <c r="J201" t="n">
        <v>0</v>
      </c>
      <c r="K201" t="n">
        <v>0</v>
      </c>
      <c r="L201" t="n">
        <v>0</v>
      </c>
      <c r="M201" t="n">
        <v>0</v>
      </c>
      <c r="N201" t="n">
        <v>0</v>
      </c>
      <c r="O201" t="n">
        <v>0</v>
      </c>
      <c r="P201" t="n">
        <v>0</v>
      </c>
      <c r="Q201" t="n">
        <v>0</v>
      </c>
      <c r="R201" t="n">
        <v>0</v>
      </c>
      <c r="S201" t="n">
        <v>0</v>
      </c>
      <c r="T201" t="n">
        <v>0</v>
      </c>
      <c r="U201" s="2" t="inlineStr"/>
    </row>
    <row r="202" ht="15" customHeight="1">
      <c r="A202" t="inlineStr">
        <is>
          <t>A 55114-2025</t>
        </is>
      </c>
      <c r="B202" t="inlineStr">
        <is>
          <t>avverkningsanmälan</t>
        </is>
      </c>
      <c r="C202" t="inlineStr">
        <is>
          <t>Föryngringsavverkning</t>
        </is>
      </c>
      <c r="D202" s="1" t="n">
        <v>45968</v>
      </c>
      <c r="E202" s="1" t="n">
        <v>46218</v>
      </c>
      <c r="F202" t="inlineStr">
        <is>
          <t>VÄSTMANLANDS LÄN</t>
        </is>
      </c>
      <c r="G202" t="inlineStr">
        <is>
          <t>KÖPING</t>
        </is>
      </c>
      <c r="I202" t="n">
        <v>15.5</v>
      </c>
      <c r="J202" t="n">
        <v>0</v>
      </c>
      <c r="K202" t="n">
        <v>0</v>
      </c>
      <c r="L202" t="n">
        <v>0</v>
      </c>
      <c r="M202" t="n">
        <v>0</v>
      </c>
      <c r="N202" t="n">
        <v>0</v>
      </c>
      <c r="O202" t="n">
        <v>0</v>
      </c>
      <c r="P202" t="n">
        <v>0</v>
      </c>
      <c r="Q202" t="n">
        <v>0</v>
      </c>
      <c r="R202" t="n">
        <v>0</v>
      </c>
      <c r="S202" t="n">
        <v>0</v>
      </c>
      <c r="T202" t="n">
        <v>0</v>
      </c>
      <c r="U202" s="2" t="inlineStr"/>
    </row>
    <row r="203" ht="15" customHeight="1">
      <c r="A203" t="inlineStr">
        <is>
          <t>A 65740-2021</t>
        </is>
      </c>
      <c r="B203" t="inlineStr">
        <is>
          <t>avverkningsanmälan</t>
        </is>
      </c>
      <c r="C203" t="inlineStr">
        <is>
          <t>Föryngringsavverkning</t>
        </is>
      </c>
      <c r="D203" s="1" t="n">
        <v>44516</v>
      </c>
      <c r="E203" s="1" t="n">
        <v>46218</v>
      </c>
      <c r="F203" t="inlineStr">
        <is>
          <t>VÄSTMANLANDS LÄN</t>
        </is>
      </c>
      <c r="G203" t="inlineStr">
        <is>
          <t>KÖPING</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8703-2024</t>
        </is>
      </c>
      <c r="B204" t="inlineStr">
        <is>
          <t>avverkningsanmälan</t>
        </is>
      </c>
      <c r="C204" t="inlineStr">
        <is>
          <t>Föryngringsavverkning</t>
        </is>
      </c>
      <c r="D204" s="1" t="n">
        <v>45356</v>
      </c>
      <c r="E204" s="1" t="n">
        <v>46218</v>
      </c>
      <c r="F204" t="inlineStr">
        <is>
          <t>VÄSTMANLANDS LÄN</t>
        </is>
      </c>
      <c r="G204" t="inlineStr">
        <is>
          <t>KÖPING</t>
        </is>
      </c>
      <c r="I204" t="n">
        <v>6.5</v>
      </c>
      <c r="J204" t="n">
        <v>0</v>
      </c>
      <c r="K204" t="n">
        <v>0</v>
      </c>
      <c r="L204" t="n">
        <v>0</v>
      </c>
      <c r="M204" t="n">
        <v>0</v>
      </c>
      <c r="N204" t="n">
        <v>0</v>
      </c>
      <c r="O204" t="n">
        <v>0</v>
      </c>
      <c r="P204" t="n">
        <v>0</v>
      </c>
      <c r="Q204" t="n">
        <v>0</v>
      </c>
      <c r="R204" t="n">
        <v>0</v>
      </c>
      <c r="S204" t="n">
        <v>0</v>
      </c>
      <c r="T204" t="n">
        <v>0</v>
      </c>
      <c r="U204" s="2" t="inlineStr"/>
    </row>
    <row r="205" ht="15" customHeight="1">
      <c r="A205" t="inlineStr">
        <is>
          <t>A 39646-2023</t>
        </is>
      </c>
      <c r="B205" t="inlineStr">
        <is>
          <t>avverkningsanmälan</t>
        </is>
      </c>
      <c r="C205" t="inlineStr">
        <is>
          <t>Föryngringsavverkning</t>
        </is>
      </c>
      <c r="D205" s="1" t="n">
        <v>45166</v>
      </c>
      <c r="E205" s="1" t="n">
        <v>46218</v>
      </c>
      <c r="F205" t="inlineStr">
        <is>
          <t>VÄSTMANLANDS LÄN</t>
        </is>
      </c>
      <c r="G205" t="inlineStr">
        <is>
          <t>KÖPING</t>
        </is>
      </c>
      <c r="I205" t="n">
        <v>9.300000000000001</v>
      </c>
      <c r="J205" t="n">
        <v>0</v>
      </c>
      <c r="K205" t="n">
        <v>0</v>
      </c>
      <c r="L205" t="n">
        <v>0</v>
      </c>
      <c r="M205" t="n">
        <v>0</v>
      </c>
      <c r="N205" t="n">
        <v>0</v>
      </c>
      <c r="O205" t="n">
        <v>0</v>
      </c>
      <c r="P205" t="n">
        <v>0</v>
      </c>
      <c r="Q205" t="n">
        <v>0</v>
      </c>
      <c r="R205" t="n">
        <v>0</v>
      </c>
      <c r="S205" t="n">
        <v>0</v>
      </c>
      <c r="T205" t="n">
        <v>0</v>
      </c>
      <c r="U205" s="2" t="inlineStr"/>
    </row>
    <row r="206" ht="15" customHeight="1">
      <c r="A206" t="inlineStr">
        <is>
          <t>A 26839-2025</t>
        </is>
      </c>
      <c r="B206" t="inlineStr">
        <is>
          <t>avverkningsanmälan</t>
        </is>
      </c>
      <c r="C206" t="inlineStr">
        <is>
          <t>Föryngringsavverkning</t>
        </is>
      </c>
      <c r="D206" s="1" t="n">
        <v>45810</v>
      </c>
      <c r="E206" s="1" t="n">
        <v>46218</v>
      </c>
      <c r="F206" t="inlineStr">
        <is>
          <t>VÄSTMANLANDS LÄN</t>
        </is>
      </c>
      <c r="G206" t="inlineStr">
        <is>
          <t>KÖPING</t>
        </is>
      </c>
      <c r="H206" t="inlineStr">
        <is>
          <t>Sveaskog</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16430-2022</t>
        </is>
      </c>
      <c r="B207" t="inlineStr">
        <is>
          <t>avverkningsanmälan</t>
        </is>
      </c>
      <c r="C207" t="inlineStr">
        <is>
          <t>Föryngringsavverkning</t>
        </is>
      </c>
      <c r="D207" s="1" t="n">
        <v>44671</v>
      </c>
      <c r="E207" s="1" t="n">
        <v>46218</v>
      </c>
      <c r="F207" t="inlineStr">
        <is>
          <t>VÄSTMANLANDS LÄN</t>
        </is>
      </c>
      <c r="G207" t="inlineStr">
        <is>
          <t>KÖPING</t>
        </is>
      </c>
      <c r="I207" t="n">
        <v>3.3</v>
      </c>
      <c r="J207" t="n">
        <v>0</v>
      </c>
      <c r="K207" t="n">
        <v>0</v>
      </c>
      <c r="L207" t="n">
        <v>0</v>
      </c>
      <c r="M207" t="n">
        <v>0</v>
      </c>
      <c r="N207" t="n">
        <v>0</v>
      </c>
      <c r="O207" t="n">
        <v>0</v>
      </c>
      <c r="P207" t="n">
        <v>0</v>
      </c>
      <c r="Q207" t="n">
        <v>0</v>
      </c>
      <c r="R207" t="n">
        <v>0</v>
      </c>
      <c r="S207" t="n">
        <v>0</v>
      </c>
      <c r="T207" t="n">
        <v>0</v>
      </c>
      <c r="U207" s="2" t="inlineStr"/>
    </row>
    <row r="208" ht="15" customHeight="1">
      <c r="A208" t="inlineStr">
        <is>
          <t>A 23791-2022</t>
        </is>
      </c>
      <c r="B208" t="inlineStr">
        <is>
          <t>avverkningsanmälan</t>
        </is>
      </c>
      <c r="C208" t="inlineStr">
        <is>
          <t>Föryngringsavverkning</t>
        </is>
      </c>
      <c r="D208" s="1" t="n">
        <v>44722</v>
      </c>
      <c r="E208" s="1" t="n">
        <v>46218</v>
      </c>
      <c r="F208" t="inlineStr">
        <is>
          <t>VÄSTMANLANDS LÄN</t>
        </is>
      </c>
      <c r="G208" t="inlineStr">
        <is>
          <t>KÖPING</t>
        </is>
      </c>
      <c r="I208" t="n">
        <v>1.3</v>
      </c>
      <c r="J208" t="n">
        <v>0</v>
      </c>
      <c r="K208" t="n">
        <v>0</v>
      </c>
      <c r="L208" t="n">
        <v>0</v>
      </c>
      <c r="M208" t="n">
        <v>0</v>
      </c>
      <c r="N208" t="n">
        <v>0</v>
      </c>
      <c r="O208" t="n">
        <v>0</v>
      </c>
      <c r="P208" t="n">
        <v>0</v>
      </c>
      <c r="Q208" t="n">
        <v>0</v>
      </c>
      <c r="R208" t="n">
        <v>0</v>
      </c>
      <c r="S208" t="n">
        <v>0</v>
      </c>
      <c r="T208" t="n">
        <v>0</v>
      </c>
      <c r="U208" s="2" t="inlineStr"/>
    </row>
    <row r="209" ht="15" customHeight="1">
      <c r="A209" t="inlineStr">
        <is>
          <t>A 51132-2023</t>
        </is>
      </c>
      <c r="B209" t="inlineStr">
        <is>
          <t>avverkningsanmälan</t>
        </is>
      </c>
      <c r="C209" t="inlineStr">
        <is>
          <t>Föryngringsavverkning</t>
        </is>
      </c>
      <c r="D209" s="1" t="n">
        <v>45219</v>
      </c>
      <c r="E209" s="1" t="n">
        <v>46218</v>
      </c>
      <c r="F209" t="inlineStr">
        <is>
          <t>VÄSTMANLANDS LÄN</t>
        </is>
      </c>
      <c r="G209" t="inlineStr">
        <is>
          <t>KÖPING</t>
        </is>
      </c>
      <c r="I209" t="n">
        <v>1</v>
      </c>
      <c r="J209" t="n">
        <v>0</v>
      </c>
      <c r="K209" t="n">
        <v>0</v>
      </c>
      <c r="L209" t="n">
        <v>0</v>
      </c>
      <c r="M209" t="n">
        <v>0</v>
      </c>
      <c r="N209" t="n">
        <v>0</v>
      </c>
      <c r="O209" t="n">
        <v>0</v>
      </c>
      <c r="P209" t="n">
        <v>0</v>
      </c>
      <c r="Q209" t="n">
        <v>0</v>
      </c>
      <c r="R209" t="n">
        <v>0</v>
      </c>
      <c r="S209" t="n">
        <v>0</v>
      </c>
      <c r="T209" t="n">
        <v>0</v>
      </c>
      <c r="U209" s="2" t="inlineStr"/>
    </row>
    <row r="210" ht="15" customHeight="1">
      <c r="A210" t="inlineStr">
        <is>
          <t>A 27207-2025</t>
        </is>
      </c>
      <c r="B210" t="inlineStr">
        <is>
          <t>avverkningsanmälan</t>
        </is>
      </c>
      <c r="C210" t="inlineStr">
        <is>
          <t>Föryngringsavverkning</t>
        </is>
      </c>
      <c r="D210" s="1" t="n">
        <v>45812</v>
      </c>
      <c r="E210" s="1" t="n">
        <v>46218</v>
      </c>
      <c r="F210" t="inlineStr">
        <is>
          <t>VÄSTMANLANDS LÄN</t>
        </is>
      </c>
      <c r="G210" t="inlineStr">
        <is>
          <t>KÖPING</t>
        </is>
      </c>
      <c r="I210" t="n">
        <v>0.6</v>
      </c>
      <c r="J210" t="n">
        <v>0</v>
      </c>
      <c r="K210" t="n">
        <v>0</v>
      </c>
      <c r="L210" t="n">
        <v>0</v>
      </c>
      <c r="M210" t="n">
        <v>0</v>
      </c>
      <c r="N210" t="n">
        <v>0</v>
      </c>
      <c r="O210" t="n">
        <v>0</v>
      </c>
      <c r="P210" t="n">
        <v>0</v>
      </c>
      <c r="Q210" t="n">
        <v>0</v>
      </c>
      <c r="R210" t="n">
        <v>0</v>
      </c>
      <c r="S210" t="n">
        <v>0</v>
      </c>
      <c r="T210" t="n">
        <v>0</v>
      </c>
      <c r="U210" s="2" t="inlineStr"/>
    </row>
    <row r="211" ht="15" customHeight="1">
      <c r="A211" t="inlineStr">
        <is>
          <t>A 56298-2025</t>
        </is>
      </c>
      <c r="B211" t="inlineStr">
        <is>
          <t>avverkningsanmälan</t>
        </is>
      </c>
      <c r="C211" t="inlineStr">
        <is>
          <t>Föryngringsavverkning</t>
        </is>
      </c>
      <c r="D211" s="1" t="n">
        <v>45974</v>
      </c>
      <c r="E211" s="1" t="n">
        <v>46218</v>
      </c>
      <c r="F211" t="inlineStr">
        <is>
          <t>VÄSTMANLANDS LÄN</t>
        </is>
      </c>
      <c r="G211" t="inlineStr">
        <is>
          <t>KÖPING</t>
        </is>
      </c>
      <c r="H211" t="inlineStr">
        <is>
          <t>Sveaskog</t>
        </is>
      </c>
      <c r="I211" t="n">
        <v>2.2</v>
      </c>
      <c r="J211" t="n">
        <v>0</v>
      </c>
      <c r="K211" t="n">
        <v>0</v>
      </c>
      <c r="L211" t="n">
        <v>0</v>
      </c>
      <c r="M211" t="n">
        <v>0</v>
      </c>
      <c r="N211" t="n">
        <v>0</v>
      </c>
      <c r="O211" t="n">
        <v>0</v>
      </c>
      <c r="P211" t="n">
        <v>0</v>
      </c>
      <c r="Q211" t="n">
        <v>0</v>
      </c>
      <c r="R211" t="n">
        <v>0</v>
      </c>
      <c r="S211" t="n">
        <v>0</v>
      </c>
      <c r="T211" t="n">
        <v>0</v>
      </c>
      <c r="U211" s="2" t="inlineStr"/>
    </row>
    <row r="212" ht="15" customHeight="1">
      <c r="A212" t="inlineStr">
        <is>
          <t>A 56301-2025</t>
        </is>
      </c>
      <c r="B212" t="inlineStr">
        <is>
          <t>avverkningsanmälan</t>
        </is>
      </c>
      <c r="C212" t="inlineStr">
        <is>
          <t>Föryngringsavverkning</t>
        </is>
      </c>
      <c r="D212" s="1" t="n">
        <v>45974</v>
      </c>
      <c r="E212" s="1" t="n">
        <v>46218</v>
      </c>
      <c r="F212" t="inlineStr">
        <is>
          <t>VÄSTMANLANDS LÄN</t>
        </is>
      </c>
      <c r="G212" t="inlineStr">
        <is>
          <t>KÖPING</t>
        </is>
      </c>
      <c r="H212" t="inlineStr">
        <is>
          <t>Sveaskog</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57514-2022</t>
        </is>
      </c>
      <c r="B213" t="inlineStr">
        <is>
          <t>avverkningsanmälan</t>
        </is>
      </c>
      <c r="C213" t="inlineStr">
        <is>
          <t>Föryngringsavverkning</t>
        </is>
      </c>
      <c r="D213" s="1" t="n">
        <v>44896</v>
      </c>
      <c r="E213" s="1" t="n">
        <v>46218</v>
      </c>
      <c r="F213" t="inlineStr">
        <is>
          <t>VÄSTMANLANDS LÄN</t>
        </is>
      </c>
      <c r="G213" t="inlineStr">
        <is>
          <t>KÖPING</t>
        </is>
      </c>
      <c r="I213" t="n">
        <v>4.3</v>
      </c>
      <c r="J213" t="n">
        <v>0</v>
      </c>
      <c r="K213" t="n">
        <v>0</v>
      </c>
      <c r="L213" t="n">
        <v>0</v>
      </c>
      <c r="M213" t="n">
        <v>0</v>
      </c>
      <c r="N213" t="n">
        <v>0</v>
      </c>
      <c r="O213" t="n">
        <v>0</v>
      </c>
      <c r="P213" t="n">
        <v>0</v>
      </c>
      <c r="Q213" t="n">
        <v>0</v>
      </c>
      <c r="R213" t="n">
        <v>0</v>
      </c>
      <c r="S213" t="n">
        <v>0</v>
      </c>
      <c r="T213" t="n">
        <v>0</v>
      </c>
      <c r="U213" s="2" t="inlineStr"/>
    </row>
    <row r="214" ht="15" customHeight="1">
      <c r="A214" t="inlineStr">
        <is>
          <t>A 56296-2025</t>
        </is>
      </c>
      <c r="B214" t="inlineStr">
        <is>
          <t>avverkningsanmälan</t>
        </is>
      </c>
      <c r="C214" t="inlineStr">
        <is>
          <t>Föryngringsavverkning</t>
        </is>
      </c>
      <c r="D214" s="1" t="n">
        <v>45974</v>
      </c>
      <c r="E214" s="1" t="n">
        <v>46218</v>
      </c>
      <c r="F214" t="inlineStr">
        <is>
          <t>VÄSTMANLANDS LÄN</t>
        </is>
      </c>
      <c r="G214" t="inlineStr">
        <is>
          <t>KÖPING</t>
        </is>
      </c>
      <c r="H214" t="inlineStr">
        <is>
          <t>Sveaskog</t>
        </is>
      </c>
      <c r="I214" t="n">
        <v>1.4</v>
      </c>
      <c r="J214" t="n">
        <v>0</v>
      </c>
      <c r="K214" t="n">
        <v>0</v>
      </c>
      <c r="L214" t="n">
        <v>0</v>
      </c>
      <c r="M214" t="n">
        <v>0</v>
      </c>
      <c r="N214" t="n">
        <v>0</v>
      </c>
      <c r="O214" t="n">
        <v>0</v>
      </c>
      <c r="P214" t="n">
        <v>0</v>
      </c>
      <c r="Q214" t="n">
        <v>0</v>
      </c>
      <c r="R214" t="n">
        <v>0</v>
      </c>
      <c r="S214" t="n">
        <v>0</v>
      </c>
      <c r="T214" t="n">
        <v>0</v>
      </c>
      <c r="U214" s="2" t="inlineStr"/>
    </row>
    <row r="215" ht="15" customHeight="1">
      <c r="A215" t="inlineStr">
        <is>
          <t>A 56294-2025</t>
        </is>
      </c>
      <c r="B215" t="inlineStr">
        <is>
          <t>avverkningsanmälan</t>
        </is>
      </c>
      <c r="C215" t="inlineStr">
        <is>
          <t>Föryngringsavverkning</t>
        </is>
      </c>
      <c r="D215" s="1" t="n">
        <v>45974</v>
      </c>
      <c r="E215" s="1" t="n">
        <v>46218</v>
      </c>
      <c r="F215" t="inlineStr">
        <is>
          <t>VÄSTMANLANDS LÄN</t>
        </is>
      </c>
      <c r="G215" t="inlineStr">
        <is>
          <t>KÖPING</t>
        </is>
      </c>
      <c r="H215" t="inlineStr">
        <is>
          <t>Sveaskog</t>
        </is>
      </c>
      <c r="I215" t="n">
        <v>2.4</v>
      </c>
      <c r="J215" t="n">
        <v>0</v>
      </c>
      <c r="K215" t="n">
        <v>0</v>
      </c>
      <c r="L215" t="n">
        <v>0</v>
      </c>
      <c r="M215" t="n">
        <v>0</v>
      </c>
      <c r="N215" t="n">
        <v>0</v>
      </c>
      <c r="O215" t="n">
        <v>0</v>
      </c>
      <c r="P215" t="n">
        <v>0</v>
      </c>
      <c r="Q215" t="n">
        <v>0</v>
      </c>
      <c r="R215" t="n">
        <v>0</v>
      </c>
      <c r="S215" t="n">
        <v>0</v>
      </c>
      <c r="T215" t="n">
        <v>0</v>
      </c>
      <c r="U215" s="2" t="inlineStr"/>
    </row>
    <row r="216" ht="15" customHeight="1">
      <c r="A216" t="inlineStr">
        <is>
          <t>A 5225-2025</t>
        </is>
      </c>
      <c r="B216" t="inlineStr">
        <is>
          <t>avverkningsanmälan</t>
        </is>
      </c>
      <c r="C216" t="inlineStr">
        <is>
          <t>Föryngringsavverkning</t>
        </is>
      </c>
      <c r="D216" s="1" t="n">
        <v>45691</v>
      </c>
      <c r="E216" s="1" t="n">
        <v>46218</v>
      </c>
      <c r="F216" t="inlineStr">
        <is>
          <t>VÄSTMANLANDS LÄN</t>
        </is>
      </c>
      <c r="G216" t="inlineStr">
        <is>
          <t>KÖPING</t>
        </is>
      </c>
      <c r="I216" t="n">
        <v>1.3</v>
      </c>
      <c r="J216" t="n">
        <v>0</v>
      </c>
      <c r="K216" t="n">
        <v>0</v>
      </c>
      <c r="L216" t="n">
        <v>0</v>
      </c>
      <c r="M216" t="n">
        <v>0</v>
      </c>
      <c r="N216" t="n">
        <v>0</v>
      </c>
      <c r="O216" t="n">
        <v>0</v>
      </c>
      <c r="P216" t="n">
        <v>0</v>
      </c>
      <c r="Q216" t="n">
        <v>0</v>
      </c>
      <c r="R216" t="n">
        <v>0</v>
      </c>
      <c r="S216" t="n">
        <v>0</v>
      </c>
      <c r="T216" t="n">
        <v>0</v>
      </c>
      <c r="U216" s="2" t="inlineStr"/>
    </row>
    <row r="217" ht="15" customHeight="1">
      <c r="A217" t="inlineStr">
        <is>
          <t>A 52799-2021</t>
        </is>
      </c>
      <c r="B217" t="inlineStr">
        <is>
          <t>avverkningsanmälan</t>
        </is>
      </c>
      <c r="C217" t="inlineStr">
        <is>
          <t>Föryngringsavverkning</t>
        </is>
      </c>
      <c r="D217" s="1" t="n">
        <v>44467</v>
      </c>
      <c r="E217" s="1" t="n">
        <v>46218</v>
      </c>
      <c r="F217" t="inlineStr">
        <is>
          <t>VÄSTMANLANDS LÄN</t>
        </is>
      </c>
      <c r="G217" t="inlineStr">
        <is>
          <t>KÖPING</t>
        </is>
      </c>
      <c r="I217" t="n">
        <v>0.4</v>
      </c>
      <c r="J217" t="n">
        <v>0</v>
      </c>
      <c r="K217" t="n">
        <v>0</v>
      </c>
      <c r="L217" t="n">
        <v>0</v>
      </c>
      <c r="M217" t="n">
        <v>0</v>
      </c>
      <c r="N217" t="n">
        <v>0</v>
      </c>
      <c r="O217" t="n">
        <v>0</v>
      </c>
      <c r="P217" t="n">
        <v>0</v>
      </c>
      <c r="Q217" t="n">
        <v>0</v>
      </c>
      <c r="R217" t="n">
        <v>0</v>
      </c>
      <c r="S217" t="n">
        <v>0</v>
      </c>
      <c r="T217" t="n">
        <v>0</v>
      </c>
      <c r="U217" s="2" t="inlineStr"/>
    </row>
    <row r="218" ht="15" customHeight="1">
      <c r="A218" t="inlineStr">
        <is>
          <t>A 56936-2025</t>
        </is>
      </c>
      <c r="B218" t="inlineStr">
        <is>
          <t>avverkningsanmälan</t>
        </is>
      </c>
      <c r="C218" t="inlineStr">
        <is>
          <t>Föryngringsavverkning</t>
        </is>
      </c>
      <c r="D218" s="1" t="n">
        <v>45978</v>
      </c>
      <c r="E218" s="1" t="n">
        <v>46218</v>
      </c>
      <c r="F218" t="inlineStr">
        <is>
          <t>VÄSTMANLANDS LÄN</t>
        </is>
      </c>
      <c r="G218" t="inlineStr">
        <is>
          <t>KÖPING</t>
        </is>
      </c>
      <c r="I218" t="n">
        <v>2.8</v>
      </c>
      <c r="J218" t="n">
        <v>0</v>
      </c>
      <c r="K218" t="n">
        <v>0</v>
      </c>
      <c r="L218" t="n">
        <v>0</v>
      </c>
      <c r="M218" t="n">
        <v>0</v>
      </c>
      <c r="N218" t="n">
        <v>0</v>
      </c>
      <c r="O218" t="n">
        <v>0</v>
      </c>
      <c r="P218" t="n">
        <v>0</v>
      </c>
      <c r="Q218" t="n">
        <v>0</v>
      </c>
      <c r="R218" t="n">
        <v>0</v>
      </c>
      <c r="S218" t="n">
        <v>0</v>
      </c>
      <c r="T218" t="n">
        <v>0</v>
      </c>
      <c r="U218" s="2" t="inlineStr"/>
    </row>
    <row r="219" ht="15" customHeight="1">
      <c r="A219" t="inlineStr">
        <is>
          <t>A 57760-2022</t>
        </is>
      </c>
      <c r="B219" t="inlineStr">
        <is>
          <t>avverkningsanmälan</t>
        </is>
      </c>
      <c r="C219" t="inlineStr">
        <is>
          <t>Föryngringsavverkning</t>
        </is>
      </c>
      <c r="D219" s="1" t="n">
        <v>44897</v>
      </c>
      <c r="E219" s="1" t="n">
        <v>46218</v>
      </c>
      <c r="F219" t="inlineStr">
        <is>
          <t>VÄSTMANLANDS LÄN</t>
        </is>
      </c>
      <c r="G219" t="inlineStr">
        <is>
          <t>KÖPING</t>
        </is>
      </c>
      <c r="I219" t="n">
        <v>6</v>
      </c>
      <c r="J219" t="n">
        <v>0</v>
      </c>
      <c r="K219" t="n">
        <v>0</v>
      </c>
      <c r="L219" t="n">
        <v>0</v>
      </c>
      <c r="M219" t="n">
        <v>0</v>
      </c>
      <c r="N219" t="n">
        <v>0</v>
      </c>
      <c r="O219" t="n">
        <v>0</v>
      </c>
      <c r="P219" t="n">
        <v>0</v>
      </c>
      <c r="Q219" t="n">
        <v>0</v>
      </c>
      <c r="R219" t="n">
        <v>0</v>
      </c>
      <c r="S219" t="n">
        <v>0</v>
      </c>
      <c r="T219" t="n">
        <v>0</v>
      </c>
      <c r="U219" s="2" t="inlineStr"/>
    </row>
    <row r="220" ht="15" customHeight="1">
      <c r="A220" t="inlineStr">
        <is>
          <t>A 57048-2025</t>
        </is>
      </c>
      <c r="B220" t="inlineStr">
        <is>
          <t>avverkningsanmälan</t>
        </is>
      </c>
      <c r="C220" t="inlineStr">
        <is>
          <t>Föryngringsavverkning</t>
        </is>
      </c>
      <c r="D220" s="1" t="n">
        <v>45979</v>
      </c>
      <c r="E220" s="1" t="n">
        <v>46218</v>
      </c>
      <c r="F220" t="inlineStr">
        <is>
          <t>VÄSTMANLANDS LÄN</t>
        </is>
      </c>
      <c r="G220" t="inlineStr">
        <is>
          <t>KÖPING</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13041-2025</t>
        </is>
      </c>
      <c r="B221" t="inlineStr">
        <is>
          <t>avverkningsanmälan</t>
        </is>
      </c>
      <c r="C221" t="inlineStr">
        <is>
          <t>Avverkning för att bevara och utveckla /försöksver</t>
        </is>
      </c>
      <c r="D221" s="1" t="n">
        <v>45734</v>
      </c>
      <c r="E221" s="1" t="n">
        <v>46218</v>
      </c>
      <c r="F221" t="inlineStr">
        <is>
          <t>VÄSTMANLANDS LÄN</t>
        </is>
      </c>
      <c r="G221" t="inlineStr">
        <is>
          <t>KÖPING</t>
        </is>
      </c>
      <c r="H221" t="inlineStr">
        <is>
          <t>Sveaskog</t>
        </is>
      </c>
      <c r="I221" t="n">
        <v>1</v>
      </c>
      <c r="J221" t="n">
        <v>0</v>
      </c>
      <c r="K221" t="n">
        <v>0</v>
      </c>
      <c r="L221" t="n">
        <v>0</v>
      </c>
      <c r="M221" t="n">
        <v>0</v>
      </c>
      <c r="N221" t="n">
        <v>0</v>
      </c>
      <c r="O221" t="n">
        <v>0</v>
      </c>
      <c r="P221" t="n">
        <v>0</v>
      </c>
      <c r="Q221" t="n">
        <v>0</v>
      </c>
      <c r="R221" t="n">
        <v>0</v>
      </c>
      <c r="S221" t="n">
        <v>0</v>
      </c>
      <c r="T221" t="n">
        <v>0</v>
      </c>
      <c r="U221" s="2" t="inlineStr"/>
    </row>
    <row r="222" ht="15" customHeight="1">
      <c r="A222" t="inlineStr">
        <is>
          <t>A 57318-2025</t>
        </is>
      </c>
      <c r="B222" t="inlineStr">
        <is>
          <t>avverkningsanmälan</t>
        </is>
      </c>
      <c r="C222" t="inlineStr">
        <is>
          <t>Föryngringsavverkning</t>
        </is>
      </c>
      <c r="D222" s="1" t="n">
        <v>45980</v>
      </c>
      <c r="E222" s="1" t="n">
        <v>46218</v>
      </c>
      <c r="F222" t="inlineStr">
        <is>
          <t>VÄSTMANLANDS LÄN</t>
        </is>
      </c>
      <c r="G222" t="inlineStr">
        <is>
          <t>KÖPING</t>
        </is>
      </c>
      <c r="H222" t="inlineStr">
        <is>
          <t>Sveaskog</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28872-2025</t>
        </is>
      </c>
      <c r="B223" t="inlineStr">
        <is>
          <t>avverkningsanmälan</t>
        </is>
      </c>
      <c r="C223" t="inlineStr">
        <is>
          <t>Avverkning för annat ändamål</t>
        </is>
      </c>
      <c r="D223" s="1" t="n">
        <v>45820</v>
      </c>
      <c r="E223" s="1" t="n">
        <v>46218</v>
      </c>
      <c r="F223" t="inlineStr">
        <is>
          <t>VÄSTMANLANDS LÄN</t>
        </is>
      </c>
      <c r="G223" t="inlineStr">
        <is>
          <t>KÖPING</t>
        </is>
      </c>
      <c r="H223" t="inlineStr">
        <is>
          <t>Sveaskog</t>
        </is>
      </c>
      <c r="I223" t="n">
        <v>0.4</v>
      </c>
      <c r="J223" t="n">
        <v>0</v>
      </c>
      <c r="K223" t="n">
        <v>0</v>
      </c>
      <c r="L223" t="n">
        <v>0</v>
      </c>
      <c r="M223" t="n">
        <v>0</v>
      </c>
      <c r="N223" t="n">
        <v>0</v>
      </c>
      <c r="O223" t="n">
        <v>0</v>
      </c>
      <c r="P223" t="n">
        <v>0</v>
      </c>
      <c r="Q223" t="n">
        <v>0</v>
      </c>
      <c r="R223" t="n">
        <v>0</v>
      </c>
      <c r="S223" t="n">
        <v>0</v>
      </c>
      <c r="T223" t="n">
        <v>0</v>
      </c>
      <c r="U223" s="2" t="inlineStr"/>
    </row>
    <row r="224" ht="15" customHeight="1">
      <c r="A224" t="inlineStr">
        <is>
          <t>A 17295-2023</t>
        </is>
      </c>
      <c r="B224" t="inlineStr">
        <is>
          <t>avverkningsanmälan</t>
        </is>
      </c>
      <c r="C224" t="inlineStr">
        <is>
          <t>Föryngringsavverkning</t>
        </is>
      </c>
      <c r="D224" s="1" t="n">
        <v>45035</v>
      </c>
      <c r="E224" s="1" t="n">
        <v>46218</v>
      </c>
      <c r="F224" t="inlineStr">
        <is>
          <t>VÄSTMANLANDS LÄN</t>
        </is>
      </c>
      <c r="G224" t="inlineStr">
        <is>
          <t>KÖPING</t>
        </is>
      </c>
      <c r="I224" t="n">
        <v>1.2</v>
      </c>
      <c r="J224" t="n">
        <v>0</v>
      </c>
      <c r="K224" t="n">
        <v>0</v>
      </c>
      <c r="L224" t="n">
        <v>0</v>
      </c>
      <c r="M224" t="n">
        <v>0</v>
      </c>
      <c r="N224" t="n">
        <v>0</v>
      </c>
      <c r="O224" t="n">
        <v>0</v>
      </c>
      <c r="P224" t="n">
        <v>0</v>
      </c>
      <c r="Q224" t="n">
        <v>0</v>
      </c>
      <c r="R224" t="n">
        <v>0</v>
      </c>
      <c r="S224" t="n">
        <v>0</v>
      </c>
      <c r="T224" t="n">
        <v>0</v>
      </c>
      <c r="U224" s="2" t="inlineStr"/>
    </row>
    <row r="225" ht="15" customHeight="1">
      <c r="A225" t="inlineStr">
        <is>
          <t>A 57572-2025</t>
        </is>
      </c>
      <c r="B225" t="inlineStr">
        <is>
          <t>avverkningsanmälan</t>
        </is>
      </c>
      <c r="C225" t="inlineStr">
        <is>
          <t>Föryngringsavverkning</t>
        </is>
      </c>
      <c r="D225" s="1" t="n">
        <v>45980</v>
      </c>
      <c r="E225" s="1" t="n">
        <v>46218</v>
      </c>
      <c r="F225" t="inlineStr">
        <is>
          <t>VÄSTMANLANDS LÄN</t>
        </is>
      </c>
      <c r="G225" t="inlineStr">
        <is>
          <t>KÖPING</t>
        </is>
      </c>
      <c r="H225" t="inlineStr">
        <is>
          <t>Sveaskog</t>
        </is>
      </c>
      <c r="I225" t="n">
        <v>2.6</v>
      </c>
      <c r="J225" t="n">
        <v>0</v>
      </c>
      <c r="K225" t="n">
        <v>0</v>
      </c>
      <c r="L225" t="n">
        <v>0</v>
      </c>
      <c r="M225" t="n">
        <v>0</v>
      </c>
      <c r="N225" t="n">
        <v>0</v>
      </c>
      <c r="O225" t="n">
        <v>0</v>
      </c>
      <c r="P225" t="n">
        <v>0</v>
      </c>
      <c r="Q225" t="n">
        <v>0</v>
      </c>
      <c r="R225" t="n">
        <v>0</v>
      </c>
      <c r="S225" t="n">
        <v>0</v>
      </c>
      <c r="T225" t="n">
        <v>0</v>
      </c>
      <c r="U225" s="2" t="inlineStr"/>
    </row>
    <row r="226" ht="15" customHeight="1">
      <c r="A226" t="inlineStr">
        <is>
          <t>A 17204-2023</t>
        </is>
      </c>
      <c r="B226" t="inlineStr">
        <is>
          <t>avverkningsanmälan</t>
        </is>
      </c>
      <c r="C226" t="inlineStr">
        <is>
          <t>Föryngringsavverkning</t>
        </is>
      </c>
      <c r="D226" s="1" t="n">
        <v>45034</v>
      </c>
      <c r="E226" s="1" t="n">
        <v>46218</v>
      </c>
      <c r="F226" t="inlineStr">
        <is>
          <t>VÄSTMANLANDS LÄN</t>
        </is>
      </c>
      <c r="G226" t="inlineStr">
        <is>
          <t>KÖPING</t>
        </is>
      </c>
      <c r="I226" t="n">
        <v>1.8</v>
      </c>
      <c r="J226" t="n">
        <v>0</v>
      </c>
      <c r="K226" t="n">
        <v>0</v>
      </c>
      <c r="L226" t="n">
        <v>0</v>
      </c>
      <c r="M226" t="n">
        <v>0</v>
      </c>
      <c r="N226" t="n">
        <v>0</v>
      </c>
      <c r="O226" t="n">
        <v>0</v>
      </c>
      <c r="P226" t="n">
        <v>0</v>
      </c>
      <c r="Q226" t="n">
        <v>0</v>
      </c>
      <c r="R226" t="n">
        <v>0</v>
      </c>
      <c r="S226" t="n">
        <v>0</v>
      </c>
      <c r="T226" t="n">
        <v>0</v>
      </c>
      <c r="U226" s="2" t="inlineStr"/>
    </row>
    <row r="227" ht="15" customHeight="1">
      <c r="A227" t="inlineStr">
        <is>
          <t>A 58079-2025</t>
        </is>
      </c>
      <c r="B227" t="inlineStr">
        <is>
          <t>avverkningsanmälan</t>
        </is>
      </c>
      <c r="C227" t="inlineStr">
        <is>
          <t>Föryngringsavverkning</t>
        </is>
      </c>
      <c r="D227" s="1" t="n">
        <v>45982</v>
      </c>
      <c r="E227" s="1" t="n">
        <v>46218</v>
      </c>
      <c r="F227" t="inlineStr">
        <is>
          <t>VÄSTMANLANDS LÄN</t>
        </is>
      </c>
      <c r="G227" t="inlineStr">
        <is>
          <t>KÖPING</t>
        </is>
      </c>
      <c r="I227" t="n">
        <v>1.5</v>
      </c>
      <c r="J227" t="n">
        <v>0</v>
      </c>
      <c r="K227" t="n">
        <v>0</v>
      </c>
      <c r="L227" t="n">
        <v>0</v>
      </c>
      <c r="M227" t="n">
        <v>0</v>
      </c>
      <c r="N227" t="n">
        <v>0</v>
      </c>
      <c r="O227" t="n">
        <v>0</v>
      </c>
      <c r="P227" t="n">
        <v>0</v>
      </c>
      <c r="Q227" t="n">
        <v>0</v>
      </c>
      <c r="R227" t="n">
        <v>0</v>
      </c>
      <c r="S227" t="n">
        <v>0</v>
      </c>
      <c r="T227" t="n">
        <v>0</v>
      </c>
      <c r="U227" s="2" t="inlineStr"/>
    </row>
    <row r="228" ht="15" customHeight="1">
      <c r="A228" t="inlineStr">
        <is>
          <t>A 30136-2025</t>
        </is>
      </c>
      <c r="B228" t="inlineStr">
        <is>
          <t>avverkningsanmälan</t>
        </is>
      </c>
      <c r="C228" t="inlineStr">
        <is>
          <t>Föryngringsavverkning</t>
        </is>
      </c>
      <c r="D228" s="1" t="n">
        <v>45826</v>
      </c>
      <c r="E228" s="1" t="n">
        <v>46218</v>
      </c>
      <c r="F228" t="inlineStr">
        <is>
          <t>VÄSTMANLANDS LÄN</t>
        </is>
      </c>
      <c r="G228" t="inlineStr">
        <is>
          <t>KÖPING</t>
        </is>
      </c>
      <c r="I228" t="n">
        <v>3.3</v>
      </c>
      <c r="J228" t="n">
        <v>0</v>
      </c>
      <c r="K228" t="n">
        <v>0</v>
      </c>
      <c r="L228" t="n">
        <v>0</v>
      </c>
      <c r="M228" t="n">
        <v>0</v>
      </c>
      <c r="N228" t="n">
        <v>0</v>
      </c>
      <c r="O228" t="n">
        <v>0</v>
      </c>
      <c r="P228" t="n">
        <v>0</v>
      </c>
      <c r="Q228" t="n">
        <v>0</v>
      </c>
      <c r="R228" t="n">
        <v>0</v>
      </c>
      <c r="S228" t="n">
        <v>0</v>
      </c>
      <c r="T228" t="n">
        <v>0</v>
      </c>
      <c r="U228" s="2" t="inlineStr"/>
    </row>
    <row r="229" ht="15" customHeight="1">
      <c r="A229" t="inlineStr">
        <is>
          <t>A 31068-2025</t>
        </is>
      </c>
      <c r="B229" t="inlineStr">
        <is>
          <t>avverkningsanmälan</t>
        </is>
      </c>
      <c r="C229" t="inlineStr">
        <is>
          <t>Föryngringsavverkning</t>
        </is>
      </c>
      <c r="D229" s="1" t="n">
        <v>45832</v>
      </c>
      <c r="E229" s="1" t="n">
        <v>46218</v>
      </c>
      <c r="F229" t="inlineStr">
        <is>
          <t>VÄSTMANLANDS LÄN</t>
        </is>
      </c>
      <c r="G229" t="inlineStr">
        <is>
          <t>KÖPING</t>
        </is>
      </c>
      <c r="H229" t="inlineStr">
        <is>
          <t>Sveaskog</t>
        </is>
      </c>
      <c r="I229" t="n">
        <v>1</v>
      </c>
      <c r="J229" t="n">
        <v>0</v>
      </c>
      <c r="K229" t="n">
        <v>0</v>
      </c>
      <c r="L229" t="n">
        <v>0</v>
      </c>
      <c r="M229" t="n">
        <v>0</v>
      </c>
      <c r="N229" t="n">
        <v>0</v>
      </c>
      <c r="O229" t="n">
        <v>0</v>
      </c>
      <c r="P229" t="n">
        <v>0</v>
      </c>
      <c r="Q229" t="n">
        <v>0</v>
      </c>
      <c r="R229" t="n">
        <v>0</v>
      </c>
      <c r="S229" t="n">
        <v>0</v>
      </c>
      <c r="T229" t="n">
        <v>0</v>
      </c>
      <c r="U229" s="2" t="inlineStr"/>
    </row>
    <row r="230" ht="15" customHeight="1">
      <c r="A230" t="inlineStr">
        <is>
          <t>A 18785-2025</t>
        </is>
      </c>
      <c r="B230" t="inlineStr">
        <is>
          <t>avverkningsanmälan</t>
        </is>
      </c>
      <c r="C230" t="inlineStr">
        <is>
          <t>Avverkning för annat ändamål</t>
        </is>
      </c>
      <c r="D230" s="1" t="n">
        <v>45764</v>
      </c>
      <c r="E230" s="1" t="n">
        <v>46218</v>
      </c>
      <c r="F230" t="inlineStr">
        <is>
          <t>VÄSTMANLANDS LÄN</t>
        </is>
      </c>
      <c r="G230" t="inlineStr">
        <is>
          <t>KÖPING</t>
        </is>
      </c>
      <c r="H230" t="inlineStr">
        <is>
          <t>Sveaskog</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18787-2025</t>
        </is>
      </c>
      <c r="B231" t="inlineStr">
        <is>
          <t>avverkningsanmälan</t>
        </is>
      </c>
      <c r="C231" t="inlineStr">
        <is>
          <t>Föryngringsavverkning</t>
        </is>
      </c>
      <c r="D231" s="1" t="n">
        <v>45764</v>
      </c>
      <c r="E231" s="1" t="n">
        <v>46218</v>
      </c>
      <c r="F231" t="inlineStr">
        <is>
          <t>VÄSTMANLANDS LÄN</t>
        </is>
      </c>
      <c r="G231" t="inlineStr">
        <is>
          <t>KÖPING</t>
        </is>
      </c>
      <c r="H231" t="inlineStr">
        <is>
          <t>Sveaskog</t>
        </is>
      </c>
      <c r="I231" t="n">
        <v>9.699999999999999</v>
      </c>
      <c r="J231" t="n">
        <v>0</v>
      </c>
      <c r="K231" t="n">
        <v>0</v>
      </c>
      <c r="L231" t="n">
        <v>0</v>
      </c>
      <c r="M231" t="n">
        <v>0</v>
      </c>
      <c r="N231" t="n">
        <v>0</v>
      </c>
      <c r="O231" t="n">
        <v>0</v>
      </c>
      <c r="P231" t="n">
        <v>0</v>
      </c>
      <c r="Q231" t="n">
        <v>0</v>
      </c>
      <c r="R231" t="n">
        <v>0</v>
      </c>
      <c r="S231" t="n">
        <v>0</v>
      </c>
      <c r="T231" t="n">
        <v>0</v>
      </c>
      <c r="U231" s="2" t="inlineStr"/>
    </row>
    <row r="232" ht="15" customHeight="1">
      <c r="A232" t="inlineStr">
        <is>
          <t>A 37660-2022</t>
        </is>
      </c>
      <c r="B232" t="inlineStr">
        <is>
          <t>avverkningsanmälan</t>
        </is>
      </c>
      <c r="C232" t="inlineStr">
        <is>
          <t>Föryngringsavverkning</t>
        </is>
      </c>
      <c r="D232" s="1" t="n">
        <v>44810</v>
      </c>
      <c r="E232" s="1" t="n">
        <v>46218</v>
      </c>
      <c r="F232" t="inlineStr">
        <is>
          <t>VÄSTMANLANDS LÄN</t>
        </is>
      </c>
      <c r="G232" t="inlineStr">
        <is>
          <t>KÖPING</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37776-2022</t>
        </is>
      </c>
      <c r="B233" t="inlineStr">
        <is>
          <t>avverkningsanmälan</t>
        </is>
      </c>
      <c r="C233" t="inlineStr">
        <is>
          <t>Föryngringsavverkning</t>
        </is>
      </c>
      <c r="D233" s="1" t="n">
        <v>44810</v>
      </c>
      <c r="E233" s="1" t="n">
        <v>46218</v>
      </c>
      <c r="F233" t="inlineStr">
        <is>
          <t>VÄSTMANLANDS LÄN</t>
        </is>
      </c>
      <c r="G233" t="inlineStr">
        <is>
          <t>KÖPING</t>
        </is>
      </c>
      <c r="H233" t="inlineStr">
        <is>
          <t>Sveaskog</t>
        </is>
      </c>
      <c r="I233" t="n">
        <v>2.3</v>
      </c>
      <c r="J233" t="n">
        <v>0</v>
      </c>
      <c r="K233" t="n">
        <v>0</v>
      </c>
      <c r="L233" t="n">
        <v>0</v>
      </c>
      <c r="M233" t="n">
        <v>0</v>
      </c>
      <c r="N233" t="n">
        <v>0</v>
      </c>
      <c r="O233" t="n">
        <v>0</v>
      </c>
      <c r="P233" t="n">
        <v>0</v>
      </c>
      <c r="Q233" t="n">
        <v>0</v>
      </c>
      <c r="R233" t="n">
        <v>0</v>
      </c>
      <c r="S233" t="n">
        <v>0</v>
      </c>
      <c r="T233" t="n">
        <v>0</v>
      </c>
      <c r="U233" s="2" t="inlineStr"/>
    </row>
    <row r="234" ht="15" customHeight="1">
      <c r="A234" t="inlineStr">
        <is>
          <t>A 31071-2025</t>
        </is>
      </c>
      <c r="B234" t="inlineStr">
        <is>
          <t>avverkningsanmälan</t>
        </is>
      </c>
      <c r="C234" t="inlineStr">
        <is>
          <t>Föryngringsavverkning</t>
        </is>
      </c>
      <c r="D234" s="1" t="n">
        <v>45832</v>
      </c>
      <c r="E234" s="1" t="n">
        <v>46218</v>
      </c>
      <c r="F234" t="inlineStr">
        <is>
          <t>VÄSTMANLANDS LÄN</t>
        </is>
      </c>
      <c r="G234" t="inlineStr">
        <is>
          <t>KÖPING</t>
        </is>
      </c>
      <c r="H234" t="inlineStr">
        <is>
          <t>Sveaskog</t>
        </is>
      </c>
      <c r="I234" t="n">
        <v>1.3</v>
      </c>
      <c r="J234" t="n">
        <v>0</v>
      </c>
      <c r="K234" t="n">
        <v>0</v>
      </c>
      <c r="L234" t="n">
        <v>0</v>
      </c>
      <c r="M234" t="n">
        <v>0</v>
      </c>
      <c r="N234" t="n">
        <v>0</v>
      </c>
      <c r="O234" t="n">
        <v>0</v>
      </c>
      <c r="P234" t="n">
        <v>0</v>
      </c>
      <c r="Q234" t="n">
        <v>0</v>
      </c>
      <c r="R234" t="n">
        <v>0</v>
      </c>
      <c r="S234" t="n">
        <v>0</v>
      </c>
      <c r="T234" t="n">
        <v>0</v>
      </c>
      <c r="U234" s="2" t="inlineStr"/>
    </row>
    <row r="235" ht="15" customHeight="1">
      <c r="A235" t="inlineStr">
        <is>
          <t>A 29749-2022</t>
        </is>
      </c>
      <c r="B235" t="inlineStr">
        <is>
          <t>avverkningsanmälan</t>
        </is>
      </c>
      <c r="C235" t="inlineStr">
        <is>
          <t>Föryngringsavverkning</t>
        </is>
      </c>
      <c r="D235" s="1" t="n">
        <v>44755</v>
      </c>
      <c r="E235" s="1" t="n">
        <v>46218</v>
      </c>
      <c r="F235" t="inlineStr">
        <is>
          <t>VÄSTMANLANDS LÄN</t>
        </is>
      </c>
      <c r="G235" t="inlineStr">
        <is>
          <t>KÖPING</t>
        </is>
      </c>
      <c r="I235" t="n">
        <v>1.4</v>
      </c>
      <c r="J235" t="n">
        <v>0</v>
      </c>
      <c r="K235" t="n">
        <v>0</v>
      </c>
      <c r="L235" t="n">
        <v>0</v>
      </c>
      <c r="M235" t="n">
        <v>0</v>
      </c>
      <c r="N235" t="n">
        <v>0</v>
      </c>
      <c r="O235" t="n">
        <v>0</v>
      </c>
      <c r="P235" t="n">
        <v>0</v>
      </c>
      <c r="Q235" t="n">
        <v>0</v>
      </c>
      <c r="R235" t="n">
        <v>0</v>
      </c>
      <c r="S235" t="n">
        <v>0</v>
      </c>
      <c r="T235" t="n">
        <v>0</v>
      </c>
      <c r="U235" s="2" t="inlineStr"/>
    </row>
    <row r="236" ht="15" customHeight="1">
      <c r="A236" t="inlineStr">
        <is>
          <t>A 31839-2025</t>
        </is>
      </c>
      <c r="B236" t="inlineStr">
        <is>
          <t>avverkningsanmälan</t>
        </is>
      </c>
      <c r="C236" t="inlineStr">
        <is>
          <t>Avverkning för att bevara och utveckla /försöksver</t>
        </is>
      </c>
      <c r="D236" s="1" t="n">
        <v>45834</v>
      </c>
      <c r="E236" s="1" t="n">
        <v>46218</v>
      </c>
      <c r="F236" t="inlineStr">
        <is>
          <t>VÄSTMANLANDS LÄN</t>
        </is>
      </c>
      <c r="G236" t="inlineStr">
        <is>
          <t>KÖPING</t>
        </is>
      </c>
      <c r="H236" t="inlineStr">
        <is>
          <t>Sveaskog</t>
        </is>
      </c>
      <c r="I236" t="n">
        <v>2.1</v>
      </c>
      <c r="J236" t="n">
        <v>0</v>
      </c>
      <c r="K236" t="n">
        <v>0</v>
      </c>
      <c r="L236" t="n">
        <v>0</v>
      </c>
      <c r="M236" t="n">
        <v>0</v>
      </c>
      <c r="N236" t="n">
        <v>0</v>
      </c>
      <c r="O236" t="n">
        <v>0</v>
      </c>
      <c r="P236" t="n">
        <v>0</v>
      </c>
      <c r="Q236" t="n">
        <v>0</v>
      </c>
      <c r="R236" t="n">
        <v>0</v>
      </c>
      <c r="S236" t="n">
        <v>0</v>
      </c>
      <c r="T236" t="n">
        <v>0</v>
      </c>
      <c r="U236" s="2" t="inlineStr"/>
    </row>
    <row r="237" ht="15" customHeight="1">
      <c r="A237" t="inlineStr">
        <is>
          <t>A 31830-2025</t>
        </is>
      </c>
      <c r="B237" t="inlineStr">
        <is>
          <t>avverkningsanmälan</t>
        </is>
      </c>
      <c r="C237" t="inlineStr">
        <is>
          <t>Föryngringsavverkning</t>
        </is>
      </c>
      <c r="D237" s="1" t="n">
        <v>45834</v>
      </c>
      <c r="E237" s="1" t="n">
        <v>46218</v>
      </c>
      <c r="F237" t="inlineStr">
        <is>
          <t>VÄSTMANLANDS LÄN</t>
        </is>
      </c>
      <c r="G237" t="inlineStr">
        <is>
          <t>KÖPING</t>
        </is>
      </c>
      <c r="H237" t="inlineStr">
        <is>
          <t>Sveaskog</t>
        </is>
      </c>
      <c r="I237" t="n">
        <v>2.7</v>
      </c>
      <c r="J237" t="n">
        <v>0</v>
      </c>
      <c r="K237" t="n">
        <v>0</v>
      </c>
      <c r="L237" t="n">
        <v>0</v>
      </c>
      <c r="M237" t="n">
        <v>0</v>
      </c>
      <c r="N237" t="n">
        <v>0</v>
      </c>
      <c r="O237" t="n">
        <v>0</v>
      </c>
      <c r="P237" t="n">
        <v>0</v>
      </c>
      <c r="Q237" t="n">
        <v>0</v>
      </c>
      <c r="R237" t="n">
        <v>0</v>
      </c>
      <c r="S237" t="n">
        <v>0</v>
      </c>
      <c r="T237" t="n">
        <v>0</v>
      </c>
      <c r="U237" s="2" t="inlineStr"/>
    </row>
    <row r="238" ht="15" customHeight="1">
      <c r="A238" t="inlineStr">
        <is>
          <t>A 61339-2023</t>
        </is>
      </c>
      <c r="B238" t="inlineStr">
        <is>
          <t>avverkningsanmälan</t>
        </is>
      </c>
      <c r="C238" t="inlineStr">
        <is>
          <t>Föryngringsavverkning</t>
        </is>
      </c>
      <c r="D238" s="1" t="n">
        <v>45264</v>
      </c>
      <c r="E238" s="1" t="n">
        <v>46218</v>
      </c>
      <c r="F238" t="inlineStr">
        <is>
          <t>VÄSTMANLANDS LÄN</t>
        </is>
      </c>
      <c r="G238" t="inlineStr">
        <is>
          <t>KÖPING</t>
        </is>
      </c>
      <c r="I238" t="n">
        <v>5</v>
      </c>
      <c r="J238" t="n">
        <v>0</v>
      </c>
      <c r="K238" t="n">
        <v>0</v>
      </c>
      <c r="L238" t="n">
        <v>0</v>
      </c>
      <c r="M238" t="n">
        <v>0</v>
      </c>
      <c r="N238" t="n">
        <v>0</v>
      </c>
      <c r="O238" t="n">
        <v>0</v>
      </c>
      <c r="P238" t="n">
        <v>0</v>
      </c>
      <c r="Q238" t="n">
        <v>0</v>
      </c>
      <c r="R238" t="n">
        <v>0</v>
      </c>
      <c r="S238" t="n">
        <v>0</v>
      </c>
      <c r="T238" t="n">
        <v>0</v>
      </c>
      <c r="U238" s="2" t="inlineStr"/>
    </row>
    <row r="239" ht="15" customHeight="1">
      <c r="A239" t="inlineStr">
        <is>
          <t>A 31738-2025</t>
        </is>
      </c>
      <c r="B239" t="inlineStr">
        <is>
          <t>avverkningsanmälan</t>
        </is>
      </c>
      <c r="C239" t="inlineStr">
        <is>
          <t>Föryngringsavverkning</t>
        </is>
      </c>
      <c r="D239" s="1" t="n">
        <v>45834</v>
      </c>
      <c r="E239" s="1" t="n">
        <v>46218</v>
      </c>
      <c r="F239" t="inlineStr">
        <is>
          <t>VÄSTMANLANDS LÄN</t>
        </is>
      </c>
      <c r="G239" t="inlineStr">
        <is>
          <t>KÖPING</t>
        </is>
      </c>
      <c r="I239" t="n">
        <v>11.2</v>
      </c>
      <c r="J239" t="n">
        <v>0</v>
      </c>
      <c r="K239" t="n">
        <v>0</v>
      </c>
      <c r="L239" t="n">
        <v>0</v>
      </c>
      <c r="M239" t="n">
        <v>0</v>
      </c>
      <c r="N239" t="n">
        <v>0</v>
      </c>
      <c r="O239" t="n">
        <v>0</v>
      </c>
      <c r="P239" t="n">
        <v>0</v>
      </c>
      <c r="Q239" t="n">
        <v>0</v>
      </c>
      <c r="R239" t="n">
        <v>0</v>
      </c>
      <c r="S239" t="n">
        <v>0</v>
      </c>
      <c r="T239" t="n">
        <v>0</v>
      </c>
      <c r="U239" s="2" t="inlineStr"/>
    </row>
    <row r="240" ht="15" customHeight="1">
      <c r="A240" t="inlineStr">
        <is>
          <t>A 37669-2023</t>
        </is>
      </c>
      <c r="B240" t="inlineStr">
        <is>
          <t>avverkningsanmälan</t>
        </is>
      </c>
      <c r="C240" t="inlineStr">
        <is>
          <t>Föryngringsavverkning</t>
        </is>
      </c>
      <c r="D240" s="1" t="n">
        <v>45159</v>
      </c>
      <c r="E240" s="1" t="n">
        <v>46218</v>
      </c>
      <c r="F240" t="inlineStr">
        <is>
          <t>VÄSTMANLANDS LÄN</t>
        </is>
      </c>
      <c r="G240" t="inlineStr">
        <is>
          <t>KÖPING</t>
        </is>
      </c>
      <c r="I240" t="n">
        <v>3</v>
      </c>
      <c r="J240" t="n">
        <v>0</v>
      </c>
      <c r="K240" t="n">
        <v>0</v>
      </c>
      <c r="L240" t="n">
        <v>0</v>
      </c>
      <c r="M240" t="n">
        <v>0</v>
      </c>
      <c r="N240" t="n">
        <v>0</v>
      </c>
      <c r="O240" t="n">
        <v>0</v>
      </c>
      <c r="P240" t="n">
        <v>0</v>
      </c>
      <c r="Q240" t="n">
        <v>0</v>
      </c>
      <c r="R240" t="n">
        <v>0</v>
      </c>
      <c r="S240" t="n">
        <v>0</v>
      </c>
      <c r="T240" t="n">
        <v>0</v>
      </c>
      <c r="U240" s="2" t="inlineStr"/>
    </row>
    <row r="241" ht="15" customHeight="1">
      <c r="A241" t="inlineStr">
        <is>
          <t>A 55835-2021</t>
        </is>
      </c>
      <c r="B241" t="inlineStr">
        <is>
          <t>avverkningsanmälan</t>
        </is>
      </c>
      <c r="C241" t="inlineStr">
        <is>
          <t>Föryngringsavverkning</t>
        </is>
      </c>
      <c r="D241" s="1" t="n">
        <v>44476</v>
      </c>
      <c r="E241" s="1" t="n">
        <v>46218</v>
      </c>
      <c r="F241" t="inlineStr">
        <is>
          <t>VÄSTMANLANDS LÄN</t>
        </is>
      </c>
      <c r="G241" t="inlineStr">
        <is>
          <t>KÖPING</t>
        </is>
      </c>
      <c r="I241" t="n">
        <v>1.3</v>
      </c>
      <c r="J241" t="n">
        <v>0</v>
      </c>
      <c r="K241" t="n">
        <v>0</v>
      </c>
      <c r="L241" t="n">
        <v>0</v>
      </c>
      <c r="M241" t="n">
        <v>0</v>
      </c>
      <c r="N241" t="n">
        <v>0</v>
      </c>
      <c r="O241" t="n">
        <v>0</v>
      </c>
      <c r="P241" t="n">
        <v>0</v>
      </c>
      <c r="Q241" t="n">
        <v>0</v>
      </c>
      <c r="R241" t="n">
        <v>0</v>
      </c>
      <c r="S241" t="n">
        <v>0</v>
      </c>
      <c r="T241" t="n">
        <v>0</v>
      </c>
      <c r="U241" s="2" t="inlineStr"/>
    </row>
    <row r="242" ht="15" customHeight="1">
      <c r="A242" t="inlineStr">
        <is>
          <t>A 51412-2023</t>
        </is>
      </c>
      <c r="B242" t="inlineStr">
        <is>
          <t>avverkningsanmälan</t>
        </is>
      </c>
      <c r="C242" t="inlineStr">
        <is>
          <t>Föryngringsavverkning</t>
        </is>
      </c>
      <c r="D242" s="1" t="n">
        <v>45219</v>
      </c>
      <c r="E242" s="1" t="n">
        <v>46218</v>
      </c>
      <c r="F242" t="inlineStr">
        <is>
          <t>VÄSTMANLANDS LÄN</t>
        </is>
      </c>
      <c r="G242" t="inlineStr">
        <is>
          <t>KÖPING</t>
        </is>
      </c>
      <c r="I242" t="n">
        <v>3.2</v>
      </c>
      <c r="J242" t="n">
        <v>0</v>
      </c>
      <c r="K242" t="n">
        <v>0</v>
      </c>
      <c r="L242" t="n">
        <v>0</v>
      </c>
      <c r="M242" t="n">
        <v>0</v>
      </c>
      <c r="N242" t="n">
        <v>0</v>
      </c>
      <c r="O242" t="n">
        <v>0</v>
      </c>
      <c r="P242" t="n">
        <v>0</v>
      </c>
      <c r="Q242" t="n">
        <v>0</v>
      </c>
      <c r="R242" t="n">
        <v>0</v>
      </c>
      <c r="S242" t="n">
        <v>0</v>
      </c>
      <c r="T242" t="n">
        <v>0</v>
      </c>
      <c r="U242" s="2" t="inlineStr"/>
    </row>
    <row r="243" ht="15" customHeight="1">
      <c r="A243" t="inlineStr">
        <is>
          <t>A 51119-2023</t>
        </is>
      </c>
      <c r="B243" t="inlineStr">
        <is>
          <t>avverkningsanmälan</t>
        </is>
      </c>
      <c r="C243" t="inlineStr">
        <is>
          <t>Föryngringsavverkning</t>
        </is>
      </c>
      <c r="D243" s="1" t="n">
        <v>45219</v>
      </c>
      <c r="E243" s="1" t="n">
        <v>46218</v>
      </c>
      <c r="F243" t="inlineStr">
        <is>
          <t>VÄSTMANLANDS LÄN</t>
        </is>
      </c>
      <c r="G243" t="inlineStr">
        <is>
          <t>KÖPING</t>
        </is>
      </c>
      <c r="I243" t="n">
        <v>2.1</v>
      </c>
      <c r="J243" t="n">
        <v>0</v>
      </c>
      <c r="K243" t="n">
        <v>0</v>
      </c>
      <c r="L243" t="n">
        <v>0</v>
      </c>
      <c r="M243" t="n">
        <v>0</v>
      </c>
      <c r="N243" t="n">
        <v>0</v>
      </c>
      <c r="O243" t="n">
        <v>0</v>
      </c>
      <c r="P243" t="n">
        <v>0</v>
      </c>
      <c r="Q243" t="n">
        <v>0</v>
      </c>
      <c r="R243" t="n">
        <v>0</v>
      </c>
      <c r="S243" t="n">
        <v>0</v>
      </c>
      <c r="T243" t="n">
        <v>0</v>
      </c>
      <c r="U243" s="2" t="inlineStr"/>
    </row>
    <row r="244" ht="15" customHeight="1">
      <c r="A244" t="inlineStr">
        <is>
          <t>A 25798-2026</t>
        </is>
      </c>
      <c r="B244" t="inlineStr">
        <is>
          <t>avverkningsanmälan</t>
        </is>
      </c>
      <c r="C244" t="inlineStr">
        <is>
          <t>Föryngringsavverkning</t>
        </is>
      </c>
      <c r="D244" s="1" t="n">
        <v>46178</v>
      </c>
      <c r="E244" s="1" t="n">
        <v>46218</v>
      </c>
      <c r="F244" t="inlineStr">
        <is>
          <t>VÄSTMANLANDS LÄN</t>
        </is>
      </c>
      <c r="G244" t="inlineStr">
        <is>
          <t>KÖPING</t>
        </is>
      </c>
      <c r="I244" t="n">
        <v>4.6</v>
      </c>
      <c r="J244" t="n">
        <v>0</v>
      </c>
      <c r="K244" t="n">
        <v>0</v>
      </c>
      <c r="L244" t="n">
        <v>0</v>
      </c>
      <c r="M244" t="n">
        <v>0</v>
      </c>
      <c r="N244" t="n">
        <v>0</v>
      </c>
      <c r="O244" t="n">
        <v>0</v>
      </c>
      <c r="P244" t="n">
        <v>0</v>
      </c>
      <c r="Q244" t="n">
        <v>0</v>
      </c>
      <c r="R244" t="n">
        <v>0</v>
      </c>
      <c r="S244" t="n">
        <v>0</v>
      </c>
      <c r="T244" t="n">
        <v>0</v>
      </c>
      <c r="U244" s="2" t="inlineStr"/>
    </row>
    <row r="245" ht="15" customHeight="1">
      <c r="A245" t="inlineStr">
        <is>
          <t>A 36409-2023</t>
        </is>
      </c>
      <c r="B245" t="inlineStr">
        <is>
          <t>avverkningsanmälan</t>
        </is>
      </c>
      <c r="C245" t="inlineStr">
        <is>
          <t>Föryngringsavverkning</t>
        </is>
      </c>
      <c r="D245" s="1" t="n">
        <v>45152</v>
      </c>
      <c r="E245" s="1" t="n">
        <v>46218</v>
      </c>
      <c r="F245" t="inlineStr">
        <is>
          <t>VÄSTMANLANDS LÄN</t>
        </is>
      </c>
      <c r="G245" t="inlineStr">
        <is>
          <t>KÖPING</t>
        </is>
      </c>
      <c r="I245" t="n">
        <v>3.4</v>
      </c>
      <c r="J245" t="n">
        <v>0</v>
      </c>
      <c r="K245" t="n">
        <v>0</v>
      </c>
      <c r="L245" t="n">
        <v>0</v>
      </c>
      <c r="M245" t="n">
        <v>0</v>
      </c>
      <c r="N245" t="n">
        <v>0</v>
      </c>
      <c r="O245" t="n">
        <v>0</v>
      </c>
      <c r="P245" t="n">
        <v>0</v>
      </c>
      <c r="Q245" t="n">
        <v>0</v>
      </c>
      <c r="R245" t="n">
        <v>0</v>
      </c>
      <c r="S245" t="n">
        <v>0</v>
      </c>
      <c r="T245" t="n">
        <v>0</v>
      </c>
      <c r="U245" s="2" t="inlineStr"/>
    </row>
    <row r="246" ht="15" customHeight="1">
      <c r="A246" t="inlineStr">
        <is>
          <t>A 25812-2026</t>
        </is>
      </c>
      <c r="B246" t="inlineStr">
        <is>
          <t>avverkningsanmälan</t>
        </is>
      </c>
      <c r="C246" t="inlineStr">
        <is>
          <t>Föryngringsavverkning</t>
        </is>
      </c>
      <c r="D246" s="1" t="n">
        <v>46178</v>
      </c>
      <c r="E246" s="1" t="n">
        <v>46218</v>
      </c>
      <c r="F246" t="inlineStr">
        <is>
          <t>VÄSTMANLANDS LÄN</t>
        </is>
      </c>
      <c r="G246" t="inlineStr">
        <is>
          <t>KÖPING</t>
        </is>
      </c>
      <c r="I246" t="n">
        <v>2.1</v>
      </c>
      <c r="J246" t="n">
        <v>0</v>
      </c>
      <c r="K246" t="n">
        <v>0</v>
      </c>
      <c r="L246" t="n">
        <v>0</v>
      </c>
      <c r="M246" t="n">
        <v>0</v>
      </c>
      <c r="N246" t="n">
        <v>0</v>
      </c>
      <c r="O246" t="n">
        <v>0</v>
      </c>
      <c r="P246" t="n">
        <v>0</v>
      </c>
      <c r="Q246" t="n">
        <v>0</v>
      </c>
      <c r="R246" t="n">
        <v>0</v>
      </c>
      <c r="S246" t="n">
        <v>0</v>
      </c>
      <c r="T246" t="n">
        <v>0</v>
      </c>
      <c r="U246" s="2" t="inlineStr"/>
    </row>
    <row r="247" ht="15" customHeight="1">
      <c r="A247" t="inlineStr">
        <is>
          <t>A 13049-2025</t>
        </is>
      </c>
      <c r="B247" t="inlineStr">
        <is>
          <t>avverkningsanmälan</t>
        </is>
      </c>
      <c r="C247" t="inlineStr">
        <is>
          <t>Föryngringsavverkning</t>
        </is>
      </c>
      <c r="D247" s="1" t="n">
        <v>45734</v>
      </c>
      <c r="E247" s="1" t="n">
        <v>46218</v>
      </c>
      <c r="F247" t="inlineStr">
        <is>
          <t>VÄSTMANLANDS LÄN</t>
        </is>
      </c>
      <c r="G247" t="inlineStr">
        <is>
          <t>KÖPING</t>
        </is>
      </c>
      <c r="H247" t="inlineStr">
        <is>
          <t>Sveaskog</t>
        </is>
      </c>
      <c r="I247" t="n">
        <v>1.4</v>
      </c>
      <c r="J247" t="n">
        <v>0</v>
      </c>
      <c r="K247" t="n">
        <v>0</v>
      </c>
      <c r="L247" t="n">
        <v>0</v>
      </c>
      <c r="M247" t="n">
        <v>0</v>
      </c>
      <c r="N247" t="n">
        <v>0</v>
      </c>
      <c r="O247" t="n">
        <v>0</v>
      </c>
      <c r="P247" t="n">
        <v>0</v>
      </c>
      <c r="Q247" t="n">
        <v>0</v>
      </c>
      <c r="R247" t="n">
        <v>0</v>
      </c>
      <c r="S247" t="n">
        <v>0</v>
      </c>
      <c r="T247" t="n">
        <v>0</v>
      </c>
      <c r="U247" s="2" t="inlineStr"/>
    </row>
    <row r="248" ht="15" customHeight="1">
      <c r="A248" t="inlineStr">
        <is>
          <t>A 19593-2025</t>
        </is>
      </c>
      <c r="B248" t="inlineStr">
        <is>
          <t>avverkningsanmälan</t>
        </is>
      </c>
      <c r="C248" t="inlineStr">
        <is>
          <t>Föryngringsavverkning</t>
        </is>
      </c>
      <c r="D248" s="1" t="n">
        <v>45770</v>
      </c>
      <c r="E248" s="1" t="n">
        <v>46218</v>
      </c>
      <c r="F248" t="inlineStr">
        <is>
          <t>VÄSTMANLANDS LÄN</t>
        </is>
      </c>
      <c r="G248" t="inlineStr">
        <is>
          <t>KÖPING</t>
        </is>
      </c>
      <c r="I248" t="n">
        <v>2.2</v>
      </c>
      <c r="J248" t="n">
        <v>0</v>
      </c>
      <c r="K248" t="n">
        <v>0</v>
      </c>
      <c r="L248" t="n">
        <v>0</v>
      </c>
      <c r="M248" t="n">
        <v>0</v>
      </c>
      <c r="N248" t="n">
        <v>0</v>
      </c>
      <c r="O248" t="n">
        <v>0</v>
      </c>
      <c r="P248" t="n">
        <v>0</v>
      </c>
      <c r="Q248" t="n">
        <v>0</v>
      </c>
      <c r="R248" t="n">
        <v>0</v>
      </c>
      <c r="S248" t="n">
        <v>0</v>
      </c>
      <c r="T248" t="n">
        <v>0</v>
      </c>
      <c r="U248" s="2" t="inlineStr"/>
    </row>
    <row r="249" ht="15" customHeight="1">
      <c r="A249" t="inlineStr">
        <is>
          <t>A 15551-2024</t>
        </is>
      </c>
      <c r="B249" t="inlineStr">
        <is>
          <t>avverkningsanmälan</t>
        </is>
      </c>
      <c r="C249" t="inlineStr">
        <is>
          <t>Föryngringsavverkning</t>
        </is>
      </c>
      <c r="D249" s="1" t="n">
        <v>45401</v>
      </c>
      <c r="E249" s="1" t="n">
        <v>46218</v>
      </c>
      <c r="F249" t="inlineStr">
        <is>
          <t>VÄSTMANLANDS LÄN</t>
        </is>
      </c>
      <c r="G249" t="inlineStr">
        <is>
          <t>KÖPING</t>
        </is>
      </c>
      <c r="H249" t="inlineStr">
        <is>
          <t>Sveaskog</t>
        </is>
      </c>
      <c r="I249" t="n">
        <v>3.1</v>
      </c>
      <c r="J249" t="n">
        <v>0</v>
      </c>
      <c r="K249" t="n">
        <v>0</v>
      </c>
      <c r="L249" t="n">
        <v>0</v>
      </c>
      <c r="M249" t="n">
        <v>0</v>
      </c>
      <c r="N249" t="n">
        <v>0</v>
      </c>
      <c r="O249" t="n">
        <v>0</v>
      </c>
      <c r="P249" t="n">
        <v>0</v>
      </c>
      <c r="Q249" t="n">
        <v>0</v>
      </c>
      <c r="R249" t="n">
        <v>0</v>
      </c>
      <c r="S249" t="n">
        <v>0</v>
      </c>
      <c r="T249" t="n">
        <v>0</v>
      </c>
      <c r="U249" s="2" t="inlineStr"/>
    </row>
    <row r="250" ht="15" customHeight="1">
      <c r="A250" t="inlineStr">
        <is>
          <t>A 21157-2025</t>
        </is>
      </c>
      <c r="B250" t="inlineStr">
        <is>
          <t>avverkningsanmälan</t>
        </is>
      </c>
      <c r="C250" t="inlineStr">
        <is>
          <t>Föryngringsavverkning</t>
        </is>
      </c>
      <c r="D250" s="1" t="n">
        <v>45779</v>
      </c>
      <c r="E250" s="1" t="n">
        <v>46218</v>
      </c>
      <c r="F250" t="inlineStr">
        <is>
          <t>VÄSTMANLANDS LÄN</t>
        </is>
      </c>
      <c r="G250" t="inlineStr">
        <is>
          <t>KÖPING</t>
        </is>
      </c>
      <c r="I250" t="n">
        <v>3</v>
      </c>
      <c r="J250" t="n">
        <v>0</v>
      </c>
      <c r="K250" t="n">
        <v>0</v>
      </c>
      <c r="L250" t="n">
        <v>0</v>
      </c>
      <c r="M250" t="n">
        <v>0</v>
      </c>
      <c r="N250" t="n">
        <v>0</v>
      </c>
      <c r="O250" t="n">
        <v>0</v>
      </c>
      <c r="P250" t="n">
        <v>0</v>
      </c>
      <c r="Q250" t="n">
        <v>0</v>
      </c>
      <c r="R250" t="n">
        <v>0</v>
      </c>
      <c r="S250" t="n">
        <v>0</v>
      </c>
      <c r="T250" t="n">
        <v>0</v>
      </c>
      <c r="U250" s="2" t="inlineStr"/>
    </row>
    <row r="251" ht="15" customHeight="1">
      <c r="A251" t="inlineStr">
        <is>
          <t>A 53996-2021</t>
        </is>
      </c>
      <c r="B251" t="inlineStr">
        <is>
          <t>avverkningsanmälan</t>
        </is>
      </c>
      <c r="C251" t="inlineStr">
        <is>
          <t>Föryngringsavverkning</t>
        </is>
      </c>
      <c r="D251" s="1" t="n">
        <v>44470</v>
      </c>
      <c r="E251" s="1" t="n">
        <v>46218</v>
      </c>
      <c r="F251" t="inlineStr">
        <is>
          <t>VÄSTMANLANDS LÄN</t>
        </is>
      </c>
      <c r="G251" t="inlineStr">
        <is>
          <t>KÖPING</t>
        </is>
      </c>
      <c r="I251" t="n">
        <v>2</v>
      </c>
      <c r="J251" t="n">
        <v>0</v>
      </c>
      <c r="K251" t="n">
        <v>0</v>
      </c>
      <c r="L251" t="n">
        <v>0</v>
      </c>
      <c r="M251" t="n">
        <v>0</v>
      </c>
      <c r="N251" t="n">
        <v>0</v>
      </c>
      <c r="O251" t="n">
        <v>0</v>
      </c>
      <c r="P251" t="n">
        <v>0</v>
      </c>
      <c r="Q251" t="n">
        <v>0</v>
      </c>
      <c r="R251" t="n">
        <v>0</v>
      </c>
      <c r="S251" t="n">
        <v>0</v>
      </c>
      <c r="T251" t="n">
        <v>0</v>
      </c>
      <c r="U251" s="2" t="inlineStr"/>
    </row>
    <row r="252" ht="15" customHeight="1">
      <c r="A252" t="inlineStr">
        <is>
          <t>A 38852-2025</t>
        </is>
      </c>
      <c r="B252" t="inlineStr">
        <is>
          <t>avverkningsanmälan</t>
        </is>
      </c>
      <c r="C252" t="inlineStr">
        <is>
          <t>Föryngringsavverkning</t>
        </is>
      </c>
      <c r="D252" s="1" t="n">
        <v>45887</v>
      </c>
      <c r="E252" s="1" t="n">
        <v>46218</v>
      </c>
      <c r="F252" t="inlineStr">
        <is>
          <t>VÄSTMANLANDS LÄN</t>
        </is>
      </c>
      <c r="G252" t="inlineStr">
        <is>
          <t>KÖPING</t>
        </is>
      </c>
      <c r="H252" t="inlineStr">
        <is>
          <t>Sveaskog</t>
        </is>
      </c>
      <c r="I252" t="n">
        <v>1.1</v>
      </c>
      <c r="J252" t="n">
        <v>0</v>
      </c>
      <c r="K252" t="n">
        <v>0</v>
      </c>
      <c r="L252" t="n">
        <v>0</v>
      </c>
      <c r="M252" t="n">
        <v>0</v>
      </c>
      <c r="N252" t="n">
        <v>0</v>
      </c>
      <c r="O252" t="n">
        <v>0</v>
      </c>
      <c r="P252" t="n">
        <v>0</v>
      </c>
      <c r="Q252" t="n">
        <v>0</v>
      </c>
      <c r="R252" t="n">
        <v>0</v>
      </c>
      <c r="S252" t="n">
        <v>0</v>
      </c>
      <c r="T252" t="n">
        <v>0</v>
      </c>
      <c r="U252" s="2" t="inlineStr"/>
    </row>
    <row r="253" ht="15" customHeight="1">
      <c r="A253" t="inlineStr">
        <is>
          <t>A 25820-2026</t>
        </is>
      </c>
      <c r="B253" t="inlineStr">
        <is>
          <t>avverkningsanmälan</t>
        </is>
      </c>
      <c r="C253" t="inlineStr">
        <is>
          <t>Föryngringsavverkning</t>
        </is>
      </c>
      <c r="D253" s="1" t="n">
        <v>46178</v>
      </c>
      <c r="E253" s="1" t="n">
        <v>46218</v>
      </c>
      <c r="F253" t="inlineStr">
        <is>
          <t>VÄSTMANLANDS LÄN</t>
        </is>
      </c>
      <c r="G253" t="inlineStr">
        <is>
          <t>KÖPING</t>
        </is>
      </c>
      <c r="I253" t="n">
        <v>3.8</v>
      </c>
      <c r="J253" t="n">
        <v>0</v>
      </c>
      <c r="K253" t="n">
        <v>0</v>
      </c>
      <c r="L253" t="n">
        <v>0</v>
      </c>
      <c r="M253" t="n">
        <v>0</v>
      </c>
      <c r="N253" t="n">
        <v>0</v>
      </c>
      <c r="O253" t="n">
        <v>0</v>
      </c>
      <c r="P253" t="n">
        <v>0</v>
      </c>
      <c r="Q253" t="n">
        <v>0</v>
      </c>
      <c r="R253" t="n">
        <v>0</v>
      </c>
      <c r="S253" t="n">
        <v>0</v>
      </c>
      <c r="T253" t="n">
        <v>0</v>
      </c>
      <c r="U253" s="2" t="inlineStr"/>
    </row>
    <row r="254" ht="15" customHeight="1">
      <c r="A254" t="inlineStr">
        <is>
          <t>A 30139-2025</t>
        </is>
      </c>
      <c r="B254" t="inlineStr">
        <is>
          <t>avverkningsanmälan</t>
        </is>
      </c>
      <c r="C254" t="inlineStr">
        <is>
          <t>Föryngringsavverkning</t>
        </is>
      </c>
      <c r="D254" s="1" t="n">
        <v>45826</v>
      </c>
      <c r="E254" s="1" t="n">
        <v>46218</v>
      </c>
      <c r="F254" t="inlineStr">
        <is>
          <t>VÄSTMANLANDS LÄN</t>
        </is>
      </c>
      <c r="G254" t="inlineStr">
        <is>
          <t>KÖPING</t>
        </is>
      </c>
      <c r="I254" t="n">
        <v>1.7</v>
      </c>
      <c r="J254" t="n">
        <v>0</v>
      </c>
      <c r="K254" t="n">
        <v>0</v>
      </c>
      <c r="L254" t="n">
        <v>0</v>
      </c>
      <c r="M254" t="n">
        <v>0</v>
      </c>
      <c r="N254" t="n">
        <v>0</v>
      </c>
      <c r="O254" t="n">
        <v>0</v>
      </c>
      <c r="P254" t="n">
        <v>0</v>
      </c>
      <c r="Q254" t="n">
        <v>0</v>
      </c>
      <c r="R254" t="n">
        <v>0</v>
      </c>
      <c r="S254" t="n">
        <v>0</v>
      </c>
      <c r="T254" t="n">
        <v>0</v>
      </c>
      <c r="U254" s="2" t="inlineStr"/>
    </row>
    <row r="255" ht="15" customHeight="1">
      <c r="A255" t="inlineStr">
        <is>
          <t>A 26327-2026</t>
        </is>
      </c>
      <c r="B255" t="inlineStr">
        <is>
          <t>avverkningsanmälan</t>
        </is>
      </c>
      <c r="C255" t="inlineStr">
        <is>
          <t>Föryngringsavverkning</t>
        </is>
      </c>
      <c r="D255" s="1" t="n">
        <v>46182</v>
      </c>
      <c r="E255" s="1" t="n">
        <v>46218</v>
      </c>
      <c r="F255" t="inlineStr">
        <is>
          <t>VÄSTMANLANDS LÄN</t>
        </is>
      </c>
      <c r="G255" t="inlineStr">
        <is>
          <t>KÖPING</t>
        </is>
      </c>
      <c r="H255" t="inlineStr">
        <is>
          <t>Sveaskog</t>
        </is>
      </c>
      <c r="I255" t="n">
        <v>2.3</v>
      </c>
      <c r="J255" t="n">
        <v>0</v>
      </c>
      <c r="K255" t="n">
        <v>0</v>
      </c>
      <c r="L255" t="n">
        <v>0</v>
      </c>
      <c r="M255" t="n">
        <v>0</v>
      </c>
      <c r="N255" t="n">
        <v>0</v>
      </c>
      <c r="O255" t="n">
        <v>0</v>
      </c>
      <c r="P255" t="n">
        <v>0</v>
      </c>
      <c r="Q255" t="n">
        <v>0</v>
      </c>
      <c r="R255" t="n">
        <v>0</v>
      </c>
      <c r="S255" t="n">
        <v>0</v>
      </c>
      <c r="T255" t="n">
        <v>0</v>
      </c>
      <c r="U255" s="2" t="inlineStr"/>
    </row>
    <row r="256" ht="15" customHeight="1">
      <c r="A256" t="inlineStr">
        <is>
          <t>A 26328-2026</t>
        </is>
      </c>
      <c r="B256" t="inlineStr">
        <is>
          <t>avverkningsanmälan</t>
        </is>
      </c>
      <c r="C256" t="inlineStr">
        <is>
          <t>Föryngringsavverkning</t>
        </is>
      </c>
      <c r="D256" s="1" t="n">
        <v>46182</v>
      </c>
      <c r="E256" s="1" t="n">
        <v>46218</v>
      </c>
      <c r="F256" t="inlineStr">
        <is>
          <t>VÄSTMANLANDS LÄN</t>
        </is>
      </c>
      <c r="G256" t="inlineStr">
        <is>
          <t>KÖPING</t>
        </is>
      </c>
      <c r="H256" t="inlineStr">
        <is>
          <t>Sveaskog</t>
        </is>
      </c>
      <c r="I256" t="n">
        <v>2.4</v>
      </c>
      <c r="J256" t="n">
        <v>0</v>
      </c>
      <c r="K256" t="n">
        <v>0</v>
      </c>
      <c r="L256" t="n">
        <v>0</v>
      </c>
      <c r="M256" t="n">
        <v>0</v>
      </c>
      <c r="N256" t="n">
        <v>0</v>
      </c>
      <c r="O256" t="n">
        <v>0</v>
      </c>
      <c r="P256" t="n">
        <v>0</v>
      </c>
      <c r="Q256" t="n">
        <v>0</v>
      </c>
      <c r="R256" t="n">
        <v>0</v>
      </c>
      <c r="S256" t="n">
        <v>0</v>
      </c>
      <c r="T256" t="n">
        <v>0</v>
      </c>
      <c r="U256" s="2" t="inlineStr"/>
    </row>
    <row r="257" ht="15" customHeight="1">
      <c r="A257" t="inlineStr">
        <is>
          <t>A 50045-2021</t>
        </is>
      </c>
      <c r="B257" t="inlineStr">
        <is>
          <t>avverkningsanmälan</t>
        </is>
      </c>
      <c r="C257" t="inlineStr">
        <is>
          <t>Föryngringsavverkning</t>
        </is>
      </c>
      <c r="D257" s="1" t="n">
        <v>44456</v>
      </c>
      <c r="E257" s="1" t="n">
        <v>46218</v>
      </c>
      <c r="F257" t="inlineStr">
        <is>
          <t>VÄSTMANLANDS LÄN</t>
        </is>
      </c>
      <c r="G257" t="inlineStr">
        <is>
          <t>KÖPING</t>
        </is>
      </c>
      <c r="H257" t="inlineStr">
        <is>
          <t>Allmännings- och besparingsskogar</t>
        </is>
      </c>
      <c r="I257" t="n">
        <v>4.1</v>
      </c>
      <c r="J257" t="n">
        <v>0</v>
      </c>
      <c r="K257" t="n">
        <v>0</v>
      </c>
      <c r="L257" t="n">
        <v>0</v>
      </c>
      <c r="M257" t="n">
        <v>0</v>
      </c>
      <c r="N257" t="n">
        <v>0</v>
      </c>
      <c r="O257" t="n">
        <v>0</v>
      </c>
      <c r="P257" t="n">
        <v>0</v>
      </c>
      <c r="Q257" t="n">
        <v>0</v>
      </c>
      <c r="R257" t="n">
        <v>0</v>
      </c>
      <c r="S257" t="n">
        <v>0</v>
      </c>
      <c r="T257" t="n">
        <v>0</v>
      </c>
      <c r="U257" s="2" t="inlineStr"/>
    </row>
    <row r="258" ht="15" customHeight="1">
      <c r="A258" t="inlineStr">
        <is>
          <t>A 20713-2026</t>
        </is>
      </c>
      <c r="B258" t="inlineStr">
        <is>
          <t>avverkningsanmälan</t>
        </is>
      </c>
      <c r="C258" t="inlineStr">
        <is>
          <t>Föryngringsavverkning</t>
        </is>
      </c>
      <c r="D258" s="1" t="n">
        <v>46141</v>
      </c>
      <c r="E258" s="1" t="n">
        <v>46218</v>
      </c>
      <c r="F258" t="inlineStr">
        <is>
          <t>VÄSTMANLANDS LÄN</t>
        </is>
      </c>
      <c r="G258" t="inlineStr">
        <is>
          <t>KÖPING</t>
        </is>
      </c>
      <c r="I258" t="n">
        <v>2.4</v>
      </c>
      <c r="J258" t="n">
        <v>0</v>
      </c>
      <c r="K258" t="n">
        <v>0</v>
      </c>
      <c r="L258" t="n">
        <v>0</v>
      </c>
      <c r="M258" t="n">
        <v>0</v>
      </c>
      <c r="N258" t="n">
        <v>0</v>
      </c>
      <c r="O258" t="n">
        <v>0</v>
      </c>
      <c r="P258" t="n">
        <v>0</v>
      </c>
      <c r="Q258" t="n">
        <v>0</v>
      </c>
      <c r="R258" t="n">
        <v>0</v>
      </c>
      <c r="S258" t="n">
        <v>0</v>
      </c>
      <c r="T258" t="n">
        <v>0</v>
      </c>
      <c r="U258" s="2" t="inlineStr"/>
    </row>
    <row r="259" ht="15" customHeight="1">
      <c r="A259" t="inlineStr">
        <is>
          <t>A 36726-2025</t>
        </is>
      </c>
      <c r="B259" t="inlineStr">
        <is>
          <t>avverkningsanmälan</t>
        </is>
      </c>
      <c r="C259" t="inlineStr">
        <is>
          <t>Föryngringsavverkning</t>
        </is>
      </c>
      <c r="D259" s="1" t="n">
        <v>45873</v>
      </c>
      <c r="E259" s="1" t="n">
        <v>46218</v>
      </c>
      <c r="F259" t="inlineStr">
        <is>
          <t>VÄSTMANLANDS LÄN</t>
        </is>
      </c>
      <c r="G259" t="inlineStr">
        <is>
          <t>KÖPING</t>
        </is>
      </c>
      <c r="I259" t="n">
        <v>8.5</v>
      </c>
      <c r="J259" t="n">
        <v>0</v>
      </c>
      <c r="K259" t="n">
        <v>0</v>
      </c>
      <c r="L259" t="n">
        <v>0</v>
      </c>
      <c r="M259" t="n">
        <v>0</v>
      </c>
      <c r="N259" t="n">
        <v>0</v>
      </c>
      <c r="O259" t="n">
        <v>0</v>
      </c>
      <c r="P259" t="n">
        <v>0</v>
      </c>
      <c r="Q259" t="n">
        <v>0</v>
      </c>
      <c r="R259" t="n">
        <v>0</v>
      </c>
      <c r="S259" t="n">
        <v>0</v>
      </c>
      <c r="T259" t="n">
        <v>0</v>
      </c>
      <c r="U259" s="2" t="inlineStr"/>
    </row>
    <row r="260" ht="15" customHeight="1">
      <c r="A260" t="inlineStr">
        <is>
          <t>A 26332-2026</t>
        </is>
      </c>
      <c r="B260" t="inlineStr">
        <is>
          <t>avverkningsanmälan</t>
        </is>
      </c>
      <c r="C260" t="inlineStr">
        <is>
          <t>Föryngringsavverkning</t>
        </is>
      </c>
      <c r="D260" s="1" t="n">
        <v>46182</v>
      </c>
      <c r="E260" s="1" t="n">
        <v>46218</v>
      </c>
      <c r="F260" t="inlineStr">
        <is>
          <t>VÄSTMANLANDS LÄN</t>
        </is>
      </c>
      <c r="G260" t="inlineStr">
        <is>
          <t>KÖPING</t>
        </is>
      </c>
      <c r="H260" t="inlineStr">
        <is>
          <t>Sveaskog</t>
        </is>
      </c>
      <c r="I260" t="n">
        <v>2.1</v>
      </c>
      <c r="J260" t="n">
        <v>0</v>
      </c>
      <c r="K260" t="n">
        <v>0</v>
      </c>
      <c r="L260" t="n">
        <v>0</v>
      </c>
      <c r="M260" t="n">
        <v>0</v>
      </c>
      <c r="N260" t="n">
        <v>0</v>
      </c>
      <c r="O260" t="n">
        <v>0</v>
      </c>
      <c r="P260" t="n">
        <v>0</v>
      </c>
      <c r="Q260" t="n">
        <v>0</v>
      </c>
      <c r="R260" t="n">
        <v>0</v>
      </c>
      <c r="S260" t="n">
        <v>0</v>
      </c>
      <c r="T260" t="n">
        <v>0</v>
      </c>
      <c r="U260" s="2" t="inlineStr"/>
    </row>
    <row r="261" ht="15" customHeight="1">
      <c r="A261" t="inlineStr">
        <is>
          <t>A 25662-2024</t>
        </is>
      </c>
      <c r="B261" t="inlineStr">
        <is>
          <t>avverkningsanmälan</t>
        </is>
      </c>
      <c r="C261" t="inlineStr">
        <is>
          <t>Föryngringsavverkning</t>
        </is>
      </c>
      <c r="D261" s="1" t="n">
        <v>45463</v>
      </c>
      <c r="E261" s="1" t="n">
        <v>46218</v>
      </c>
      <c r="F261" t="inlineStr">
        <is>
          <t>VÄSTMANLANDS LÄN</t>
        </is>
      </c>
      <c r="G261" t="inlineStr">
        <is>
          <t>KÖPING</t>
        </is>
      </c>
      <c r="I261" t="n">
        <v>1.8</v>
      </c>
      <c r="J261" t="n">
        <v>0</v>
      </c>
      <c r="K261" t="n">
        <v>0</v>
      </c>
      <c r="L261" t="n">
        <v>0</v>
      </c>
      <c r="M261" t="n">
        <v>0</v>
      </c>
      <c r="N261" t="n">
        <v>0</v>
      </c>
      <c r="O261" t="n">
        <v>0</v>
      </c>
      <c r="P261" t="n">
        <v>0</v>
      </c>
      <c r="Q261" t="n">
        <v>0</v>
      </c>
      <c r="R261" t="n">
        <v>0</v>
      </c>
      <c r="S261" t="n">
        <v>0</v>
      </c>
      <c r="T261" t="n">
        <v>0</v>
      </c>
      <c r="U261" s="2" t="inlineStr"/>
    </row>
    <row r="262" ht="15" customHeight="1">
      <c r="A262" t="inlineStr">
        <is>
          <t>A 36476-2024</t>
        </is>
      </c>
      <c r="B262" t="inlineStr">
        <is>
          <t>avverkningsanmälan</t>
        </is>
      </c>
      <c r="C262" t="inlineStr">
        <is>
          <t>Föryngringsavverkning</t>
        </is>
      </c>
      <c r="D262" s="1" t="n">
        <v>45537</v>
      </c>
      <c r="E262" s="1" t="n">
        <v>46218</v>
      </c>
      <c r="F262" t="inlineStr">
        <is>
          <t>VÄSTMANLANDS LÄN</t>
        </is>
      </c>
      <c r="G262" t="inlineStr">
        <is>
          <t>KÖPING</t>
        </is>
      </c>
      <c r="I262" t="n">
        <v>3.4</v>
      </c>
      <c r="J262" t="n">
        <v>0</v>
      </c>
      <c r="K262" t="n">
        <v>0</v>
      </c>
      <c r="L262" t="n">
        <v>0</v>
      </c>
      <c r="M262" t="n">
        <v>0</v>
      </c>
      <c r="N262" t="n">
        <v>0</v>
      </c>
      <c r="O262" t="n">
        <v>0</v>
      </c>
      <c r="P262" t="n">
        <v>0</v>
      </c>
      <c r="Q262" t="n">
        <v>0</v>
      </c>
      <c r="R262" t="n">
        <v>0</v>
      </c>
      <c r="S262" t="n">
        <v>0</v>
      </c>
      <c r="T262" t="n">
        <v>0</v>
      </c>
      <c r="U262" s="2" t="inlineStr"/>
    </row>
    <row r="263" ht="15" customHeight="1">
      <c r="A263" t="inlineStr">
        <is>
          <t>A 29317-2022</t>
        </is>
      </c>
      <c r="B263" t="inlineStr">
        <is>
          <t>avverkningsanmälan</t>
        </is>
      </c>
      <c r="C263" t="inlineStr">
        <is>
          <t>Föryngringsavverkning</t>
        </is>
      </c>
      <c r="D263" s="1" t="n">
        <v>44751</v>
      </c>
      <c r="E263" s="1" t="n">
        <v>46218</v>
      </c>
      <c r="F263" t="inlineStr">
        <is>
          <t>VÄSTMANLANDS LÄN</t>
        </is>
      </c>
      <c r="G263" t="inlineStr">
        <is>
          <t>KÖPING</t>
        </is>
      </c>
      <c r="I263" t="n">
        <v>2.1</v>
      </c>
      <c r="J263" t="n">
        <v>0</v>
      </c>
      <c r="K263" t="n">
        <v>0</v>
      </c>
      <c r="L263" t="n">
        <v>0</v>
      </c>
      <c r="M263" t="n">
        <v>0</v>
      </c>
      <c r="N263" t="n">
        <v>0</v>
      </c>
      <c r="O263" t="n">
        <v>0</v>
      </c>
      <c r="P263" t="n">
        <v>0</v>
      </c>
      <c r="Q263" t="n">
        <v>0</v>
      </c>
      <c r="R263" t="n">
        <v>0</v>
      </c>
      <c r="S263" t="n">
        <v>0</v>
      </c>
      <c r="T263" t="n">
        <v>0</v>
      </c>
      <c r="U263" s="2" t="inlineStr"/>
    </row>
    <row r="264" ht="15" customHeight="1">
      <c r="A264" t="inlineStr">
        <is>
          <t>A 38844-2024</t>
        </is>
      </c>
      <c r="B264" t="inlineStr">
        <is>
          <t>avverkningsanmälan</t>
        </is>
      </c>
      <c r="C264" t="inlineStr">
        <is>
          <t>Avverkning för annat ändamål</t>
        </is>
      </c>
      <c r="D264" s="1" t="n">
        <v>45547</v>
      </c>
      <c r="E264" s="1" t="n">
        <v>46218</v>
      </c>
      <c r="F264" t="inlineStr">
        <is>
          <t>VÄSTMANLANDS LÄN</t>
        </is>
      </c>
      <c r="G264" t="inlineStr">
        <is>
          <t>KÖPING</t>
        </is>
      </c>
      <c r="I264" t="n">
        <v>0.9</v>
      </c>
      <c r="J264" t="n">
        <v>0</v>
      </c>
      <c r="K264" t="n">
        <v>0</v>
      </c>
      <c r="L264" t="n">
        <v>0</v>
      </c>
      <c r="M264" t="n">
        <v>0</v>
      </c>
      <c r="N264" t="n">
        <v>0</v>
      </c>
      <c r="O264" t="n">
        <v>0</v>
      </c>
      <c r="P264" t="n">
        <v>0</v>
      </c>
      <c r="Q264" t="n">
        <v>0</v>
      </c>
      <c r="R264" t="n">
        <v>0</v>
      </c>
      <c r="S264" t="n">
        <v>0</v>
      </c>
      <c r="T264" t="n">
        <v>0</v>
      </c>
      <c r="U264" s="2" t="inlineStr"/>
    </row>
    <row r="265" ht="15" customHeight="1">
      <c r="A265" t="inlineStr">
        <is>
          <t>A 60963-2025</t>
        </is>
      </c>
      <c r="B265" t="inlineStr">
        <is>
          <t>avverkningsanmälan</t>
        </is>
      </c>
      <c r="C265" t="inlineStr">
        <is>
          <t>Föryngringsavverkning</t>
        </is>
      </c>
      <c r="D265" s="1" t="n">
        <v>45999</v>
      </c>
      <c r="E265" s="1" t="n">
        <v>46218</v>
      </c>
      <c r="F265" t="inlineStr">
        <is>
          <t>VÄSTMANLANDS LÄN</t>
        </is>
      </c>
      <c r="G265" t="inlineStr">
        <is>
          <t>KÖPING</t>
        </is>
      </c>
      <c r="I265" t="n">
        <v>2.6</v>
      </c>
      <c r="J265" t="n">
        <v>0</v>
      </c>
      <c r="K265" t="n">
        <v>0</v>
      </c>
      <c r="L265" t="n">
        <v>0</v>
      </c>
      <c r="M265" t="n">
        <v>0</v>
      </c>
      <c r="N265" t="n">
        <v>0</v>
      </c>
      <c r="O265" t="n">
        <v>0</v>
      </c>
      <c r="P265" t="n">
        <v>0</v>
      </c>
      <c r="Q265" t="n">
        <v>0</v>
      </c>
      <c r="R265" t="n">
        <v>0</v>
      </c>
      <c r="S265" t="n">
        <v>0</v>
      </c>
      <c r="T265" t="n">
        <v>0</v>
      </c>
      <c r="U265" s="2" t="inlineStr"/>
    </row>
    <row r="266" ht="15" customHeight="1">
      <c r="A266" t="inlineStr">
        <is>
          <t>A 60830-2025</t>
        </is>
      </c>
      <c r="B266" t="inlineStr">
        <is>
          <t>avverkningsanmälan</t>
        </is>
      </c>
      <c r="C266" t="inlineStr">
        <is>
          <t>Föryngringsavverkning</t>
        </is>
      </c>
      <c r="D266" s="1" t="n">
        <v>45999</v>
      </c>
      <c r="E266" s="1" t="n">
        <v>46218</v>
      </c>
      <c r="F266" t="inlineStr">
        <is>
          <t>VÄSTMANLANDS LÄN</t>
        </is>
      </c>
      <c r="G266" t="inlineStr">
        <is>
          <t>KÖPING</t>
        </is>
      </c>
      <c r="I266" t="n">
        <v>2.1</v>
      </c>
      <c r="J266" t="n">
        <v>0</v>
      </c>
      <c r="K266" t="n">
        <v>0</v>
      </c>
      <c r="L266" t="n">
        <v>0</v>
      </c>
      <c r="M266" t="n">
        <v>0</v>
      </c>
      <c r="N266" t="n">
        <v>0</v>
      </c>
      <c r="O266" t="n">
        <v>0</v>
      </c>
      <c r="P266" t="n">
        <v>0</v>
      </c>
      <c r="Q266" t="n">
        <v>0</v>
      </c>
      <c r="R266" t="n">
        <v>0</v>
      </c>
      <c r="S266" t="n">
        <v>0</v>
      </c>
      <c r="T266" t="n">
        <v>0</v>
      </c>
      <c r="U266" s="2" t="inlineStr"/>
    </row>
    <row r="267" ht="15" customHeight="1">
      <c r="A267" t="inlineStr">
        <is>
          <t>A 199-2025</t>
        </is>
      </c>
      <c r="B267" t="inlineStr">
        <is>
          <t>avverkningsanmälan</t>
        </is>
      </c>
      <c r="C267" t="inlineStr">
        <is>
          <t>Föryngringsavverkning</t>
        </is>
      </c>
      <c r="D267" s="1" t="n">
        <v>45659</v>
      </c>
      <c r="E267" s="1" t="n">
        <v>46218</v>
      </c>
      <c r="F267" t="inlineStr">
        <is>
          <t>VÄSTMANLANDS LÄN</t>
        </is>
      </c>
      <c r="G267" t="inlineStr">
        <is>
          <t>KÖPING</t>
        </is>
      </c>
      <c r="I267" t="n">
        <v>2.7</v>
      </c>
      <c r="J267" t="n">
        <v>0</v>
      </c>
      <c r="K267" t="n">
        <v>0</v>
      </c>
      <c r="L267" t="n">
        <v>0</v>
      </c>
      <c r="M267" t="n">
        <v>0</v>
      </c>
      <c r="N267" t="n">
        <v>0</v>
      </c>
      <c r="O267" t="n">
        <v>0</v>
      </c>
      <c r="P267" t="n">
        <v>0</v>
      </c>
      <c r="Q267" t="n">
        <v>0</v>
      </c>
      <c r="R267" t="n">
        <v>0</v>
      </c>
      <c r="S267" t="n">
        <v>0</v>
      </c>
      <c r="T267" t="n">
        <v>0</v>
      </c>
      <c r="U267" s="2" t="inlineStr"/>
    </row>
    <row r="268" ht="15" customHeight="1">
      <c r="A268" t="inlineStr">
        <is>
          <t>A 72463-2021</t>
        </is>
      </c>
      <c r="B268" t="inlineStr">
        <is>
          <t>avverkningsanmälan</t>
        </is>
      </c>
      <c r="C268" t="inlineStr">
        <is>
          <t>Föryngringsavverkning</t>
        </is>
      </c>
      <c r="D268" s="1" t="n">
        <v>44545</v>
      </c>
      <c r="E268" s="1" t="n">
        <v>46218</v>
      </c>
      <c r="F268" t="inlineStr">
        <is>
          <t>VÄSTMANLANDS LÄN</t>
        </is>
      </c>
      <c r="G268" t="inlineStr">
        <is>
          <t>KÖPING</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54867-2024</t>
        </is>
      </c>
      <c r="B269" t="inlineStr">
        <is>
          <t>avverkningsanmälan</t>
        </is>
      </c>
      <c r="C269" t="inlineStr">
        <is>
          <t>Föryngringsavverkning</t>
        </is>
      </c>
      <c r="D269" s="1" t="n">
        <v>45618</v>
      </c>
      <c r="E269" s="1" t="n">
        <v>46218</v>
      </c>
      <c r="F269" t="inlineStr">
        <is>
          <t>VÄSTMANLANDS LÄN</t>
        </is>
      </c>
      <c r="G269" t="inlineStr">
        <is>
          <t>KÖPING</t>
        </is>
      </c>
      <c r="H269" t="inlineStr">
        <is>
          <t>Sveaskog</t>
        </is>
      </c>
      <c r="I269" t="n">
        <v>11.1</v>
      </c>
      <c r="J269" t="n">
        <v>0</v>
      </c>
      <c r="K269" t="n">
        <v>0</v>
      </c>
      <c r="L269" t="n">
        <v>0</v>
      </c>
      <c r="M269" t="n">
        <v>0</v>
      </c>
      <c r="N269" t="n">
        <v>0</v>
      </c>
      <c r="O269" t="n">
        <v>0</v>
      </c>
      <c r="P269" t="n">
        <v>0</v>
      </c>
      <c r="Q269" t="n">
        <v>0</v>
      </c>
      <c r="R269" t="n">
        <v>0</v>
      </c>
      <c r="S269" t="n">
        <v>0</v>
      </c>
      <c r="T269" t="n">
        <v>0</v>
      </c>
      <c r="U269" s="2" t="inlineStr"/>
    </row>
    <row r="270" ht="15" customHeight="1">
      <c r="A270" t="inlineStr">
        <is>
          <t>A 45684-2024</t>
        </is>
      </c>
      <c r="B270" t="inlineStr">
        <is>
          <t>avverkningsanmälan</t>
        </is>
      </c>
      <c r="C270" t="inlineStr">
        <is>
          <t>Avverkning för annat ändamål</t>
        </is>
      </c>
      <c r="D270" s="1" t="n">
        <v>45579</v>
      </c>
      <c r="E270" s="1" t="n">
        <v>46218</v>
      </c>
      <c r="F270" t="inlineStr">
        <is>
          <t>VÄSTMANLANDS LÄN</t>
        </is>
      </c>
      <c r="G270" t="inlineStr">
        <is>
          <t>KÖPING</t>
        </is>
      </c>
      <c r="I270" t="n">
        <v>1.8</v>
      </c>
      <c r="J270" t="n">
        <v>0</v>
      </c>
      <c r="K270" t="n">
        <v>0</v>
      </c>
      <c r="L270" t="n">
        <v>0</v>
      </c>
      <c r="M270" t="n">
        <v>0</v>
      </c>
      <c r="N270" t="n">
        <v>0</v>
      </c>
      <c r="O270" t="n">
        <v>0</v>
      </c>
      <c r="P270" t="n">
        <v>0</v>
      </c>
      <c r="Q270" t="n">
        <v>0</v>
      </c>
      <c r="R270" t="n">
        <v>0</v>
      </c>
      <c r="S270" t="n">
        <v>0</v>
      </c>
      <c r="T270" t="n">
        <v>0</v>
      </c>
      <c r="U270" s="2" t="inlineStr"/>
    </row>
    <row r="271" ht="15" customHeight="1">
      <c r="A271" t="inlineStr">
        <is>
          <t>A 1812-2022</t>
        </is>
      </c>
      <c r="B271" t="inlineStr">
        <is>
          <t>avverkningsanmälan</t>
        </is>
      </c>
      <c r="C271" t="inlineStr">
        <is>
          <t>Föryngringsavverkning</t>
        </is>
      </c>
      <c r="D271" s="1" t="n">
        <v>44574</v>
      </c>
      <c r="E271" s="1" t="n">
        <v>46218</v>
      </c>
      <c r="F271" t="inlineStr">
        <is>
          <t>VÄSTMANLANDS LÄN</t>
        </is>
      </c>
      <c r="G271" t="inlineStr">
        <is>
          <t>KÖPING</t>
        </is>
      </c>
      <c r="I271" t="n">
        <v>4.4</v>
      </c>
      <c r="J271" t="n">
        <v>0</v>
      </c>
      <c r="K271" t="n">
        <v>0</v>
      </c>
      <c r="L271" t="n">
        <v>0</v>
      </c>
      <c r="M271" t="n">
        <v>0</v>
      </c>
      <c r="N271" t="n">
        <v>0</v>
      </c>
      <c r="O271" t="n">
        <v>0</v>
      </c>
      <c r="P271" t="n">
        <v>0</v>
      </c>
      <c r="Q271" t="n">
        <v>0</v>
      </c>
      <c r="R271" t="n">
        <v>0</v>
      </c>
      <c r="S271" t="n">
        <v>0</v>
      </c>
      <c r="T271" t="n">
        <v>0</v>
      </c>
      <c r="U271" s="2" t="inlineStr"/>
    </row>
    <row r="272" ht="15" customHeight="1">
      <c r="A272" t="inlineStr">
        <is>
          <t>A 32029-2024</t>
        </is>
      </c>
      <c r="B272" t="inlineStr">
        <is>
          <t>avverkningsanmälan</t>
        </is>
      </c>
      <c r="C272" t="inlineStr">
        <is>
          <t>Föryngringsavverkning</t>
        </is>
      </c>
      <c r="D272" s="1" t="n">
        <v>45510</v>
      </c>
      <c r="E272" s="1" t="n">
        <v>46218</v>
      </c>
      <c r="F272" t="inlineStr">
        <is>
          <t>VÄSTMANLANDS LÄN</t>
        </is>
      </c>
      <c r="G272" t="inlineStr">
        <is>
          <t>KÖPING</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26945-2026</t>
        </is>
      </c>
      <c r="B273" t="inlineStr">
        <is>
          <t>avverkningsanmälan</t>
        </is>
      </c>
      <c r="C273" t="inlineStr">
        <is>
          <t>Föryngringsavverkning</t>
        </is>
      </c>
      <c r="D273" s="1" t="n">
        <v>46185</v>
      </c>
      <c r="E273" s="1" t="n">
        <v>46218</v>
      </c>
      <c r="F273" t="inlineStr">
        <is>
          <t>VÄSTMANLANDS LÄN</t>
        </is>
      </c>
      <c r="G273" t="inlineStr">
        <is>
          <t>KÖPING</t>
        </is>
      </c>
      <c r="H273" t="inlineStr">
        <is>
          <t>Sveaskog</t>
        </is>
      </c>
      <c r="I273" t="n">
        <v>7.5</v>
      </c>
      <c r="J273" t="n">
        <v>0</v>
      </c>
      <c r="K273" t="n">
        <v>0</v>
      </c>
      <c r="L273" t="n">
        <v>0</v>
      </c>
      <c r="M273" t="n">
        <v>0</v>
      </c>
      <c r="N273" t="n">
        <v>0</v>
      </c>
      <c r="O273" t="n">
        <v>0</v>
      </c>
      <c r="P273" t="n">
        <v>0</v>
      </c>
      <c r="Q273" t="n">
        <v>0</v>
      </c>
      <c r="R273" t="n">
        <v>0</v>
      </c>
      <c r="S273" t="n">
        <v>0</v>
      </c>
      <c r="T273" t="n">
        <v>0</v>
      </c>
      <c r="U273" s="2" t="inlineStr"/>
    </row>
    <row r="274" ht="15" customHeight="1">
      <c r="A274" t="inlineStr">
        <is>
          <t>A 26948-2026</t>
        </is>
      </c>
      <c r="B274" t="inlineStr">
        <is>
          <t>avverkningsanmälan</t>
        </is>
      </c>
      <c r="C274" t="inlineStr">
        <is>
          <t>Föryngringsavverkning</t>
        </is>
      </c>
      <c r="D274" s="1" t="n">
        <v>46185</v>
      </c>
      <c r="E274" s="1" t="n">
        <v>46218</v>
      </c>
      <c r="F274" t="inlineStr">
        <is>
          <t>VÄSTMANLANDS LÄN</t>
        </is>
      </c>
      <c r="G274" t="inlineStr">
        <is>
          <t>KÖPING</t>
        </is>
      </c>
      <c r="H274" t="inlineStr">
        <is>
          <t>Sveaskog</t>
        </is>
      </c>
      <c r="I274" t="n">
        <v>1.6</v>
      </c>
      <c r="J274" t="n">
        <v>0</v>
      </c>
      <c r="K274" t="n">
        <v>0</v>
      </c>
      <c r="L274" t="n">
        <v>0</v>
      </c>
      <c r="M274" t="n">
        <v>0</v>
      </c>
      <c r="N274" t="n">
        <v>0</v>
      </c>
      <c r="O274" t="n">
        <v>0</v>
      </c>
      <c r="P274" t="n">
        <v>0</v>
      </c>
      <c r="Q274" t="n">
        <v>0</v>
      </c>
      <c r="R274" t="n">
        <v>0</v>
      </c>
      <c r="S274" t="n">
        <v>0</v>
      </c>
      <c r="T274" t="n">
        <v>0</v>
      </c>
      <c r="U274" s="2" t="inlineStr"/>
    </row>
    <row r="275" ht="15" customHeight="1">
      <c r="A275" t="inlineStr">
        <is>
          <t>A 44616-2023</t>
        </is>
      </c>
      <c r="B275" t="inlineStr">
        <is>
          <t>avverkningsanmälan</t>
        </is>
      </c>
      <c r="C275" t="inlineStr">
        <is>
          <t>Föryngringsavverkning</t>
        </is>
      </c>
      <c r="D275" s="1" t="n">
        <v>45189</v>
      </c>
      <c r="E275" s="1" t="n">
        <v>46218</v>
      </c>
      <c r="F275" t="inlineStr">
        <is>
          <t>VÄSTMANLANDS LÄN</t>
        </is>
      </c>
      <c r="G275" t="inlineStr">
        <is>
          <t>KÖPING</t>
        </is>
      </c>
      <c r="I275" t="n">
        <v>2</v>
      </c>
      <c r="J275" t="n">
        <v>0</v>
      </c>
      <c r="K275" t="n">
        <v>0</v>
      </c>
      <c r="L275" t="n">
        <v>0</v>
      </c>
      <c r="M275" t="n">
        <v>0</v>
      </c>
      <c r="N275" t="n">
        <v>0</v>
      </c>
      <c r="O275" t="n">
        <v>0</v>
      </c>
      <c r="P275" t="n">
        <v>0</v>
      </c>
      <c r="Q275" t="n">
        <v>0</v>
      </c>
      <c r="R275" t="n">
        <v>0</v>
      </c>
      <c r="S275" t="n">
        <v>0</v>
      </c>
      <c r="T275" t="n">
        <v>0</v>
      </c>
      <c r="U275" s="2" t="inlineStr"/>
    </row>
    <row r="276" ht="15" customHeight="1">
      <c r="A276" t="inlineStr">
        <is>
          <t>A 62596-2025</t>
        </is>
      </c>
      <c r="B276" t="inlineStr">
        <is>
          <t>avverkningsanmälan</t>
        </is>
      </c>
      <c r="C276" t="inlineStr">
        <is>
          <t>Föryngringsavverkning</t>
        </is>
      </c>
      <c r="D276" s="1" t="n">
        <v>46007</v>
      </c>
      <c r="E276" s="1" t="n">
        <v>46218</v>
      </c>
      <c r="F276" t="inlineStr">
        <is>
          <t>VÄSTMANLANDS LÄN</t>
        </is>
      </c>
      <c r="G276" t="inlineStr">
        <is>
          <t>KÖPING</t>
        </is>
      </c>
      <c r="I276" t="n">
        <v>1.1</v>
      </c>
      <c r="J276" t="n">
        <v>0</v>
      </c>
      <c r="K276" t="n">
        <v>0</v>
      </c>
      <c r="L276" t="n">
        <v>0</v>
      </c>
      <c r="M276" t="n">
        <v>0</v>
      </c>
      <c r="N276" t="n">
        <v>0</v>
      </c>
      <c r="O276" t="n">
        <v>0</v>
      </c>
      <c r="P276" t="n">
        <v>0</v>
      </c>
      <c r="Q276" t="n">
        <v>0</v>
      </c>
      <c r="R276" t="n">
        <v>0</v>
      </c>
      <c r="S276" t="n">
        <v>0</v>
      </c>
      <c r="T276" t="n">
        <v>0</v>
      </c>
      <c r="U276" s="2" t="inlineStr"/>
    </row>
    <row r="277" ht="15" customHeight="1">
      <c r="A277" t="inlineStr">
        <is>
          <t>A 63448-2025</t>
        </is>
      </c>
      <c r="B277" t="inlineStr">
        <is>
          <t>avverkningsanmälan</t>
        </is>
      </c>
      <c r="C277" t="inlineStr">
        <is>
          <t>Föryngringsavverkning</t>
        </is>
      </c>
      <c r="D277" s="1" t="n">
        <v>46013</v>
      </c>
      <c r="E277" s="1" t="n">
        <v>46218</v>
      </c>
      <c r="F277" t="inlineStr">
        <is>
          <t>VÄSTMANLANDS LÄN</t>
        </is>
      </c>
      <c r="G277" t="inlineStr">
        <is>
          <t>KÖPING</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A 62449-2025</t>
        </is>
      </c>
      <c r="B278" t="inlineStr">
        <is>
          <t>avverkningsanmälan</t>
        </is>
      </c>
      <c r="C278" t="inlineStr">
        <is>
          <t>Avverkning för att bevara och utveckla /försöksver</t>
        </is>
      </c>
      <c r="D278" s="1" t="n">
        <v>46007</v>
      </c>
      <c r="E278" s="1" t="n">
        <v>46218</v>
      </c>
      <c r="F278" t="inlineStr">
        <is>
          <t>VÄSTMANLANDS LÄN</t>
        </is>
      </c>
      <c r="G278" t="inlineStr">
        <is>
          <t>KÖPING</t>
        </is>
      </c>
      <c r="I278" t="n">
        <v>0.4</v>
      </c>
      <c r="J278" t="n">
        <v>0</v>
      </c>
      <c r="K278" t="n">
        <v>0</v>
      </c>
      <c r="L278" t="n">
        <v>0</v>
      </c>
      <c r="M278" t="n">
        <v>0</v>
      </c>
      <c r="N278" t="n">
        <v>0</v>
      </c>
      <c r="O278" t="n">
        <v>0</v>
      </c>
      <c r="P278" t="n">
        <v>0</v>
      </c>
      <c r="Q278" t="n">
        <v>0</v>
      </c>
      <c r="R278" t="n">
        <v>0</v>
      </c>
      <c r="S278" t="n">
        <v>0</v>
      </c>
      <c r="T278" t="n">
        <v>0</v>
      </c>
      <c r="U278" s="2" t="inlineStr"/>
    </row>
    <row r="279" ht="15" customHeight="1">
      <c r="A279" t="inlineStr">
        <is>
          <t>A 51409-2023</t>
        </is>
      </c>
      <c r="B279" t="inlineStr">
        <is>
          <t>avverkningsanmälan</t>
        </is>
      </c>
      <c r="C279" t="inlineStr">
        <is>
          <t>Föryngringsavverkning</t>
        </is>
      </c>
      <c r="D279" s="1" t="n">
        <v>45219</v>
      </c>
      <c r="E279" s="1" t="n">
        <v>46218</v>
      </c>
      <c r="F279" t="inlineStr">
        <is>
          <t>VÄSTMANLANDS LÄN</t>
        </is>
      </c>
      <c r="G279" t="inlineStr">
        <is>
          <t>KÖPING</t>
        </is>
      </c>
      <c r="I279" t="n">
        <v>0.9</v>
      </c>
      <c r="J279" t="n">
        <v>0</v>
      </c>
      <c r="K279" t="n">
        <v>0</v>
      </c>
      <c r="L279" t="n">
        <v>0</v>
      </c>
      <c r="M279" t="n">
        <v>0</v>
      </c>
      <c r="N279" t="n">
        <v>0</v>
      </c>
      <c r="O279" t="n">
        <v>0</v>
      </c>
      <c r="P279" t="n">
        <v>0</v>
      </c>
      <c r="Q279" t="n">
        <v>0</v>
      </c>
      <c r="R279" t="n">
        <v>0</v>
      </c>
      <c r="S279" t="n">
        <v>0</v>
      </c>
      <c r="T279" t="n">
        <v>0</v>
      </c>
      <c r="U279" s="2" t="inlineStr"/>
    </row>
    <row r="280" ht="15" customHeight="1">
      <c r="A280" t="inlineStr">
        <is>
          <t>A 22402-2026</t>
        </is>
      </c>
      <c r="B280" t="inlineStr">
        <is>
          <t>avverkningsanmälan</t>
        </is>
      </c>
      <c r="C280" t="inlineStr">
        <is>
          <t>Föryngringsavverkning</t>
        </is>
      </c>
      <c r="D280" s="1" t="n">
        <v>46154</v>
      </c>
      <c r="E280" s="1" t="n">
        <v>46218</v>
      </c>
      <c r="F280" t="inlineStr">
        <is>
          <t>VÄSTMANLANDS LÄN</t>
        </is>
      </c>
      <c r="G280" t="inlineStr">
        <is>
          <t>KÖPING</t>
        </is>
      </c>
      <c r="H280" t="inlineStr">
        <is>
          <t>Sveaskog</t>
        </is>
      </c>
      <c r="I280" t="n">
        <v>6.5</v>
      </c>
      <c r="J280" t="n">
        <v>0</v>
      </c>
      <c r="K280" t="n">
        <v>0</v>
      </c>
      <c r="L280" t="n">
        <v>0</v>
      </c>
      <c r="M280" t="n">
        <v>0</v>
      </c>
      <c r="N280" t="n">
        <v>0</v>
      </c>
      <c r="O280" t="n">
        <v>0</v>
      </c>
      <c r="P280" t="n">
        <v>0</v>
      </c>
      <c r="Q280" t="n">
        <v>0</v>
      </c>
      <c r="R280" t="n">
        <v>0</v>
      </c>
      <c r="S280" t="n">
        <v>0</v>
      </c>
      <c r="T280" t="n">
        <v>0</v>
      </c>
      <c r="U280" s="2" t="inlineStr"/>
    </row>
    <row r="281" ht="15" customHeight="1">
      <c r="A281" t="inlineStr">
        <is>
          <t>A 40690-2023</t>
        </is>
      </c>
      <c r="B281" t="inlineStr">
        <is>
          <t>avverkningsanmälan</t>
        </is>
      </c>
      <c r="C281" t="inlineStr">
        <is>
          <t>Föryngringsavverkning</t>
        </is>
      </c>
      <c r="D281" s="1" t="n">
        <v>45170</v>
      </c>
      <c r="E281" s="1" t="n">
        <v>46218</v>
      </c>
      <c r="F281" t="inlineStr">
        <is>
          <t>VÄSTMANLANDS LÄN</t>
        </is>
      </c>
      <c r="G281" t="inlineStr">
        <is>
          <t>KÖPING</t>
        </is>
      </c>
      <c r="H281" t="inlineStr">
        <is>
          <t>Sveaskog</t>
        </is>
      </c>
      <c r="I281" t="n">
        <v>1.6</v>
      </c>
      <c r="J281" t="n">
        <v>0</v>
      </c>
      <c r="K281" t="n">
        <v>0</v>
      </c>
      <c r="L281" t="n">
        <v>0</v>
      </c>
      <c r="M281" t="n">
        <v>0</v>
      </c>
      <c r="N281" t="n">
        <v>0</v>
      </c>
      <c r="O281" t="n">
        <v>0</v>
      </c>
      <c r="P281" t="n">
        <v>0</v>
      </c>
      <c r="Q281" t="n">
        <v>0</v>
      </c>
      <c r="R281" t="n">
        <v>0</v>
      </c>
      <c r="S281" t="n">
        <v>0</v>
      </c>
      <c r="T281" t="n">
        <v>0</v>
      </c>
      <c r="U281" s="2" t="inlineStr"/>
    </row>
    <row r="282" ht="15" customHeight="1">
      <c r="A282" t="inlineStr">
        <is>
          <t>A 28357-2026</t>
        </is>
      </c>
      <c r="B282" t="inlineStr">
        <is>
          <t>avverkningsanmälan</t>
        </is>
      </c>
      <c r="C282" t="inlineStr">
        <is>
          <t>Avverkning för att bevara och utveckla /försöksver</t>
        </is>
      </c>
      <c r="D282" s="1" t="n">
        <v>46196</v>
      </c>
      <c r="E282" s="1" t="n">
        <v>46218</v>
      </c>
      <c r="F282" t="inlineStr">
        <is>
          <t>VÄSTMANLANDS LÄN</t>
        </is>
      </c>
      <c r="G282" t="inlineStr">
        <is>
          <t>KÖPING</t>
        </is>
      </c>
      <c r="H282" t="inlineStr">
        <is>
          <t>Sveaskog</t>
        </is>
      </c>
      <c r="I282" t="n">
        <v>1.6</v>
      </c>
      <c r="J282" t="n">
        <v>0</v>
      </c>
      <c r="K282" t="n">
        <v>0</v>
      </c>
      <c r="L282" t="n">
        <v>0</v>
      </c>
      <c r="M282" t="n">
        <v>0</v>
      </c>
      <c r="N282" t="n">
        <v>0</v>
      </c>
      <c r="O282" t="n">
        <v>0</v>
      </c>
      <c r="P282" t="n">
        <v>0</v>
      </c>
      <c r="Q282" t="n">
        <v>0</v>
      </c>
      <c r="R282" t="n">
        <v>0</v>
      </c>
      <c r="S282" t="n">
        <v>0</v>
      </c>
      <c r="T282" t="n">
        <v>0</v>
      </c>
      <c r="U282" s="2" t="inlineStr"/>
    </row>
    <row r="283" ht="15" customHeight="1">
      <c r="A283" t="inlineStr">
        <is>
          <t>A 22457-2026</t>
        </is>
      </c>
      <c r="B283" t="inlineStr">
        <is>
          <t>avverkningsanmälan</t>
        </is>
      </c>
      <c r="C283" t="inlineStr">
        <is>
          <t>Föryngringsavverkning</t>
        </is>
      </c>
      <c r="D283" s="1" t="n">
        <v>46155</v>
      </c>
      <c r="E283" s="1" t="n">
        <v>46218</v>
      </c>
      <c r="F283" t="inlineStr">
        <is>
          <t>VÄSTMANLANDS LÄN</t>
        </is>
      </c>
      <c r="G283" t="inlineStr">
        <is>
          <t>KÖPING</t>
        </is>
      </c>
      <c r="I283" t="n">
        <v>7</v>
      </c>
      <c r="J283" t="n">
        <v>0</v>
      </c>
      <c r="K283" t="n">
        <v>0</v>
      </c>
      <c r="L283" t="n">
        <v>0</v>
      </c>
      <c r="M283" t="n">
        <v>0</v>
      </c>
      <c r="N283" t="n">
        <v>0</v>
      </c>
      <c r="O283" t="n">
        <v>0</v>
      </c>
      <c r="P283" t="n">
        <v>0</v>
      </c>
      <c r="Q283" t="n">
        <v>0</v>
      </c>
      <c r="R283" t="n">
        <v>0</v>
      </c>
      <c r="S283" t="n">
        <v>0</v>
      </c>
      <c r="T283" t="n">
        <v>0</v>
      </c>
      <c r="U283" s="2" t="inlineStr"/>
    </row>
    <row r="284" ht="15" customHeight="1">
      <c r="A284" t="inlineStr">
        <is>
          <t>A 28353-2026</t>
        </is>
      </c>
      <c r="B284" t="inlineStr">
        <is>
          <t>avverkningsanmälan</t>
        </is>
      </c>
      <c r="C284" t="inlineStr">
        <is>
          <t>Föryngringsavverkning</t>
        </is>
      </c>
      <c r="D284" s="1" t="n">
        <v>46196</v>
      </c>
      <c r="E284" s="1" t="n">
        <v>46218</v>
      </c>
      <c r="F284" t="inlineStr">
        <is>
          <t>VÄSTMANLANDS LÄN</t>
        </is>
      </c>
      <c r="G284" t="inlineStr">
        <is>
          <t>KÖPING</t>
        </is>
      </c>
      <c r="H284" t="inlineStr">
        <is>
          <t>Sveaskog</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22403-2026</t>
        </is>
      </c>
      <c r="B285" t="inlineStr">
        <is>
          <t>avverkningsanmälan</t>
        </is>
      </c>
      <c r="C285" t="inlineStr">
        <is>
          <t>Föryngringsavverkning</t>
        </is>
      </c>
      <c r="D285" s="1" t="n">
        <v>46154</v>
      </c>
      <c r="E285" s="1" t="n">
        <v>46218</v>
      </c>
      <c r="F285" t="inlineStr">
        <is>
          <t>VÄSTMANLANDS LÄN</t>
        </is>
      </c>
      <c r="G285" t="inlineStr">
        <is>
          <t>KÖPING</t>
        </is>
      </c>
      <c r="H285" t="inlineStr">
        <is>
          <t>Sveaskog</t>
        </is>
      </c>
      <c r="I285" t="n">
        <v>2.1</v>
      </c>
      <c r="J285" t="n">
        <v>0</v>
      </c>
      <c r="K285" t="n">
        <v>0</v>
      </c>
      <c r="L285" t="n">
        <v>0</v>
      </c>
      <c r="M285" t="n">
        <v>0</v>
      </c>
      <c r="N285" t="n">
        <v>0</v>
      </c>
      <c r="O285" t="n">
        <v>0</v>
      </c>
      <c r="P285" t="n">
        <v>0</v>
      </c>
      <c r="Q285" t="n">
        <v>0</v>
      </c>
      <c r="R285" t="n">
        <v>0</v>
      </c>
      <c r="S285" t="n">
        <v>0</v>
      </c>
      <c r="T285" t="n">
        <v>0</v>
      </c>
      <c r="U285" s="2" t="inlineStr"/>
    </row>
    <row r="286" ht="15" customHeight="1">
      <c r="A286" t="inlineStr">
        <is>
          <t>A 39836-2024</t>
        </is>
      </c>
      <c r="B286" t="inlineStr">
        <is>
          <t>avverkningsanmälan</t>
        </is>
      </c>
      <c r="C286" t="inlineStr">
        <is>
          <t>Föryngringsavverkning</t>
        </is>
      </c>
      <c r="D286" s="1" t="n">
        <v>45553</v>
      </c>
      <c r="E286" s="1" t="n">
        <v>46218</v>
      </c>
      <c r="F286" t="inlineStr">
        <is>
          <t>VÄSTMANLANDS LÄN</t>
        </is>
      </c>
      <c r="G286" t="inlineStr">
        <is>
          <t>KÖPING</t>
        </is>
      </c>
      <c r="I286" t="n">
        <v>2.4</v>
      </c>
      <c r="J286" t="n">
        <v>0</v>
      </c>
      <c r="K286" t="n">
        <v>0</v>
      </c>
      <c r="L286" t="n">
        <v>0</v>
      </c>
      <c r="M286" t="n">
        <v>0</v>
      </c>
      <c r="N286" t="n">
        <v>0</v>
      </c>
      <c r="O286" t="n">
        <v>0</v>
      </c>
      <c r="P286" t="n">
        <v>0</v>
      </c>
      <c r="Q286" t="n">
        <v>0</v>
      </c>
      <c r="R286" t="n">
        <v>0</v>
      </c>
      <c r="S286" t="n">
        <v>0</v>
      </c>
      <c r="T286" t="n">
        <v>0</v>
      </c>
      <c r="U286" s="2" t="inlineStr"/>
    </row>
    <row r="287" ht="15" customHeight="1">
      <c r="A287" t="inlineStr">
        <is>
          <t>A 14114-2024</t>
        </is>
      </c>
      <c r="B287" t="inlineStr">
        <is>
          <t>avverkningsanmälan</t>
        </is>
      </c>
      <c r="C287" t="inlineStr">
        <is>
          <t>Föryngringsavverkning</t>
        </is>
      </c>
      <c r="D287" s="1" t="n">
        <v>45392</v>
      </c>
      <c r="E287" s="1" t="n">
        <v>46218</v>
      </c>
      <c r="F287" t="inlineStr">
        <is>
          <t>VÄSTMANLANDS LÄN</t>
        </is>
      </c>
      <c r="G287" t="inlineStr">
        <is>
          <t>KÖPING</t>
        </is>
      </c>
      <c r="I287" t="n">
        <v>2.1</v>
      </c>
      <c r="J287" t="n">
        <v>0</v>
      </c>
      <c r="K287" t="n">
        <v>0</v>
      </c>
      <c r="L287" t="n">
        <v>0</v>
      </c>
      <c r="M287" t="n">
        <v>0</v>
      </c>
      <c r="N287" t="n">
        <v>0</v>
      </c>
      <c r="O287" t="n">
        <v>0</v>
      </c>
      <c r="P287" t="n">
        <v>0</v>
      </c>
      <c r="Q287" t="n">
        <v>0</v>
      </c>
      <c r="R287" t="n">
        <v>0</v>
      </c>
      <c r="S287" t="n">
        <v>0</v>
      </c>
      <c r="T287" t="n">
        <v>0</v>
      </c>
      <c r="U287" s="2" t="inlineStr"/>
    </row>
    <row r="288" ht="15" customHeight="1">
      <c r="A288" t="inlineStr">
        <is>
          <t>A 60485-2022</t>
        </is>
      </c>
      <c r="B288" t="inlineStr">
        <is>
          <t>avverkningsanmälan</t>
        </is>
      </c>
      <c r="C288" t="inlineStr">
        <is>
          <t>Föryngringsavverkning</t>
        </is>
      </c>
      <c r="D288" s="1" t="n">
        <v>44911</v>
      </c>
      <c r="E288" s="1" t="n">
        <v>46218</v>
      </c>
      <c r="F288" t="inlineStr">
        <is>
          <t>VÄSTMANLANDS LÄN</t>
        </is>
      </c>
      <c r="G288" t="inlineStr">
        <is>
          <t>KÖPING</t>
        </is>
      </c>
      <c r="I288" t="n">
        <v>1.1</v>
      </c>
      <c r="J288" t="n">
        <v>0</v>
      </c>
      <c r="K288" t="n">
        <v>0</v>
      </c>
      <c r="L288" t="n">
        <v>0</v>
      </c>
      <c r="M288" t="n">
        <v>0</v>
      </c>
      <c r="N288" t="n">
        <v>0</v>
      </c>
      <c r="O288" t="n">
        <v>0</v>
      </c>
      <c r="P288" t="n">
        <v>0</v>
      </c>
      <c r="Q288" t="n">
        <v>0</v>
      </c>
      <c r="R288" t="n">
        <v>0</v>
      </c>
      <c r="S288" t="n">
        <v>0</v>
      </c>
      <c r="T288" t="n">
        <v>0</v>
      </c>
      <c r="U288" s="2" t="inlineStr"/>
    </row>
    <row r="289" ht="15" customHeight="1">
      <c r="A289" t="inlineStr">
        <is>
          <t>A 15657-2023</t>
        </is>
      </c>
      <c r="B289" t="inlineStr">
        <is>
          <t>avverkningsanmälan</t>
        </is>
      </c>
      <c r="C289" t="inlineStr">
        <is>
          <t>Avverkning för annat ändamål</t>
        </is>
      </c>
      <c r="D289" s="1" t="n">
        <v>45021</v>
      </c>
      <c r="E289" s="1" t="n">
        <v>46218</v>
      </c>
      <c r="F289" t="inlineStr">
        <is>
          <t>VÄSTMANLANDS LÄN</t>
        </is>
      </c>
      <c r="G289" t="inlineStr">
        <is>
          <t>KÖPING</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14062-2024</t>
        </is>
      </c>
      <c r="B290" t="inlineStr">
        <is>
          <t>avverkningsanmälan</t>
        </is>
      </c>
      <c r="C290" t="inlineStr">
        <is>
          <t>Föryngringsavverkning</t>
        </is>
      </c>
      <c r="D290" s="1" t="n">
        <v>45392</v>
      </c>
      <c r="E290" s="1" t="n">
        <v>46218</v>
      </c>
      <c r="F290" t="inlineStr">
        <is>
          <t>VÄSTMANLANDS LÄN</t>
        </is>
      </c>
      <c r="G290" t="inlineStr">
        <is>
          <t>KÖPING</t>
        </is>
      </c>
      <c r="I290" t="n">
        <v>2.5</v>
      </c>
      <c r="J290" t="n">
        <v>0</v>
      </c>
      <c r="K290" t="n">
        <v>0</v>
      </c>
      <c r="L290" t="n">
        <v>0</v>
      </c>
      <c r="M290" t="n">
        <v>0</v>
      </c>
      <c r="N290" t="n">
        <v>0</v>
      </c>
      <c r="O290" t="n">
        <v>0</v>
      </c>
      <c r="P290" t="n">
        <v>0</v>
      </c>
      <c r="Q290" t="n">
        <v>0</v>
      </c>
      <c r="R290" t="n">
        <v>0</v>
      </c>
      <c r="S290" t="n">
        <v>0</v>
      </c>
      <c r="T290" t="n">
        <v>0</v>
      </c>
      <c r="U290" s="2" t="inlineStr"/>
    </row>
    <row r="291" ht="15" customHeight="1">
      <c r="A291" t="inlineStr">
        <is>
          <t>A 22750-2026</t>
        </is>
      </c>
      <c r="B291" t="inlineStr">
        <is>
          <t>avverkningsanmälan</t>
        </is>
      </c>
      <c r="C291" t="inlineStr">
        <is>
          <t>Avverkning för annat ändamål</t>
        </is>
      </c>
      <c r="D291" s="1" t="n">
        <v>46157</v>
      </c>
      <c r="E291" s="1" t="n">
        <v>46218</v>
      </c>
      <c r="F291" t="inlineStr">
        <is>
          <t>VÄSTMANLANDS LÄN</t>
        </is>
      </c>
      <c r="G291" t="inlineStr">
        <is>
          <t>KÖPING</t>
        </is>
      </c>
      <c r="H291" t="inlineStr">
        <is>
          <t>Sveaskog</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22749-2026</t>
        </is>
      </c>
      <c r="B292" t="inlineStr">
        <is>
          <t>avverkningsanmälan</t>
        </is>
      </c>
      <c r="C292" t="inlineStr">
        <is>
          <t>Avverkning för annat ändamål</t>
        </is>
      </c>
      <c r="D292" s="1" t="n">
        <v>46157</v>
      </c>
      <c r="E292" s="1" t="n">
        <v>46218</v>
      </c>
      <c r="F292" t="inlineStr">
        <is>
          <t>VÄSTMANLANDS LÄN</t>
        </is>
      </c>
      <c r="G292" t="inlineStr">
        <is>
          <t>KÖPING</t>
        </is>
      </c>
      <c r="H292" t="inlineStr">
        <is>
          <t>Sveaskog</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10948-2024</t>
        </is>
      </c>
      <c r="B293" t="inlineStr">
        <is>
          <t>avverkningsanmälan</t>
        </is>
      </c>
      <c r="C293" t="inlineStr">
        <is>
          <t>Föryngringsavverkning</t>
        </is>
      </c>
      <c r="D293" s="1" t="n">
        <v>45370</v>
      </c>
      <c r="E293" s="1" t="n">
        <v>46218</v>
      </c>
      <c r="F293" t="inlineStr">
        <is>
          <t>VÄSTMANLANDS LÄN</t>
        </is>
      </c>
      <c r="G293" t="inlineStr">
        <is>
          <t>KÖPING</t>
        </is>
      </c>
      <c r="I293" t="n">
        <v>3.4</v>
      </c>
      <c r="J293" t="n">
        <v>0</v>
      </c>
      <c r="K293" t="n">
        <v>0</v>
      </c>
      <c r="L293" t="n">
        <v>0</v>
      </c>
      <c r="M293" t="n">
        <v>0</v>
      </c>
      <c r="N293" t="n">
        <v>0</v>
      </c>
      <c r="O293" t="n">
        <v>0</v>
      </c>
      <c r="P293" t="n">
        <v>0</v>
      </c>
      <c r="Q293" t="n">
        <v>0</v>
      </c>
      <c r="R293" t="n">
        <v>0</v>
      </c>
      <c r="S293" t="n">
        <v>0</v>
      </c>
      <c r="T293" t="n">
        <v>0</v>
      </c>
      <c r="U293" s="2" t="inlineStr"/>
    </row>
    <row r="294" ht="15" customHeight="1">
      <c r="A294" t="inlineStr">
        <is>
          <t>A 10979-2024</t>
        </is>
      </c>
      <c r="B294" t="inlineStr">
        <is>
          <t>avverkningsanmälan</t>
        </is>
      </c>
      <c r="C294" t="inlineStr">
        <is>
          <t>Föryngringsavverkning</t>
        </is>
      </c>
      <c r="D294" s="1" t="n">
        <v>45370</v>
      </c>
      <c r="E294" s="1" t="n">
        <v>46218</v>
      </c>
      <c r="F294" t="inlineStr">
        <is>
          <t>VÄSTMANLANDS LÄN</t>
        </is>
      </c>
      <c r="G294" t="inlineStr">
        <is>
          <t>KÖPING</t>
        </is>
      </c>
      <c r="I294" t="n">
        <v>5.8</v>
      </c>
      <c r="J294" t="n">
        <v>0</v>
      </c>
      <c r="K294" t="n">
        <v>0</v>
      </c>
      <c r="L294" t="n">
        <v>0</v>
      </c>
      <c r="M294" t="n">
        <v>0</v>
      </c>
      <c r="N294" t="n">
        <v>0</v>
      </c>
      <c r="O294" t="n">
        <v>0</v>
      </c>
      <c r="P294" t="n">
        <v>0</v>
      </c>
      <c r="Q294" t="n">
        <v>0</v>
      </c>
      <c r="R294" t="n">
        <v>0</v>
      </c>
      <c r="S294" t="n">
        <v>0</v>
      </c>
      <c r="T294" t="n">
        <v>0</v>
      </c>
      <c r="U294" s="2" t="inlineStr"/>
    </row>
    <row r="295" ht="15" customHeight="1">
      <c r="A295" t="inlineStr">
        <is>
          <t>A 20151-2023</t>
        </is>
      </c>
      <c r="B295" t="inlineStr">
        <is>
          <t>avverkningsanmälan</t>
        </is>
      </c>
      <c r="C295" t="inlineStr">
        <is>
          <t>Föryngringsavverkning</t>
        </is>
      </c>
      <c r="D295" s="1" t="n">
        <v>45051</v>
      </c>
      <c r="E295" s="1" t="n">
        <v>46218</v>
      </c>
      <c r="F295" t="inlineStr">
        <is>
          <t>VÄSTMANLANDS LÄN</t>
        </is>
      </c>
      <c r="G295" t="inlineStr">
        <is>
          <t>KÖPING</t>
        </is>
      </c>
      <c r="I295" t="n">
        <v>4.7</v>
      </c>
      <c r="J295" t="n">
        <v>0</v>
      </c>
      <c r="K295" t="n">
        <v>0</v>
      </c>
      <c r="L295" t="n">
        <v>0</v>
      </c>
      <c r="M295" t="n">
        <v>0</v>
      </c>
      <c r="N295" t="n">
        <v>0</v>
      </c>
      <c r="O295" t="n">
        <v>0</v>
      </c>
      <c r="P295" t="n">
        <v>0</v>
      </c>
      <c r="Q295" t="n">
        <v>0</v>
      </c>
      <c r="R295" t="n">
        <v>0</v>
      </c>
      <c r="S295" t="n">
        <v>0</v>
      </c>
      <c r="T295" t="n">
        <v>0</v>
      </c>
      <c r="U295" s="2" t="inlineStr"/>
    </row>
    <row r="296" ht="15" customHeight="1">
      <c r="A296" t="inlineStr">
        <is>
          <t>A 4418-2026</t>
        </is>
      </c>
      <c r="B296" t="inlineStr">
        <is>
          <t>avverkningsanmälan</t>
        </is>
      </c>
      <c r="C296" t="inlineStr">
        <is>
          <t>Föryngringsavverkning</t>
        </is>
      </c>
      <c r="D296" s="1" t="n">
        <v>46044</v>
      </c>
      <c r="E296" s="1" t="n">
        <v>46218</v>
      </c>
      <c r="F296" t="inlineStr">
        <is>
          <t>VÄSTMANLANDS LÄN</t>
        </is>
      </c>
      <c r="G296" t="inlineStr">
        <is>
          <t>KÖPING</t>
        </is>
      </c>
      <c r="I296" t="n">
        <v>2.2</v>
      </c>
      <c r="J296" t="n">
        <v>0</v>
      </c>
      <c r="K296" t="n">
        <v>0</v>
      </c>
      <c r="L296" t="n">
        <v>0</v>
      </c>
      <c r="M296" t="n">
        <v>0</v>
      </c>
      <c r="N296" t="n">
        <v>0</v>
      </c>
      <c r="O296" t="n">
        <v>0</v>
      </c>
      <c r="P296" t="n">
        <v>0</v>
      </c>
      <c r="Q296" t="n">
        <v>0</v>
      </c>
      <c r="R296" t="n">
        <v>0</v>
      </c>
      <c r="S296" t="n">
        <v>0</v>
      </c>
      <c r="T296" t="n">
        <v>0</v>
      </c>
      <c r="U296" s="2" t="inlineStr"/>
    </row>
    <row r="297" ht="15" customHeight="1">
      <c r="A297" t="inlineStr">
        <is>
          <t>A 22866-2026</t>
        </is>
      </c>
      <c r="B297" t="inlineStr">
        <is>
          <t>avverkningsanmälan</t>
        </is>
      </c>
      <c r="C297" t="inlineStr">
        <is>
          <t>Föryngringsavverkning</t>
        </is>
      </c>
      <c r="D297" s="1" t="n">
        <v>46160</v>
      </c>
      <c r="E297" s="1" t="n">
        <v>46218</v>
      </c>
      <c r="F297" t="inlineStr">
        <is>
          <t>VÄSTMANLANDS LÄN</t>
        </is>
      </c>
      <c r="G297" t="inlineStr">
        <is>
          <t>KÖPING</t>
        </is>
      </c>
      <c r="I297" t="n">
        <v>4.5</v>
      </c>
      <c r="J297" t="n">
        <v>0</v>
      </c>
      <c r="K297" t="n">
        <v>0</v>
      </c>
      <c r="L297" t="n">
        <v>0</v>
      </c>
      <c r="M297" t="n">
        <v>0</v>
      </c>
      <c r="N297" t="n">
        <v>0</v>
      </c>
      <c r="O297" t="n">
        <v>0</v>
      </c>
      <c r="P297" t="n">
        <v>0</v>
      </c>
      <c r="Q297" t="n">
        <v>0</v>
      </c>
      <c r="R297" t="n">
        <v>0</v>
      </c>
      <c r="S297" t="n">
        <v>0</v>
      </c>
      <c r="T297" t="n">
        <v>0</v>
      </c>
      <c r="U297" s="2" t="inlineStr"/>
    </row>
    <row r="298" ht="15" customHeight="1">
      <c r="A298" t="inlineStr">
        <is>
          <t>A 10750-2023</t>
        </is>
      </c>
      <c r="B298" t="inlineStr">
        <is>
          <t>avverkningsanmälan</t>
        </is>
      </c>
      <c r="C298" t="inlineStr">
        <is>
          <t>Föryngringsavverkning</t>
        </is>
      </c>
      <c r="D298" s="1" t="n">
        <v>44985</v>
      </c>
      <c r="E298" s="1" t="n">
        <v>46218</v>
      </c>
      <c r="F298" t="inlineStr">
        <is>
          <t>VÄSTMANLANDS LÄN</t>
        </is>
      </c>
      <c r="G298" t="inlineStr">
        <is>
          <t>KÖPING</t>
        </is>
      </c>
      <c r="I298" t="n">
        <v>5.9</v>
      </c>
      <c r="J298" t="n">
        <v>0</v>
      </c>
      <c r="K298" t="n">
        <v>0</v>
      </c>
      <c r="L298" t="n">
        <v>0</v>
      </c>
      <c r="M298" t="n">
        <v>0</v>
      </c>
      <c r="N298" t="n">
        <v>0</v>
      </c>
      <c r="O298" t="n">
        <v>0</v>
      </c>
      <c r="P298" t="n">
        <v>0</v>
      </c>
      <c r="Q298" t="n">
        <v>0</v>
      </c>
      <c r="R298" t="n">
        <v>0</v>
      </c>
      <c r="S298" t="n">
        <v>0</v>
      </c>
      <c r="T298" t="n">
        <v>0</v>
      </c>
      <c r="U298" s="2" t="inlineStr"/>
    </row>
    <row r="299" ht="15" customHeight="1">
      <c r="A299" t="inlineStr">
        <is>
          <t>A 5711-2026</t>
        </is>
      </c>
      <c r="B299" t="inlineStr">
        <is>
          <t>avverkningsanmälan</t>
        </is>
      </c>
      <c r="C299" t="inlineStr">
        <is>
          <t>Föryngringsavverkning</t>
        </is>
      </c>
      <c r="D299" s="1" t="n">
        <v>46051</v>
      </c>
      <c r="E299" s="1" t="n">
        <v>46218</v>
      </c>
      <c r="F299" t="inlineStr">
        <is>
          <t>VÄSTMANLANDS LÄN</t>
        </is>
      </c>
      <c r="G299" t="inlineStr">
        <is>
          <t>KÖPING</t>
        </is>
      </c>
      <c r="H299" t="inlineStr">
        <is>
          <t>Sveaskog</t>
        </is>
      </c>
      <c r="I299" t="n">
        <v>2.1</v>
      </c>
      <c r="J299" t="n">
        <v>0</v>
      </c>
      <c r="K299" t="n">
        <v>0</v>
      </c>
      <c r="L299" t="n">
        <v>0</v>
      </c>
      <c r="M299" t="n">
        <v>0</v>
      </c>
      <c r="N299" t="n">
        <v>0</v>
      </c>
      <c r="O299" t="n">
        <v>0</v>
      </c>
      <c r="P299" t="n">
        <v>0</v>
      </c>
      <c r="Q299" t="n">
        <v>0</v>
      </c>
      <c r="R299" t="n">
        <v>0</v>
      </c>
      <c r="S299" t="n">
        <v>0</v>
      </c>
      <c r="T299" t="n">
        <v>0</v>
      </c>
      <c r="U299" s="2" t="inlineStr"/>
    </row>
    <row r="300" ht="15" customHeight="1">
      <c r="A300" t="inlineStr">
        <is>
          <t>A 18799-2025</t>
        </is>
      </c>
      <c r="B300" t="inlineStr">
        <is>
          <t>avverkningsanmälan</t>
        </is>
      </c>
      <c r="C300" t="inlineStr">
        <is>
          <t>Föryngringsavverkning</t>
        </is>
      </c>
      <c r="D300" s="1" t="n">
        <v>45764</v>
      </c>
      <c r="E300" s="1" t="n">
        <v>46218</v>
      </c>
      <c r="F300" t="inlineStr">
        <is>
          <t>VÄSTMANLANDS LÄN</t>
        </is>
      </c>
      <c r="G300" t="inlineStr">
        <is>
          <t>KÖPING</t>
        </is>
      </c>
      <c r="H300" t="inlineStr">
        <is>
          <t>Sveaskog</t>
        </is>
      </c>
      <c r="I300" t="n">
        <v>7.2</v>
      </c>
      <c r="J300" t="n">
        <v>0</v>
      </c>
      <c r="K300" t="n">
        <v>0</v>
      </c>
      <c r="L300" t="n">
        <v>0</v>
      </c>
      <c r="M300" t="n">
        <v>0</v>
      </c>
      <c r="N300" t="n">
        <v>0</v>
      </c>
      <c r="O300" t="n">
        <v>0</v>
      </c>
      <c r="P300" t="n">
        <v>0</v>
      </c>
      <c r="Q300" t="n">
        <v>0</v>
      </c>
      <c r="R300" t="n">
        <v>0</v>
      </c>
      <c r="S300" t="n">
        <v>0</v>
      </c>
      <c r="T300" t="n">
        <v>0</v>
      </c>
      <c r="U300" s="2" t="inlineStr"/>
    </row>
    <row r="301" ht="15" customHeight="1">
      <c r="A301" t="inlineStr">
        <is>
          <t>A 5710-2026</t>
        </is>
      </c>
      <c r="B301" t="inlineStr">
        <is>
          <t>avverkningsanmälan</t>
        </is>
      </c>
      <c r="C301" t="inlineStr">
        <is>
          <t>Föryngringsavverkning</t>
        </is>
      </c>
      <c r="D301" s="1" t="n">
        <v>46051</v>
      </c>
      <c r="E301" s="1" t="n">
        <v>46218</v>
      </c>
      <c r="F301" t="inlineStr">
        <is>
          <t>VÄSTMANLANDS LÄN</t>
        </is>
      </c>
      <c r="G301" t="inlineStr">
        <is>
          <t>KÖPING</t>
        </is>
      </c>
      <c r="H301" t="inlineStr">
        <is>
          <t>Sveaskog</t>
        </is>
      </c>
      <c r="I301" t="n">
        <v>4.4</v>
      </c>
      <c r="J301" t="n">
        <v>0</v>
      </c>
      <c r="K301" t="n">
        <v>0</v>
      </c>
      <c r="L301" t="n">
        <v>0</v>
      </c>
      <c r="M301" t="n">
        <v>0</v>
      </c>
      <c r="N301" t="n">
        <v>0</v>
      </c>
      <c r="O301" t="n">
        <v>0</v>
      </c>
      <c r="P301" t="n">
        <v>0</v>
      </c>
      <c r="Q301" t="n">
        <v>0</v>
      </c>
      <c r="R301" t="n">
        <v>0</v>
      </c>
      <c r="S301" t="n">
        <v>0</v>
      </c>
      <c r="T301" t="n">
        <v>0</v>
      </c>
      <c r="U301" s="2" t="inlineStr"/>
    </row>
    <row r="302" ht="15" customHeight="1">
      <c r="A302" t="inlineStr">
        <is>
          <t>A 59724-2025</t>
        </is>
      </c>
      <c r="B302" t="inlineStr">
        <is>
          <t>avverkningsanmälan</t>
        </is>
      </c>
      <c r="C302" t="inlineStr">
        <is>
          <t>Föryngringsavverkning</t>
        </is>
      </c>
      <c r="D302" s="1" t="n">
        <v>45992</v>
      </c>
      <c r="E302" s="1" t="n">
        <v>46218</v>
      </c>
      <c r="F302" t="inlineStr">
        <is>
          <t>VÄSTMANLANDS LÄN</t>
        </is>
      </c>
      <c r="G302" t="inlineStr">
        <is>
          <t>KÖPING</t>
        </is>
      </c>
      <c r="I302" t="n">
        <v>0.9</v>
      </c>
      <c r="J302" t="n">
        <v>0</v>
      </c>
      <c r="K302" t="n">
        <v>0</v>
      </c>
      <c r="L302" t="n">
        <v>0</v>
      </c>
      <c r="M302" t="n">
        <v>0</v>
      </c>
      <c r="N302" t="n">
        <v>0</v>
      </c>
      <c r="O302" t="n">
        <v>0</v>
      </c>
      <c r="P302" t="n">
        <v>0</v>
      </c>
      <c r="Q302" t="n">
        <v>0</v>
      </c>
      <c r="R302" t="n">
        <v>0</v>
      </c>
      <c r="S302" t="n">
        <v>0</v>
      </c>
      <c r="T302" t="n">
        <v>0</v>
      </c>
      <c r="U302" s="2" t="inlineStr"/>
    </row>
    <row r="303" ht="15" customHeight="1">
      <c r="A303" t="inlineStr">
        <is>
          <t>A 38055-2023</t>
        </is>
      </c>
      <c r="B303" t="inlineStr">
        <is>
          <t>avverkningsanmälan</t>
        </is>
      </c>
      <c r="C303" t="inlineStr">
        <is>
          <t>Föryngringsavverkning</t>
        </is>
      </c>
      <c r="D303" s="1" t="n">
        <v>45160</v>
      </c>
      <c r="E303" s="1" t="n">
        <v>46218</v>
      </c>
      <c r="F303" t="inlineStr">
        <is>
          <t>VÄSTMANLANDS LÄN</t>
        </is>
      </c>
      <c r="G303" t="inlineStr">
        <is>
          <t>KÖPING</t>
        </is>
      </c>
      <c r="I303" t="n">
        <v>2.8</v>
      </c>
      <c r="J303" t="n">
        <v>0</v>
      </c>
      <c r="K303" t="n">
        <v>0</v>
      </c>
      <c r="L303" t="n">
        <v>0</v>
      </c>
      <c r="M303" t="n">
        <v>0</v>
      </c>
      <c r="N303" t="n">
        <v>0</v>
      </c>
      <c r="O303" t="n">
        <v>0</v>
      </c>
      <c r="P303" t="n">
        <v>0</v>
      </c>
      <c r="Q303" t="n">
        <v>0</v>
      </c>
      <c r="R303" t="n">
        <v>0</v>
      </c>
      <c r="S303" t="n">
        <v>0</v>
      </c>
      <c r="T303" t="n">
        <v>0</v>
      </c>
      <c r="U303" s="2" t="inlineStr"/>
    </row>
    <row r="304" ht="15" customHeight="1">
      <c r="A304" t="inlineStr">
        <is>
          <t>A 37751-2022</t>
        </is>
      </c>
      <c r="B304" t="inlineStr">
        <is>
          <t>avverkningsanmälan</t>
        </is>
      </c>
      <c r="C304" t="inlineStr">
        <is>
          <t>Föryngringsavverkning</t>
        </is>
      </c>
      <c r="D304" s="1" t="n">
        <v>44810</v>
      </c>
      <c r="E304" s="1" t="n">
        <v>46218</v>
      </c>
      <c r="F304" t="inlineStr">
        <is>
          <t>VÄSTMANLANDS LÄN</t>
        </is>
      </c>
      <c r="G304" t="inlineStr">
        <is>
          <t>KÖPING</t>
        </is>
      </c>
      <c r="I304" t="n">
        <v>2.2</v>
      </c>
      <c r="J304" t="n">
        <v>0</v>
      </c>
      <c r="K304" t="n">
        <v>0</v>
      </c>
      <c r="L304" t="n">
        <v>0</v>
      </c>
      <c r="M304" t="n">
        <v>0</v>
      </c>
      <c r="N304" t="n">
        <v>0</v>
      </c>
      <c r="O304" t="n">
        <v>0</v>
      </c>
      <c r="P304" t="n">
        <v>0</v>
      </c>
      <c r="Q304" t="n">
        <v>0</v>
      </c>
      <c r="R304" t="n">
        <v>0</v>
      </c>
      <c r="S304" t="n">
        <v>0</v>
      </c>
      <c r="T304" t="n">
        <v>0</v>
      </c>
      <c r="U304" s="2" t="inlineStr"/>
    </row>
    <row r="305" ht="15" customHeight="1">
      <c r="A305" t="inlineStr">
        <is>
          <t>A 23397-2026</t>
        </is>
      </c>
      <c r="B305" t="inlineStr">
        <is>
          <t>avverkningsanmälan</t>
        </is>
      </c>
      <c r="C305" t="inlineStr">
        <is>
          <t>Föryngringsavverkning</t>
        </is>
      </c>
      <c r="D305" s="1" t="n">
        <v>46162</v>
      </c>
      <c r="E305" s="1" t="n">
        <v>46218</v>
      </c>
      <c r="F305" t="inlineStr">
        <is>
          <t>VÄSTMANLANDS LÄN</t>
        </is>
      </c>
      <c r="G305" t="inlineStr">
        <is>
          <t>KÖPING</t>
        </is>
      </c>
      <c r="H305" t="inlineStr">
        <is>
          <t>Sveaskog</t>
        </is>
      </c>
      <c r="I305" t="n">
        <v>2.9</v>
      </c>
      <c r="J305" t="n">
        <v>0</v>
      </c>
      <c r="K305" t="n">
        <v>0</v>
      </c>
      <c r="L305" t="n">
        <v>0</v>
      </c>
      <c r="M305" t="n">
        <v>0</v>
      </c>
      <c r="N305" t="n">
        <v>0</v>
      </c>
      <c r="O305" t="n">
        <v>0</v>
      </c>
      <c r="P305" t="n">
        <v>0</v>
      </c>
      <c r="Q305" t="n">
        <v>0</v>
      </c>
      <c r="R305" t="n">
        <v>0</v>
      </c>
      <c r="S305" t="n">
        <v>0</v>
      </c>
      <c r="T305" t="n">
        <v>0</v>
      </c>
      <c r="U305" s="2" t="inlineStr"/>
    </row>
    <row r="306" ht="15" customHeight="1">
      <c r="A306" t="inlineStr">
        <is>
          <t>A 23554-2026</t>
        </is>
      </c>
      <c r="B306" t="inlineStr">
        <is>
          <t>avverkningsanmälan</t>
        </is>
      </c>
      <c r="C306" t="inlineStr">
        <is>
          <t>Föryngringsavverkning</t>
        </is>
      </c>
      <c r="D306" s="1" t="n">
        <v>46163</v>
      </c>
      <c r="E306" s="1" t="n">
        <v>46218</v>
      </c>
      <c r="F306" t="inlineStr">
        <is>
          <t>VÄSTMANLANDS LÄN</t>
        </is>
      </c>
      <c r="G306" t="inlineStr">
        <is>
          <t>KÖPING</t>
        </is>
      </c>
      <c r="H306" t="inlineStr">
        <is>
          <t>Sveaskog</t>
        </is>
      </c>
      <c r="I306" t="n">
        <v>0.5</v>
      </c>
      <c r="J306" t="n">
        <v>0</v>
      </c>
      <c r="K306" t="n">
        <v>0</v>
      </c>
      <c r="L306" t="n">
        <v>0</v>
      </c>
      <c r="M306" t="n">
        <v>0</v>
      </c>
      <c r="N306" t="n">
        <v>0</v>
      </c>
      <c r="O306" t="n">
        <v>0</v>
      </c>
      <c r="P306" t="n">
        <v>0</v>
      </c>
      <c r="Q306" t="n">
        <v>0</v>
      </c>
      <c r="R306" t="n">
        <v>0</v>
      </c>
      <c r="S306" t="n">
        <v>0</v>
      </c>
      <c r="T306" t="n">
        <v>0</v>
      </c>
      <c r="U306" s="2" t="inlineStr"/>
    </row>
    <row r="307" ht="15" customHeight="1">
      <c r="A307" t="inlineStr">
        <is>
          <t>A 23559-2026</t>
        </is>
      </c>
      <c r="B307" t="inlineStr">
        <is>
          <t>avverkningsanmälan</t>
        </is>
      </c>
      <c r="C307" t="inlineStr">
        <is>
          <t>Föryngringsavverkning</t>
        </is>
      </c>
      <c r="D307" s="1" t="n">
        <v>46163</v>
      </c>
      <c r="E307" s="1" t="n">
        <v>46218</v>
      </c>
      <c r="F307" t="inlineStr">
        <is>
          <t>VÄSTMANLANDS LÄN</t>
        </is>
      </c>
      <c r="G307" t="inlineStr">
        <is>
          <t>KÖPING</t>
        </is>
      </c>
      <c r="H307" t="inlineStr">
        <is>
          <t>Sveaskog</t>
        </is>
      </c>
      <c r="I307" t="n">
        <v>1</v>
      </c>
      <c r="J307" t="n">
        <v>0</v>
      </c>
      <c r="K307" t="n">
        <v>0</v>
      </c>
      <c r="L307" t="n">
        <v>0</v>
      </c>
      <c r="M307" t="n">
        <v>0</v>
      </c>
      <c r="N307" t="n">
        <v>0</v>
      </c>
      <c r="O307" t="n">
        <v>0</v>
      </c>
      <c r="P307" t="n">
        <v>0</v>
      </c>
      <c r="Q307" t="n">
        <v>0</v>
      </c>
      <c r="R307" t="n">
        <v>0</v>
      </c>
      <c r="S307" t="n">
        <v>0</v>
      </c>
      <c r="T307" t="n">
        <v>0</v>
      </c>
      <c r="U307" s="2" t="inlineStr"/>
    </row>
    <row r="308" ht="15" customHeight="1">
      <c r="A308" t="inlineStr">
        <is>
          <t>A 23556-2026</t>
        </is>
      </c>
      <c r="B308" t="inlineStr">
        <is>
          <t>avverkningsanmälan</t>
        </is>
      </c>
      <c r="C308" t="inlineStr">
        <is>
          <t>Föryngringsavverkning</t>
        </is>
      </c>
      <c r="D308" s="1" t="n">
        <v>46163</v>
      </c>
      <c r="E308" s="1" t="n">
        <v>46218</v>
      </c>
      <c r="F308" t="inlineStr">
        <is>
          <t>VÄSTMANLANDS LÄN</t>
        </is>
      </c>
      <c r="G308" t="inlineStr">
        <is>
          <t>KÖPING</t>
        </is>
      </c>
      <c r="H308" t="inlineStr">
        <is>
          <t>Sveaskog</t>
        </is>
      </c>
      <c r="I308" t="n">
        <v>3.4</v>
      </c>
      <c r="J308" t="n">
        <v>0</v>
      </c>
      <c r="K308" t="n">
        <v>0</v>
      </c>
      <c r="L308" t="n">
        <v>0</v>
      </c>
      <c r="M308" t="n">
        <v>0</v>
      </c>
      <c r="N308" t="n">
        <v>0</v>
      </c>
      <c r="O308" t="n">
        <v>0</v>
      </c>
      <c r="P308" t="n">
        <v>0</v>
      </c>
      <c r="Q308" t="n">
        <v>0</v>
      </c>
      <c r="R308" t="n">
        <v>0</v>
      </c>
      <c r="S308" t="n">
        <v>0</v>
      </c>
      <c r="T308" t="n">
        <v>0</v>
      </c>
      <c r="U308" s="2" t="inlineStr"/>
    </row>
    <row r="309" ht="15" customHeight="1">
      <c r="A309" t="inlineStr">
        <is>
          <t>A 23399-2026</t>
        </is>
      </c>
      <c r="B309" t="inlineStr">
        <is>
          <t>avverkningsanmälan</t>
        </is>
      </c>
      <c r="C309" t="inlineStr">
        <is>
          <t>Föryngringsavverkning</t>
        </is>
      </c>
      <c r="D309" s="1" t="n">
        <v>46162</v>
      </c>
      <c r="E309" s="1" t="n">
        <v>46218</v>
      </c>
      <c r="F309" t="inlineStr">
        <is>
          <t>VÄSTMANLANDS LÄN</t>
        </is>
      </c>
      <c r="G309" t="inlineStr">
        <is>
          <t>KÖPING</t>
        </is>
      </c>
      <c r="H309" t="inlineStr">
        <is>
          <t>Sveaskog</t>
        </is>
      </c>
      <c r="I309" t="n">
        <v>1.4</v>
      </c>
      <c r="J309" t="n">
        <v>0</v>
      </c>
      <c r="K309" t="n">
        <v>0</v>
      </c>
      <c r="L309" t="n">
        <v>0</v>
      </c>
      <c r="M309" t="n">
        <v>0</v>
      </c>
      <c r="N309" t="n">
        <v>0</v>
      </c>
      <c r="O309" t="n">
        <v>0</v>
      </c>
      <c r="P309" t="n">
        <v>0</v>
      </c>
      <c r="Q309" t="n">
        <v>0</v>
      </c>
      <c r="R309" t="n">
        <v>0</v>
      </c>
      <c r="S309" t="n">
        <v>0</v>
      </c>
      <c r="T309" t="n">
        <v>0</v>
      </c>
      <c r="U309" s="2" t="inlineStr"/>
    </row>
    <row r="310" ht="15" customHeight="1">
      <c r="A310" t="inlineStr">
        <is>
          <t>A 24302-2026</t>
        </is>
      </c>
      <c r="B310" t="inlineStr">
        <is>
          <t>avverkningsanmälan</t>
        </is>
      </c>
      <c r="C310" t="inlineStr">
        <is>
          <t>Föryngringsavverkning</t>
        </is>
      </c>
      <c r="D310" s="1" t="n">
        <v>46169</v>
      </c>
      <c r="E310" s="1" t="n">
        <v>46218</v>
      </c>
      <c r="F310" t="inlineStr">
        <is>
          <t>VÄSTMANLANDS LÄN</t>
        </is>
      </c>
      <c r="G310" t="inlineStr">
        <is>
          <t>KÖPING</t>
        </is>
      </c>
      <c r="I310" t="n">
        <v>2.1</v>
      </c>
      <c r="J310" t="n">
        <v>0</v>
      </c>
      <c r="K310" t="n">
        <v>0</v>
      </c>
      <c r="L310" t="n">
        <v>0</v>
      </c>
      <c r="M310" t="n">
        <v>0</v>
      </c>
      <c r="N310" t="n">
        <v>0</v>
      </c>
      <c r="O310" t="n">
        <v>0</v>
      </c>
      <c r="P310" t="n">
        <v>0</v>
      </c>
      <c r="Q310" t="n">
        <v>0</v>
      </c>
      <c r="R310" t="n">
        <v>0</v>
      </c>
      <c r="S310" t="n">
        <v>0</v>
      </c>
      <c r="T310" t="n">
        <v>0</v>
      </c>
      <c r="U310" s="2" t="inlineStr"/>
    </row>
    <row r="311" ht="15" customHeight="1">
      <c r="A311" t="inlineStr">
        <is>
          <t>A 24488-2026</t>
        </is>
      </c>
      <c r="B311" t="inlineStr">
        <is>
          <t>avverkningsanmälan</t>
        </is>
      </c>
      <c r="C311" t="inlineStr">
        <is>
          <t>Föryngringsavverkning</t>
        </is>
      </c>
      <c r="D311" s="1" t="n">
        <v>46170</v>
      </c>
      <c r="E311" s="1" t="n">
        <v>46218</v>
      </c>
      <c r="F311" t="inlineStr">
        <is>
          <t>VÄSTMANLANDS LÄN</t>
        </is>
      </c>
      <c r="G311" t="inlineStr">
        <is>
          <t>KÖPING</t>
        </is>
      </c>
      <c r="H311" t="inlineStr">
        <is>
          <t>Sveaskog</t>
        </is>
      </c>
      <c r="I311" t="n">
        <v>2.9</v>
      </c>
      <c r="J311" t="n">
        <v>0</v>
      </c>
      <c r="K311" t="n">
        <v>0</v>
      </c>
      <c r="L311" t="n">
        <v>0</v>
      </c>
      <c r="M311" t="n">
        <v>0</v>
      </c>
      <c r="N311" t="n">
        <v>0</v>
      </c>
      <c r="O311" t="n">
        <v>0</v>
      </c>
      <c r="P311" t="n">
        <v>0</v>
      </c>
      <c r="Q311" t="n">
        <v>0</v>
      </c>
      <c r="R311" t="n">
        <v>0</v>
      </c>
      <c r="S311" t="n">
        <v>0</v>
      </c>
      <c r="T311" t="n">
        <v>0</v>
      </c>
      <c r="U311" s="2" t="inlineStr"/>
    </row>
    <row r="312" ht="15" customHeight="1">
      <c r="A312" t="inlineStr">
        <is>
          <t>A 24482-2026</t>
        </is>
      </c>
      <c r="B312" t="inlineStr">
        <is>
          <t>avverkningsanmälan</t>
        </is>
      </c>
      <c r="C312" t="inlineStr">
        <is>
          <t>Föryngringsavverkning</t>
        </is>
      </c>
      <c r="D312" s="1" t="n">
        <v>46170</v>
      </c>
      <c r="E312" s="1" t="n">
        <v>46218</v>
      </c>
      <c r="F312" t="inlineStr">
        <is>
          <t>VÄSTMANLANDS LÄN</t>
        </is>
      </c>
      <c r="G312" t="inlineStr">
        <is>
          <t>KÖPING</t>
        </is>
      </c>
      <c r="H312" t="inlineStr">
        <is>
          <t>Sveaskog</t>
        </is>
      </c>
      <c r="I312" t="n">
        <v>0.7</v>
      </c>
      <c r="J312" t="n">
        <v>0</v>
      </c>
      <c r="K312" t="n">
        <v>0</v>
      </c>
      <c r="L312" t="n">
        <v>0</v>
      </c>
      <c r="M312" t="n">
        <v>0</v>
      </c>
      <c r="N312" t="n">
        <v>0</v>
      </c>
      <c r="O312" t="n">
        <v>0</v>
      </c>
      <c r="P312" t="n">
        <v>0</v>
      </c>
      <c r="Q312" t="n">
        <v>0</v>
      </c>
      <c r="R312" t="n">
        <v>0</v>
      </c>
      <c r="S312" t="n">
        <v>0</v>
      </c>
      <c r="T312" t="n">
        <v>0</v>
      </c>
      <c r="U312" s="2" t="inlineStr"/>
    </row>
    <row r="313" ht="15" customHeight="1">
      <c r="A313" t="inlineStr">
        <is>
          <t>A 13375-2026</t>
        </is>
      </c>
      <c r="B313" t="inlineStr">
        <is>
          <t>avverkningsanmälan</t>
        </is>
      </c>
      <c r="C313" t="inlineStr">
        <is>
          <t>Föryngringsavverkning</t>
        </is>
      </c>
      <c r="D313" s="1" t="n">
        <v>46094</v>
      </c>
      <c r="E313" s="1" t="n">
        <v>46218</v>
      </c>
      <c r="F313" t="inlineStr">
        <is>
          <t>VÄSTMANLANDS LÄN</t>
        </is>
      </c>
      <c r="G313" t="inlineStr">
        <is>
          <t>KÖPING</t>
        </is>
      </c>
      <c r="I313" t="n">
        <v>1.6</v>
      </c>
      <c r="J313" t="n">
        <v>0</v>
      </c>
      <c r="K313" t="n">
        <v>0</v>
      </c>
      <c r="L313" t="n">
        <v>0</v>
      </c>
      <c r="M313" t="n">
        <v>0</v>
      </c>
      <c r="N313" t="n">
        <v>0</v>
      </c>
      <c r="O313" t="n">
        <v>0</v>
      </c>
      <c r="P313" t="n">
        <v>0</v>
      </c>
      <c r="Q313" t="n">
        <v>0</v>
      </c>
      <c r="R313" t="n">
        <v>0</v>
      </c>
      <c r="S313" t="n">
        <v>0</v>
      </c>
      <c r="T313" t="n">
        <v>0</v>
      </c>
      <c r="U313" s="2" t="inlineStr"/>
    </row>
    <row r="314" ht="15" customHeight="1">
      <c r="A314" t="inlineStr">
        <is>
          <t>A 15055-2026</t>
        </is>
      </c>
      <c r="B314" t="inlineStr">
        <is>
          <t>avverkningsanmälan</t>
        </is>
      </c>
      <c r="C314" t="inlineStr">
        <is>
          <t>Föryngringsavverkning</t>
        </is>
      </c>
      <c r="D314" s="1" t="n">
        <v>46104</v>
      </c>
      <c r="E314" s="1" t="n">
        <v>46218</v>
      </c>
      <c r="F314" t="inlineStr">
        <is>
          <t>VÄSTMANLANDS LÄN</t>
        </is>
      </c>
      <c r="G314" t="inlineStr">
        <is>
          <t>KÖPING</t>
        </is>
      </c>
      <c r="H314" t="inlineStr">
        <is>
          <t>Sveaskog</t>
        </is>
      </c>
      <c r="I314" t="n">
        <v>2.1</v>
      </c>
      <c r="J314" t="n">
        <v>0</v>
      </c>
      <c r="K314" t="n">
        <v>0</v>
      </c>
      <c r="L314" t="n">
        <v>0</v>
      </c>
      <c r="M314" t="n">
        <v>0</v>
      </c>
      <c r="N314" t="n">
        <v>0</v>
      </c>
      <c r="O314" t="n">
        <v>0</v>
      </c>
      <c r="P314" t="n">
        <v>0</v>
      </c>
      <c r="Q314" t="n">
        <v>0</v>
      </c>
      <c r="R314" t="n">
        <v>0</v>
      </c>
      <c r="S314" t="n">
        <v>0</v>
      </c>
      <c r="T314" t="n">
        <v>0</v>
      </c>
      <c r="U314" s="2" t="inlineStr"/>
    </row>
    <row r="315" ht="15" customHeight="1">
      <c r="A315" t="inlineStr">
        <is>
          <t>A 15053-2026</t>
        </is>
      </c>
      <c r="B315" t="inlineStr">
        <is>
          <t>avverkningsanmälan</t>
        </is>
      </c>
      <c r="C315" t="inlineStr">
        <is>
          <t>Föryngringsavverkning</t>
        </is>
      </c>
      <c r="D315" s="1" t="n">
        <v>46104</v>
      </c>
      <c r="E315" s="1" t="n">
        <v>46218</v>
      </c>
      <c r="F315" t="inlineStr">
        <is>
          <t>VÄSTMANLANDS LÄN</t>
        </is>
      </c>
      <c r="G315" t="inlineStr">
        <is>
          <t>KÖPING</t>
        </is>
      </c>
      <c r="H315" t="inlineStr">
        <is>
          <t>Sveaskog</t>
        </is>
      </c>
      <c r="I315" t="n">
        <v>17.5</v>
      </c>
      <c r="J315" t="n">
        <v>0</v>
      </c>
      <c r="K315" t="n">
        <v>0</v>
      </c>
      <c r="L315" t="n">
        <v>0</v>
      </c>
      <c r="M315" t="n">
        <v>0</v>
      </c>
      <c r="N315" t="n">
        <v>0</v>
      </c>
      <c r="O315" t="n">
        <v>0</v>
      </c>
      <c r="P315" t="n">
        <v>0</v>
      </c>
      <c r="Q315" t="n">
        <v>0</v>
      </c>
      <c r="R315" t="n">
        <v>0</v>
      </c>
      <c r="S315" t="n">
        <v>0</v>
      </c>
      <c r="T315" t="n">
        <v>0</v>
      </c>
      <c r="U315" s="2" t="inlineStr"/>
    </row>
    <row r="316" ht="15" customHeight="1">
      <c r="A316" t="inlineStr">
        <is>
          <t>A 25818-2026</t>
        </is>
      </c>
      <c r="B316" t="inlineStr">
        <is>
          <t>avverkningsanmälan</t>
        </is>
      </c>
      <c r="C316" t="inlineStr">
        <is>
          <t>Föryngringsavverkning</t>
        </is>
      </c>
      <c r="D316" s="1" t="n">
        <v>46178</v>
      </c>
      <c r="E316" s="1" t="n">
        <v>46218</v>
      </c>
      <c r="F316" t="inlineStr">
        <is>
          <t>VÄSTMANLANDS LÄN</t>
        </is>
      </c>
      <c r="G316" t="inlineStr">
        <is>
          <t>KÖPING</t>
        </is>
      </c>
      <c r="I316" t="n">
        <v>2</v>
      </c>
      <c r="J316" t="n">
        <v>0</v>
      </c>
      <c r="K316" t="n">
        <v>0</v>
      </c>
      <c r="L316" t="n">
        <v>0</v>
      </c>
      <c r="M316" t="n">
        <v>0</v>
      </c>
      <c r="N316" t="n">
        <v>0</v>
      </c>
      <c r="O316" t="n">
        <v>0</v>
      </c>
      <c r="P316" t="n">
        <v>0</v>
      </c>
      <c r="Q316" t="n">
        <v>0</v>
      </c>
      <c r="R316" t="n">
        <v>0</v>
      </c>
      <c r="S316" t="n">
        <v>0</v>
      </c>
      <c r="T316" t="n">
        <v>0</v>
      </c>
      <c r="U316" s="2" t="inlineStr"/>
    </row>
    <row r="317" ht="15" customHeight="1">
      <c r="A317" t="inlineStr">
        <is>
          <t>A 25815-2026</t>
        </is>
      </c>
      <c r="B317" t="inlineStr">
        <is>
          <t>avverkningsanmälan</t>
        </is>
      </c>
      <c r="C317" t="inlineStr">
        <is>
          <t>Föryngringsavverkning</t>
        </is>
      </c>
      <c r="D317" s="1" t="n">
        <v>46178</v>
      </c>
      <c r="E317" s="1" t="n">
        <v>46218</v>
      </c>
      <c r="F317" t="inlineStr">
        <is>
          <t>VÄSTMANLANDS LÄN</t>
        </is>
      </c>
      <c r="G317" t="inlineStr">
        <is>
          <t>KÖPING</t>
        </is>
      </c>
      <c r="I317" t="n">
        <v>6.6</v>
      </c>
      <c r="J317" t="n">
        <v>0</v>
      </c>
      <c r="K317" t="n">
        <v>0</v>
      </c>
      <c r="L317" t="n">
        <v>0</v>
      </c>
      <c r="M317" t="n">
        <v>0</v>
      </c>
      <c r="N317" t="n">
        <v>0</v>
      </c>
      <c r="O317" t="n">
        <v>0</v>
      </c>
      <c r="P317" t="n">
        <v>0</v>
      </c>
      <c r="Q317" t="n">
        <v>0</v>
      </c>
      <c r="R317" t="n">
        <v>0</v>
      </c>
      <c r="S317" t="n">
        <v>0</v>
      </c>
      <c r="T317" t="n">
        <v>0</v>
      </c>
      <c r="U317" s="2" t="inlineStr"/>
    </row>
    <row r="318" ht="15" customHeight="1">
      <c r="A318" t="inlineStr">
        <is>
          <t>A 25819-2026</t>
        </is>
      </c>
      <c r="B318" t="inlineStr">
        <is>
          <t>avverkningsanmälan</t>
        </is>
      </c>
      <c r="C318" t="inlineStr">
        <is>
          <t>Föryngringsavverkning</t>
        </is>
      </c>
      <c r="D318" s="1" t="n">
        <v>46178</v>
      </c>
      <c r="E318" s="1" t="n">
        <v>46218</v>
      </c>
      <c r="F318" t="inlineStr">
        <is>
          <t>VÄSTMANLANDS LÄN</t>
        </is>
      </c>
      <c r="G318" t="inlineStr">
        <is>
          <t>KÖPING</t>
        </is>
      </c>
      <c r="I318" t="n">
        <v>2.4</v>
      </c>
      <c r="J318" t="n">
        <v>0</v>
      </c>
      <c r="K318" t="n">
        <v>0</v>
      </c>
      <c r="L318" t="n">
        <v>0</v>
      </c>
      <c r="M318" t="n">
        <v>0</v>
      </c>
      <c r="N318" t="n">
        <v>0</v>
      </c>
      <c r="O318" t="n">
        <v>0</v>
      </c>
      <c r="P318" t="n">
        <v>0</v>
      </c>
      <c r="Q318" t="n">
        <v>0</v>
      </c>
      <c r="R318" t="n">
        <v>0</v>
      </c>
      <c r="S318" t="n">
        <v>0</v>
      </c>
      <c r="T318" t="n">
        <v>0</v>
      </c>
      <c r="U318" s="2" t="inlineStr"/>
    </row>
    <row r="319" ht="15" customHeight="1">
      <c r="A319" t="inlineStr">
        <is>
          <t>S 2954-2022</t>
        </is>
      </c>
      <c r="B319" t="inlineStr">
        <is>
          <t>samrådsanmälan</t>
        </is>
      </c>
      <c r="C319" t="inlineStr">
        <is>
          <t>Åtgärd i nyckelbiotop</t>
        </is>
      </c>
      <c r="D319" s="1" t="n">
        <v>44712</v>
      </c>
      <c r="E319" s="1" t="n">
        <v>46218</v>
      </c>
      <c r="F319" t="inlineStr">
        <is>
          <t>VÄSTMANLANDS LÄN</t>
        </is>
      </c>
      <c r="G319" t="inlineStr">
        <is>
          <t>KÖPING</t>
        </is>
      </c>
      <c r="H319" t="inlineStr">
        <is>
          <t>Sveaskog</t>
        </is>
      </c>
      <c r="I319" t="n">
        <v>7.9</v>
      </c>
      <c r="J319" t="n">
        <v>0</v>
      </c>
      <c r="K319" t="n">
        <v>0</v>
      </c>
      <c r="L319" t="n">
        <v>0</v>
      </c>
      <c r="M319" t="n">
        <v>0</v>
      </c>
      <c r="N319" t="n">
        <v>0</v>
      </c>
      <c r="O319" t="n">
        <v>0</v>
      </c>
      <c r="P319" t="n">
        <v>0</v>
      </c>
      <c r="Q319" t="n">
        <v>0</v>
      </c>
      <c r="R319" t="n">
        <v>0</v>
      </c>
      <c r="S319" t="n">
        <v>0</v>
      </c>
      <c r="T319" t="n">
        <v>0</v>
      </c>
      <c r="U319" s="2" t="inlineStr"/>
    </row>
    <row r="320" ht="15" customHeight="1">
      <c r="A320" t="inlineStr">
        <is>
          <t>S 2007-2025</t>
        </is>
      </c>
      <c r="B320" t="inlineStr">
        <is>
          <t>samrådsanmälan</t>
        </is>
      </c>
      <c r="C320" t="inlineStr">
        <is>
          <t>Annan skogsbruksåtgärd</t>
        </is>
      </c>
      <c r="D320" s="1" t="n">
        <v>45834</v>
      </c>
      <c r="E320" s="1" t="n">
        <v>46218</v>
      </c>
      <c r="F320" t="inlineStr">
        <is>
          <t>VÄSTMANLANDS LÄN</t>
        </is>
      </c>
      <c r="G320" t="inlineStr">
        <is>
          <t>KÖPING</t>
        </is>
      </c>
      <c r="H320" t="inlineStr">
        <is>
          <t>Sveaskog</t>
        </is>
      </c>
      <c r="I320" t="n">
        <v>2.1</v>
      </c>
      <c r="J320" t="n">
        <v>0</v>
      </c>
      <c r="K320" t="n">
        <v>0</v>
      </c>
      <c r="L320" t="n">
        <v>0</v>
      </c>
      <c r="M320" t="n">
        <v>0</v>
      </c>
      <c r="N320" t="n">
        <v>0</v>
      </c>
      <c r="O320" t="n">
        <v>0</v>
      </c>
      <c r="P320" t="n">
        <v>0</v>
      </c>
      <c r="Q320" t="n">
        <v>0</v>
      </c>
      <c r="R320" t="n">
        <v>0</v>
      </c>
      <c r="S320" t="n">
        <v>0</v>
      </c>
      <c r="T320" t="n">
        <v>0</v>
      </c>
      <c r="U320" s="2" t="inlineStr"/>
    </row>
    <row r="321" ht="15" customHeight="1">
      <c r="A321" t="inlineStr">
        <is>
          <t>S 862-2025</t>
        </is>
      </c>
      <c r="B321" t="inlineStr">
        <is>
          <t>samrådsanmälan</t>
        </is>
      </c>
      <c r="C321" t="inlineStr">
        <is>
          <t>Annan skogsbruksåtgärd</t>
        </is>
      </c>
      <c r="D321" s="1" t="n">
        <v>45734</v>
      </c>
      <c r="E321" s="1" t="n">
        <v>46218</v>
      </c>
      <c r="F321" t="inlineStr">
        <is>
          <t>VÄSTMANLANDS LÄN</t>
        </is>
      </c>
      <c r="G321" t="inlineStr">
        <is>
          <t>KÖPING</t>
        </is>
      </c>
      <c r="H321" t="inlineStr">
        <is>
          <t>Sveaskog</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S 863-2025</t>
        </is>
      </c>
      <c r="B322" t="inlineStr">
        <is>
          <t>samrådsanmälan</t>
        </is>
      </c>
      <c r="C322" t="inlineStr">
        <is>
          <t>Annan skogsbruksåtgärd</t>
        </is>
      </c>
      <c r="D322" s="1" t="n">
        <v>45734</v>
      </c>
      <c r="E322" s="1" t="n">
        <v>46218</v>
      </c>
      <c r="F322" t="inlineStr">
        <is>
          <t>VÄSTMANLANDS LÄN</t>
        </is>
      </c>
      <c r="G322" t="inlineStr">
        <is>
          <t>KÖPING</t>
        </is>
      </c>
      <c r="H322" t="inlineStr">
        <is>
          <t>Sveaskog</t>
        </is>
      </c>
      <c r="I322" t="n">
        <v>1.4</v>
      </c>
      <c r="J322" t="n">
        <v>0</v>
      </c>
      <c r="K322" t="n">
        <v>0</v>
      </c>
      <c r="L322" t="n">
        <v>0</v>
      </c>
      <c r="M322" t="n">
        <v>0</v>
      </c>
      <c r="N322" t="n">
        <v>0</v>
      </c>
      <c r="O322" t="n">
        <v>0</v>
      </c>
      <c r="P322" t="n">
        <v>0</v>
      </c>
      <c r="Q322" t="n">
        <v>0</v>
      </c>
      <c r="R322" t="n">
        <v>0</v>
      </c>
      <c r="S322" t="n">
        <v>0</v>
      </c>
      <c r="T322" t="n">
        <v>0</v>
      </c>
      <c r="U322" s="2" t="inlineStr"/>
    </row>
    <row r="323" ht="15" customHeight="1">
      <c r="A323" t="inlineStr">
        <is>
          <t>S 864-2025</t>
        </is>
      </c>
      <c r="B323" t="inlineStr">
        <is>
          <t>samrådsanmälan</t>
        </is>
      </c>
      <c r="C323" t="inlineStr">
        <is>
          <t>Annan skogsbruksåtgärd</t>
        </is>
      </c>
      <c r="D323" s="1" t="n">
        <v>45734</v>
      </c>
      <c r="E323" s="1" t="n">
        <v>46218</v>
      </c>
      <c r="F323" t="inlineStr">
        <is>
          <t>VÄSTMANLANDS LÄN</t>
        </is>
      </c>
      <c r="G323" t="inlineStr">
        <is>
          <t>KÖPING</t>
        </is>
      </c>
      <c r="H323" t="inlineStr">
        <is>
          <t>Sveaskog</t>
        </is>
      </c>
      <c r="I323" t="n">
        <v>3.1</v>
      </c>
      <c r="J323" t="n">
        <v>0</v>
      </c>
      <c r="K323" t="n">
        <v>0</v>
      </c>
      <c r="L323" t="n">
        <v>0</v>
      </c>
      <c r="M323" t="n">
        <v>0</v>
      </c>
      <c r="N323" t="n">
        <v>0</v>
      </c>
      <c r="O323" t="n">
        <v>0</v>
      </c>
      <c r="P323" t="n">
        <v>0</v>
      </c>
      <c r="Q323" t="n">
        <v>0</v>
      </c>
      <c r="R323" t="n">
        <v>0</v>
      </c>
      <c r="S323" t="n">
        <v>0</v>
      </c>
      <c r="T323" t="n">
        <v>0</v>
      </c>
      <c r="U323" s="2" t="inlineStr"/>
    </row>
    <row r="324" ht="15" customHeight="1">
      <c r="A324" t="inlineStr">
        <is>
          <t>S 2720-2025</t>
        </is>
      </c>
      <c r="B324" t="inlineStr">
        <is>
          <t>samrådsanmälan</t>
        </is>
      </c>
      <c r="C324" t="inlineStr">
        <is>
          <t>Annan skogsbruksåtgärd</t>
        </is>
      </c>
      <c r="D324" s="1" t="n">
        <v>45931</v>
      </c>
      <c r="E324" s="1" t="n">
        <v>46218</v>
      </c>
      <c r="F324" t="inlineStr">
        <is>
          <t>VÄSTMANLANDS LÄN</t>
        </is>
      </c>
      <c r="G324" t="inlineStr">
        <is>
          <t>KÖPING</t>
        </is>
      </c>
      <c r="H324" t="inlineStr">
        <is>
          <t>Sveaskog</t>
        </is>
      </c>
      <c r="I324" t="n">
        <v>1.2</v>
      </c>
      <c r="J324" t="n">
        <v>0</v>
      </c>
      <c r="K324" t="n">
        <v>0</v>
      </c>
      <c r="L324" t="n">
        <v>0</v>
      </c>
      <c r="M324" t="n">
        <v>0</v>
      </c>
      <c r="N324" t="n">
        <v>0</v>
      </c>
      <c r="O324" t="n">
        <v>0</v>
      </c>
      <c r="P324" t="n">
        <v>0</v>
      </c>
      <c r="Q324" t="n">
        <v>0</v>
      </c>
      <c r="R324" t="n">
        <v>0</v>
      </c>
      <c r="S324" t="n">
        <v>0</v>
      </c>
      <c r="T324" t="n">
        <v>0</v>
      </c>
      <c r="U324" s="2" t="inlineStr"/>
    </row>
    <row r="325">
      <c r="A325" t="inlineStr">
        <is>
          <t>S 1799-2026</t>
        </is>
      </c>
      <c r="B325" t="inlineStr">
        <is>
          <t>samrådsanmälan</t>
        </is>
      </c>
      <c r="C325" t="inlineStr">
        <is>
          <t>Annan skogsbruksåtgärd</t>
        </is>
      </c>
      <c r="D325" s="1" t="n">
        <v>46196</v>
      </c>
      <c r="E325" s="1" t="n">
        <v>46218</v>
      </c>
      <c r="F325" t="inlineStr">
        <is>
          <t>VÄSTMANLANDS LÄN</t>
        </is>
      </c>
      <c r="G325" t="inlineStr">
        <is>
          <t>KÖPING</t>
        </is>
      </c>
      <c r="H325" t="inlineStr">
        <is>
          <t>Sveaskog</t>
        </is>
      </c>
      <c r="I325" t="n">
        <v>1.6</v>
      </c>
      <c r="J325" t="n">
        <v>0</v>
      </c>
      <c r="K325" t="n">
        <v>0</v>
      </c>
      <c r="L325" t="n">
        <v>0</v>
      </c>
      <c r="M325" t="n">
        <v>0</v>
      </c>
      <c r="N325" t="n">
        <v>0</v>
      </c>
      <c r="O325" t="n">
        <v>0</v>
      </c>
      <c r="P325" t="n">
        <v>0</v>
      </c>
      <c r="Q325" t="n">
        <v>0</v>
      </c>
      <c r="R325" t="n">
        <v>0</v>
      </c>
      <c r="S325" t="n">
        <v>0</v>
      </c>
      <c r="T325" t="n">
        <v>0</v>
      </c>
      <c r="U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2026-07-15T01:23:45Z</dcterms:created>
  <dcterms:modified xmlns:dcterms="http://purl.org/dc/terms/" xmlns:xsi="http://www.w3.org/2001/XMLSchema-instance" xsi:type="dcterms:W3CDTF">2026-07-15T01:23:45Z</dcterms:modified>
</cp:coreProperties>
</file>