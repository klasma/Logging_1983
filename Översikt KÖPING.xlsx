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46118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46118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46118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46118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46118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46118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46118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46118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46118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46118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46118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13066-2025</t>
        </is>
      </c>
      <c r="B26" s="1" t="n">
        <v>45734.6059837963</v>
      </c>
      <c r="C26" s="1" t="n">
        <v>46118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HYPERLINK("https://klasma.github.io/Logging_1983/artfynd/A 13066-2025 artfynd.xlsx", "A 13066-2025")</f>
        <v/>
      </c>
      <c r="T26">
        <f>HYPERLINK("https://klasma.github.io/Logging_1983/kartor/A 13066-2025 karta.png", "A 13066-2025")</f>
        <v/>
      </c>
      <c r="V26">
        <f>HYPERLINK("https://klasma.github.io/Logging_1983/klagomål/A 13066-2025 FSC-klagomål.docx", "A 13066-2025")</f>
        <v/>
      </c>
      <c r="W26">
        <f>HYPERLINK("https://klasma.github.io/Logging_1983/klagomålsmail/A 13066-2025 FSC-klagomål mail.docx", "A 13066-2025")</f>
        <v/>
      </c>
      <c r="X26">
        <f>HYPERLINK("https://klasma.github.io/Logging_1983/tillsyn/A 13066-2025 tillsynsbegäran.docx", "A 13066-2025")</f>
        <v/>
      </c>
      <c r="Y26">
        <f>HYPERLINK("https://klasma.github.io/Logging_1983/tillsynsmail/A 13066-2025 tillsynsbegäran mail.docx", "A 13066-2025")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46118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46118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46118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46118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46118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46118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46118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46118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46118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46118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46118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46118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46118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46118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46118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46118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46118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46118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46118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46118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46118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46118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46118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46118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46118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46118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46118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46118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46118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46118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46118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46118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46118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46118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46118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46118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46118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46118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46118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46118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46118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46118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46118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34290-2023</t>
        </is>
      </c>
      <c r="B93" s="1" t="n">
        <v>45138</v>
      </c>
      <c r="C93" s="1" t="n">
        <v>46118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46118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46118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46118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37752-2023</t>
        </is>
      </c>
      <c r="B97" s="1" t="n">
        <v>45159</v>
      </c>
      <c r="C97" s="1" t="n">
        <v>46118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46118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20798-2022</t>
        </is>
      </c>
      <c r="B99" s="1" t="n">
        <v>44701.40878472223</v>
      </c>
      <c r="C99" s="1" t="n">
        <v>46118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46118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27261-2022</t>
        </is>
      </c>
      <c r="B101" s="1" t="n">
        <v>44741</v>
      </c>
      <c r="C101" s="1" t="n">
        <v>46118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55720-2022</t>
        </is>
      </c>
      <c r="B102" s="1" t="n">
        <v>44888.57140046296</v>
      </c>
      <c r="C102" s="1" t="n">
        <v>46118</v>
      </c>
      <c r="D102" t="inlineStr">
        <is>
          <t>VÄSTMANLANDS LÄN</t>
        </is>
      </c>
      <c r="E102" t="inlineStr">
        <is>
          <t>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10512-2022</t>
        </is>
      </c>
      <c r="B103" s="1" t="n">
        <v>44623.68829861111</v>
      </c>
      <c r="C103" s="1" t="n">
        <v>46118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54870-2024</t>
        </is>
      </c>
      <c r="B104" s="1" t="n">
        <v>45618.59853009259</v>
      </c>
      <c r="C104" s="1" t="n">
        <v>46118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14664-2022</t>
        </is>
      </c>
      <c r="B105" s="1" t="n">
        <v>44655.78577546297</v>
      </c>
      <c r="C105" s="1" t="n">
        <v>46118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46118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46118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7370-2022</t>
        </is>
      </c>
      <c r="B108" s="1" t="n">
        <v>44606</v>
      </c>
      <c r="C108" s="1" t="n">
        <v>46118</v>
      </c>
      <c r="D108" t="inlineStr">
        <is>
          <t>VÄSTMANLANDS LÄN</t>
        </is>
      </c>
      <c r="E108" t="inlineStr">
        <is>
          <t>KÖPING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46118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46118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46118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21157-2025</t>
        </is>
      </c>
      <c r="B112" s="1" t="n">
        <v>45779</v>
      </c>
      <c r="C112" s="1" t="n">
        <v>46118</v>
      </c>
      <c r="D112" t="inlineStr">
        <is>
          <t>VÄSTMANLANDS LÄN</t>
        </is>
      </c>
      <c r="E112" t="inlineStr">
        <is>
          <t>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46118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53996-2021</t>
        </is>
      </c>
      <c r="B114" s="1" t="n">
        <v>44470</v>
      </c>
      <c r="C114" s="1" t="n">
        <v>46118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30139-2025</t>
        </is>
      </c>
      <c r="B115" s="1" t="n">
        <v>45826</v>
      </c>
      <c r="C115" s="1" t="n">
        <v>46118</v>
      </c>
      <c r="D115" t="inlineStr">
        <is>
          <t>VÄSTMANLANDS LÄN</t>
        </is>
      </c>
      <c r="E115" t="inlineStr">
        <is>
          <t>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46118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65740-2021</t>
        </is>
      </c>
      <c r="B117" s="1" t="n">
        <v>44516.75021990741</v>
      </c>
      <c r="C117" s="1" t="n">
        <v>46118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8703-2024</t>
        </is>
      </c>
      <c r="B118" s="1" t="n">
        <v>45356.38356481482</v>
      </c>
      <c r="C118" s="1" t="n">
        <v>46118</v>
      </c>
      <c r="D118" t="inlineStr">
        <is>
          <t>VÄSTMANLANDS LÄN</t>
        </is>
      </c>
      <c r="E118" t="inlineStr">
        <is>
          <t>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46118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39646-2023</t>
        </is>
      </c>
      <c r="B120" s="1" t="n">
        <v>45166</v>
      </c>
      <c r="C120" s="1" t="n">
        <v>46118</v>
      </c>
      <c r="D120" t="inlineStr">
        <is>
          <t>VÄSTMANLANDS LÄN</t>
        </is>
      </c>
      <c r="E120" t="inlineStr">
        <is>
          <t>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36726-2025</t>
        </is>
      </c>
      <c r="B121" s="1" t="n">
        <v>45873</v>
      </c>
      <c r="C121" s="1" t="n">
        <v>46118</v>
      </c>
      <c r="D121" t="inlineStr">
        <is>
          <t>VÄSTMANLANDS LÄN</t>
        </is>
      </c>
      <c r="E121" t="inlineStr">
        <is>
          <t>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23791-2022</t>
        </is>
      </c>
      <c r="B122" s="1" t="n">
        <v>44722</v>
      </c>
      <c r="C122" s="1" t="n">
        <v>46118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51132-2023</t>
        </is>
      </c>
      <c r="B123" s="1" t="n">
        <v>45219.32967592592</v>
      </c>
      <c r="C123" s="1" t="n">
        <v>46118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1181-2025</t>
        </is>
      </c>
      <c r="B124" s="1" t="n">
        <v>45667</v>
      </c>
      <c r="C124" s="1" t="n">
        <v>46118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46118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16907-2024</t>
        </is>
      </c>
      <c r="B126" s="1" t="n">
        <v>45411.63599537037</v>
      </c>
      <c r="C126" s="1" t="n">
        <v>46118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46118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46118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46118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46118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46118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46118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46118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46118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46118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13041-2025</t>
        </is>
      </c>
      <c r="B136" s="1" t="n">
        <v>45734</v>
      </c>
      <c r="C136" s="1" t="n">
        <v>46118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46118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17295-2023</t>
        </is>
      </c>
      <c r="B138" s="1" t="n">
        <v>45035.48342592592</v>
      </c>
      <c r="C138" s="1" t="n">
        <v>46118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46118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19953-2025</t>
        </is>
      </c>
      <c r="B140" s="1" t="n">
        <v>45771</v>
      </c>
      <c r="C140" s="1" t="n">
        <v>46118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46118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46118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46118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41959-2025</t>
        </is>
      </c>
      <c r="B144" s="1" t="n">
        <v>45903.46909722222</v>
      </c>
      <c r="C144" s="1" t="n">
        <v>46118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61897-2022</t>
        </is>
      </c>
      <c r="B145" s="1" t="n">
        <v>44917</v>
      </c>
      <c r="C145" s="1" t="n">
        <v>46118</v>
      </c>
      <c r="D145" t="inlineStr">
        <is>
          <t>VÄSTMANLANDS LÄN</t>
        </is>
      </c>
      <c r="E145" t="inlineStr">
        <is>
          <t>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46118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46118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38854-2025</t>
        </is>
      </c>
      <c r="B148" s="1" t="n">
        <v>45887.55680555556</v>
      </c>
      <c r="C148" s="1" t="n">
        <v>46118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46118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46118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46118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46118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46118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46118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46118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46118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46118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46118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46118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46118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15549-2024</t>
        </is>
      </c>
      <c r="B161" s="1" t="n">
        <v>45401.63344907408</v>
      </c>
      <c r="C161" s="1" t="n">
        <v>46118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28230-2023</t>
        </is>
      </c>
      <c r="B162" s="1" t="n">
        <v>45099</v>
      </c>
      <c r="C162" s="1" t="n">
        <v>46118</v>
      </c>
      <c r="D162" t="inlineStr">
        <is>
          <t>VÄSTMANLANDS LÄN</t>
        </is>
      </c>
      <c r="E162" t="inlineStr">
        <is>
          <t>KÖPING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64044-2023</t>
        </is>
      </c>
      <c r="B163" s="1" t="n">
        <v>45278</v>
      </c>
      <c r="C163" s="1" t="n">
        <v>46118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46118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15551-2024</t>
        </is>
      </c>
      <c r="B165" s="1" t="n">
        <v>45401.63582175926</v>
      </c>
      <c r="C165" s="1" t="n">
        <v>46118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17380-2023</t>
        </is>
      </c>
      <c r="B166" s="1" t="n">
        <v>45035.65481481481</v>
      </c>
      <c r="C166" s="1" t="n">
        <v>46118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40693-2023</t>
        </is>
      </c>
      <c r="B167" s="1" t="n">
        <v>45170.60415509259</v>
      </c>
      <c r="C167" s="1" t="n">
        <v>46118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54657-2023</t>
        </is>
      </c>
      <c r="B168" s="1" t="n">
        <v>45235</v>
      </c>
      <c r="C168" s="1" t="n">
        <v>46118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51407-2023</t>
        </is>
      </c>
      <c r="B169" s="1" t="n">
        <v>45219.69122685185</v>
      </c>
      <c r="C169" s="1" t="n">
        <v>46118</v>
      </c>
      <c r="D169" t="inlineStr">
        <is>
          <t>VÄSTMANLANDS LÄN</t>
        </is>
      </c>
      <c r="E169" t="inlineStr">
        <is>
          <t>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23386-2023</t>
        </is>
      </c>
      <c r="B170" s="1" t="n">
        <v>45076</v>
      </c>
      <c r="C170" s="1" t="n">
        <v>46118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46118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28374-2024</t>
        </is>
      </c>
      <c r="B172" s="1" t="n">
        <v>45477.58703703704</v>
      </c>
      <c r="C172" s="1" t="n">
        <v>46118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43303-2022</t>
        </is>
      </c>
      <c r="B173" s="1" t="n">
        <v>44834.54392361111</v>
      </c>
      <c r="C173" s="1" t="n">
        <v>46118</v>
      </c>
      <c r="D173" t="inlineStr">
        <is>
          <t>VÄSTMANLANDS LÄN</t>
        </is>
      </c>
      <c r="E173" t="inlineStr">
        <is>
          <t>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65582-2021</t>
        </is>
      </c>
      <c r="B174" s="1" t="n">
        <v>44516</v>
      </c>
      <c r="C174" s="1" t="n">
        <v>46118</v>
      </c>
      <c r="D174" t="inlineStr">
        <is>
          <t>VÄSTMANLANDS LÄN</t>
        </is>
      </c>
      <c r="E174" t="inlineStr">
        <is>
          <t>KÖPING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44408-2022</t>
        </is>
      </c>
      <c r="B175" s="1" t="n">
        <v>44839</v>
      </c>
      <c r="C175" s="1" t="n">
        <v>46118</v>
      </c>
      <c r="D175" t="inlineStr">
        <is>
          <t>VÄSTMANLANDS LÄN</t>
        </is>
      </c>
      <c r="E175" t="inlineStr">
        <is>
          <t>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30141-2022</t>
        </is>
      </c>
      <c r="B176" s="1" t="n">
        <v>44757.48153935185</v>
      </c>
      <c r="C176" s="1" t="n">
        <v>46118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46118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46118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2608-2025</t>
        </is>
      </c>
      <c r="B179" s="1" t="n">
        <v>45674</v>
      </c>
      <c r="C179" s="1" t="n">
        <v>46118</v>
      </c>
      <c r="D179" t="inlineStr">
        <is>
          <t>VÄSTMANLANDS LÄN</t>
        </is>
      </c>
      <c r="E179" t="inlineStr">
        <is>
          <t>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19358-2024</t>
        </is>
      </c>
      <c r="B180" s="1" t="n">
        <v>45429</v>
      </c>
      <c r="C180" s="1" t="n">
        <v>46118</v>
      </c>
      <c r="D180" t="inlineStr">
        <is>
          <t>VÄSTMANLANDS LÄN</t>
        </is>
      </c>
      <c r="E180" t="inlineStr">
        <is>
          <t>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46118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45048-2024</t>
        </is>
      </c>
      <c r="B182" s="1" t="n">
        <v>45575</v>
      </c>
      <c r="C182" s="1" t="n">
        <v>46118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46118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46118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48317-2025</t>
        </is>
      </c>
      <c r="B185" s="1" t="n">
        <v>45933.62094907407</v>
      </c>
      <c r="C185" s="1" t="n">
        <v>46118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48319-2025</t>
        </is>
      </c>
      <c r="B186" s="1" t="n">
        <v>45933.62429398148</v>
      </c>
      <c r="C186" s="1" t="n">
        <v>46118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48828-2025</t>
        </is>
      </c>
      <c r="B187" s="1" t="n">
        <v>45937.38329861111</v>
      </c>
      <c r="C187" s="1" t="n">
        <v>46118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44814-2023</t>
        </is>
      </c>
      <c r="B188" s="1" t="n">
        <v>45190</v>
      </c>
      <c r="C188" s="1" t="n">
        <v>46118</v>
      </c>
      <c r="D188" t="inlineStr">
        <is>
          <t>VÄSTMANLANDS LÄN</t>
        </is>
      </c>
      <c r="E188" t="inlineStr">
        <is>
          <t>KÖPING</t>
        </is>
      </c>
      <c r="G188" t="n">
        <v>24.2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48978-2025</t>
        </is>
      </c>
      <c r="B189" s="1" t="n">
        <v>45937.57011574074</v>
      </c>
      <c r="C189" s="1" t="n">
        <v>46118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48979-2025</t>
        </is>
      </c>
      <c r="B190" s="1" t="n">
        <v>45937.57126157408</v>
      </c>
      <c r="C190" s="1" t="n">
        <v>46118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46118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33932-2024</t>
        </is>
      </c>
      <c r="B192" s="1" t="n">
        <v>45523.43164351852</v>
      </c>
      <c r="C192" s="1" t="n">
        <v>46118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46118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46118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13050-2025</t>
        </is>
      </c>
      <c r="B195" s="1" t="n">
        <v>45734.59349537037</v>
      </c>
      <c r="C195" s="1" t="n">
        <v>46118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6948-2023</t>
        </is>
      </c>
      <c r="B196" s="1" t="n">
        <v>44967.58497685185</v>
      </c>
      <c r="C196" s="1" t="n">
        <v>46118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13847-2025</t>
        </is>
      </c>
      <c r="B197" s="1" t="n">
        <v>45737.56431712963</v>
      </c>
      <c r="C197" s="1" t="n">
        <v>46118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4981-2024</t>
        </is>
      </c>
      <c r="B198" s="1" t="n">
        <v>45329</v>
      </c>
      <c r="C198" s="1" t="n">
        <v>46118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51190-2024</t>
        </is>
      </c>
      <c r="B199" s="1" t="n">
        <v>45603.61458333334</v>
      </c>
      <c r="C199" s="1" t="n">
        <v>46118</v>
      </c>
      <c r="D199" t="inlineStr">
        <is>
          <t>VÄSTMANLANDS LÄN</t>
        </is>
      </c>
      <c r="E199" t="inlineStr">
        <is>
          <t>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2071-2025</t>
        </is>
      </c>
      <c r="B200" s="1" t="n">
        <v>45672.56981481481</v>
      </c>
      <c r="C200" s="1" t="n">
        <v>46118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52481-2025</t>
        </is>
      </c>
      <c r="B201" s="1" t="n">
        <v>45954.47333333334</v>
      </c>
      <c r="C201" s="1" t="n">
        <v>46118</v>
      </c>
      <c r="D201" t="inlineStr">
        <is>
          <t>VÄSTMANLANDS LÄN</t>
        </is>
      </c>
      <c r="E201" t="inlineStr">
        <is>
          <t>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44621-2023</t>
        </is>
      </c>
      <c r="B202" s="1" t="n">
        <v>45189.64144675926</v>
      </c>
      <c r="C202" s="1" t="n">
        <v>46118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53351-2025</t>
        </is>
      </c>
      <c r="B203" s="1" t="n">
        <v>45959.44415509259</v>
      </c>
      <c r="C203" s="1" t="n">
        <v>46118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30147-2022</t>
        </is>
      </c>
      <c r="B204" s="1" t="n">
        <v>44757.49366898148</v>
      </c>
      <c r="C204" s="1" t="n">
        <v>46118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11034-2022</t>
        </is>
      </c>
      <c r="B205" s="1" t="n">
        <v>44628.58557870371</v>
      </c>
      <c r="C205" s="1" t="n">
        <v>46118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43567-2022</t>
        </is>
      </c>
      <c r="B206" s="1" t="n">
        <v>44837</v>
      </c>
      <c r="C206" s="1" t="n">
        <v>46118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46118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22793-2024</t>
        </is>
      </c>
      <c r="B208" s="1" t="n">
        <v>45448</v>
      </c>
      <c r="C208" s="1" t="n">
        <v>46118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46124-2022</t>
        </is>
      </c>
      <c r="B209" s="1" t="n">
        <v>44847</v>
      </c>
      <c r="C209" s="1" t="n">
        <v>46118</v>
      </c>
      <c r="D209" t="inlineStr">
        <is>
          <t>VÄSTMANLANDS LÄN</t>
        </is>
      </c>
      <c r="E209" t="inlineStr">
        <is>
          <t>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46126-2022</t>
        </is>
      </c>
      <c r="B210" s="1" t="n">
        <v>44847</v>
      </c>
      <c r="C210" s="1" t="n">
        <v>46118</v>
      </c>
      <c r="D210" t="inlineStr">
        <is>
          <t>VÄSTMANLANDS LÄN</t>
        </is>
      </c>
      <c r="E210" t="inlineStr">
        <is>
          <t>KÖPING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54730-2025</t>
        </is>
      </c>
      <c r="B211" s="1" t="n">
        <v>45966.55922453704</v>
      </c>
      <c r="C211" s="1" t="n">
        <v>46118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46118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46118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46118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1290-2023</t>
        </is>
      </c>
      <c r="B215" s="1" t="n">
        <v>44936.47363425926</v>
      </c>
      <c r="C215" s="1" t="n">
        <v>46118</v>
      </c>
      <c r="D215" t="inlineStr">
        <is>
          <t>VÄSTMANLANDS LÄN</t>
        </is>
      </c>
      <c r="E215" t="inlineStr">
        <is>
          <t>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57297-2024</t>
        </is>
      </c>
      <c r="B216" s="1" t="n">
        <v>45629</v>
      </c>
      <c r="C216" s="1" t="n">
        <v>46118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56298-2025</t>
        </is>
      </c>
      <c r="B217" s="1" t="n">
        <v>45974.60434027778</v>
      </c>
      <c r="C217" s="1" t="n">
        <v>46118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56301-2025</t>
        </is>
      </c>
      <c r="B218" s="1" t="n">
        <v>45974</v>
      </c>
      <c r="C218" s="1" t="n">
        <v>46118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61322-2023</t>
        </is>
      </c>
      <c r="B219" s="1" t="n">
        <v>45264.57892361111</v>
      </c>
      <c r="C219" s="1" t="n">
        <v>46118</v>
      </c>
      <c r="D219" t="inlineStr">
        <is>
          <t>VÄSTMANLANDS LÄN</t>
        </is>
      </c>
      <c r="E219" t="inlineStr">
        <is>
          <t>KÖPING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56296-2025</t>
        </is>
      </c>
      <c r="B220" s="1" t="n">
        <v>45974.60321759259</v>
      </c>
      <c r="C220" s="1" t="n">
        <v>46118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46118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46118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29934-2022</t>
        </is>
      </c>
      <c r="B223" s="1" t="n">
        <v>44757</v>
      </c>
      <c r="C223" s="1" t="n">
        <v>46118</v>
      </c>
      <c r="D223" t="inlineStr">
        <is>
          <t>VÄSTMANLANDS LÄN</t>
        </is>
      </c>
      <c r="E223" t="inlineStr">
        <is>
          <t>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46118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23656-2023</t>
        </is>
      </c>
      <c r="B225" s="1" t="n">
        <v>45077.56179398148</v>
      </c>
      <c r="C225" s="1" t="n">
        <v>46118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23658-2023</t>
        </is>
      </c>
      <c r="B226" s="1" t="n">
        <v>45077.56442129629</v>
      </c>
      <c r="C226" s="1" t="n">
        <v>46118</v>
      </c>
      <c r="D226" t="inlineStr">
        <is>
          <t>VÄSTMANLANDS LÄN</t>
        </is>
      </c>
      <c r="E226" t="inlineStr">
        <is>
          <t>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46118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57693-2025</t>
        </is>
      </c>
      <c r="B228" s="1" t="n">
        <v>45981.45151620371</v>
      </c>
      <c r="C228" s="1" t="n">
        <v>46118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10096-2025</t>
        </is>
      </c>
      <c r="B229" s="1" t="n">
        <v>45719.57665509259</v>
      </c>
      <c r="C229" s="1" t="n">
        <v>46118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57318-2025</t>
        </is>
      </c>
      <c r="B230" s="1" t="n">
        <v>45980.01403935185</v>
      </c>
      <c r="C230" s="1" t="n">
        <v>46118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46118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46118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46118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15735-2024</t>
        </is>
      </c>
      <c r="B234" s="1" t="n">
        <v>45404</v>
      </c>
      <c r="C234" s="1" t="n">
        <v>46118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20395-2025</t>
        </is>
      </c>
      <c r="B235" s="1" t="n">
        <v>45775</v>
      </c>
      <c r="C235" s="1" t="n">
        <v>46118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39358-2024</t>
        </is>
      </c>
      <c r="B236" s="1" t="n">
        <v>45551</v>
      </c>
      <c r="C236" s="1" t="n">
        <v>46118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63241-2023</t>
        </is>
      </c>
      <c r="B237" s="1" t="n">
        <v>45273</v>
      </c>
      <c r="C237" s="1" t="n">
        <v>46118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11220-2023</t>
        </is>
      </c>
      <c r="B238" s="1" t="n">
        <v>44988</v>
      </c>
      <c r="C238" s="1" t="n">
        <v>46118</v>
      </c>
      <c r="D238" t="inlineStr">
        <is>
          <t>VÄSTMANLANDS LÄN</t>
        </is>
      </c>
      <c r="E238" t="inlineStr">
        <is>
          <t>KÖPING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54871-2024</t>
        </is>
      </c>
      <c r="B239" s="1" t="n">
        <v>45618.59935185185</v>
      </c>
      <c r="C239" s="1" t="n">
        <v>46118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60072-2025</t>
        </is>
      </c>
      <c r="B240" s="1" t="n">
        <v>45993.67482638889</v>
      </c>
      <c r="C240" s="1" t="n">
        <v>46118</v>
      </c>
      <c r="D240" t="inlineStr">
        <is>
          <t>VÄSTMANLANDS LÄN</t>
        </is>
      </c>
      <c r="E240" t="inlineStr">
        <is>
          <t>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59724-2025</t>
        </is>
      </c>
      <c r="B241" s="1" t="n">
        <v>45992.55136574074</v>
      </c>
      <c r="C241" s="1" t="n">
        <v>46118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16430-2022</t>
        </is>
      </c>
      <c r="B242" s="1" t="n">
        <v>44671</v>
      </c>
      <c r="C242" s="1" t="n">
        <v>46118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57514-2022</t>
        </is>
      </c>
      <c r="B243" s="1" t="n">
        <v>44896</v>
      </c>
      <c r="C243" s="1" t="n">
        <v>46118</v>
      </c>
      <c r="D243" t="inlineStr">
        <is>
          <t>VÄSTMANLANDS LÄN</t>
        </is>
      </c>
      <c r="E243" t="inlineStr">
        <is>
          <t>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46118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60830-2025</t>
        </is>
      </c>
      <c r="B245" s="1" t="n">
        <v>45999.46914351852</v>
      </c>
      <c r="C245" s="1" t="n">
        <v>46118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4687-2023</t>
        </is>
      </c>
      <c r="B246" s="1" t="n">
        <v>44957.46186342592</v>
      </c>
      <c r="C246" s="1" t="n">
        <v>46118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52799-2021</t>
        </is>
      </c>
      <c r="B247" s="1" t="n">
        <v>44467</v>
      </c>
      <c r="C247" s="1" t="n">
        <v>46118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57760-2022</t>
        </is>
      </c>
      <c r="B248" s="1" t="n">
        <v>44897</v>
      </c>
      <c r="C248" s="1" t="n">
        <v>46118</v>
      </c>
      <c r="D248" t="inlineStr">
        <is>
          <t>VÄSTMANLANDS LÄN</t>
        </is>
      </c>
      <c r="E248" t="inlineStr">
        <is>
          <t>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46118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29456-2023</t>
        </is>
      </c>
      <c r="B250" s="1" t="n">
        <v>45106</v>
      </c>
      <c r="C250" s="1" t="n">
        <v>46118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46118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62596-2025</t>
        </is>
      </c>
      <c r="B252" s="1" t="n">
        <v>46007.91685185185</v>
      </c>
      <c r="C252" s="1" t="n">
        <v>46118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18785-2025</t>
        </is>
      </c>
      <c r="B253" s="1" t="n">
        <v>45764</v>
      </c>
      <c r="C253" s="1" t="n">
        <v>46118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18787-2025</t>
        </is>
      </c>
      <c r="B254" s="1" t="n">
        <v>45764</v>
      </c>
      <c r="C254" s="1" t="n">
        <v>46118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37660-2022</t>
        </is>
      </c>
      <c r="B255" s="1" t="n">
        <v>44810.44481481481</v>
      </c>
      <c r="C255" s="1" t="n">
        <v>46118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37776-2022</t>
        </is>
      </c>
      <c r="B256" s="1" t="n">
        <v>44810.64696759259</v>
      </c>
      <c r="C256" s="1" t="n">
        <v>46118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29749-2022</t>
        </is>
      </c>
      <c r="B257" s="1" t="n">
        <v>44755</v>
      </c>
      <c r="C257" s="1" t="n">
        <v>46118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63448-2025</t>
        </is>
      </c>
      <c r="B258" s="1" t="n">
        <v>46013.40564814815</v>
      </c>
      <c r="C258" s="1" t="n">
        <v>46118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37669-2023</t>
        </is>
      </c>
      <c r="B259" s="1" t="n">
        <v>45159.55391203704</v>
      </c>
      <c r="C259" s="1" t="n">
        <v>46118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55835-2021</t>
        </is>
      </c>
      <c r="B260" s="1" t="n">
        <v>44476.62849537037</v>
      </c>
      <c r="C260" s="1" t="n">
        <v>46118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51412-2023</t>
        </is>
      </c>
      <c r="B261" s="1" t="n">
        <v>45219.71002314815</v>
      </c>
      <c r="C261" s="1" t="n">
        <v>46118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63882-2025</t>
        </is>
      </c>
      <c r="B262" s="1" t="n">
        <v>46020.57383101852</v>
      </c>
      <c r="C262" s="1" t="n">
        <v>46118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51119-2023</t>
        </is>
      </c>
      <c r="B263" s="1" t="n">
        <v>45219.30594907407</v>
      </c>
      <c r="C263" s="1" t="n">
        <v>46118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36409-2023</t>
        </is>
      </c>
      <c r="B264" s="1" t="n">
        <v>45152.56538194444</v>
      </c>
      <c r="C264" s="1" t="n">
        <v>46118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62449-2025</t>
        </is>
      </c>
      <c r="B265" s="1" t="n">
        <v>46007.4880324074</v>
      </c>
      <c r="C265" s="1" t="n">
        <v>46118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63321-2025</t>
        </is>
      </c>
      <c r="B266" s="1" t="n">
        <v>46010.63621527778</v>
      </c>
      <c r="C266" s="1" t="n">
        <v>46118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10343-2026</t>
        </is>
      </c>
      <c r="B267" s="1" t="n">
        <v>46076.67814814814</v>
      </c>
      <c r="C267" s="1" t="n">
        <v>46118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46118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10582-2024</t>
        </is>
      </c>
      <c r="B269" s="1" t="n">
        <v>45366.67637731481</v>
      </c>
      <c r="C269" s="1" t="n">
        <v>46118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25662-2024</t>
        </is>
      </c>
      <c r="B270" s="1" t="n">
        <v>45463.7021875</v>
      </c>
      <c r="C270" s="1" t="n">
        <v>46118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29317-2022</t>
        </is>
      </c>
      <c r="B271" s="1" t="n">
        <v>44751.34050925926</v>
      </c>
      <c r="C271" s="1" t="n">
        <v>46118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38844-2024</t>
        </is>
      </c>
      <c r="B272" s="1" t="n">
        <v>45547</v>
      </c>
      <c r="C272" s="1" t="n">
        <v>46118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199-2025</t>
        </is>
      </c>
      <c r="B273" s="1" t="n">
        <v>45659</v>
      </c>
      <c r="C273" s="1" t="n">
        <v>46118</v>
      </c>
      <c r="D273" t="inlineStr">
        <is>
          <t>VÄSTMANLANDS LÄN</t>
        </is>
      </c>
      <c r="E273" t="inlineStr">
        <is>
          <t>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46118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54867-2024</t>
        </is>
      </c>
      <c r="B275" s="1" t="n">
        <v>45618.59675925926</v>
      </c>
      <c r="C275" s="1" t="n">
        <v>46118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54869-2024</t>
        </is>
      </c>
      <c r="B276" s="1" t="n">
        <v>45618.59804398148</v>
      </c>
      <c r="C276" s="1" t="n">
        <v>46118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46118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46118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32029-2024</t>
        </is>
      </c>
      <c r="B279" s="1" t="n">
        <v>45510.66086805556</v>
      </c>
      <c r="C279" s="1" t="n">
        <v>46118</v>
      </c>
      <c r="D279" t="inlineStr">
        <is>
          <t>VÄSTMANLANDS LÄN</t>
        </is>
      </c>
      <c r="E279" t="inlineStr">
        <is>
          <t>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44616-2023</t>
        </is>
      </c>
      <c r="B280" s="1" t="n">
        <v>45189.63728009259</v>
      </c>
      <c r="C280" s="1" t="n">
        <v>46118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13042-2025</t>
        </is>
      </c>
      <c r="B281" s="1" t="n">
        <v>45734</v>
      </c>
      <c r="C281" s="1" t="n">
        <v>46118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13046-2025</t>
        </is>
      </c>
      <c r="B282" s="1" t="n">
        <v>45734.5908449074</v>
      </c>
      <c r="C282" s="1" t="n">
        <v>46118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13049-2025</t>
        </is>
      </c>
      <c r="B283" s="1" t="n">
        <v>45734.59259259259</v>
      </c>
      <c r="C283" s="1" t="n">
        <v>46118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4414-2026</t>
        </is>
      </c>
      <c r="B284" s="1" t="n">
        <v>46044</v>
      </c>
      <c r="C284" s="1" t="n">
        <v>46118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46118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51409-2023</t>
        </is>
      </c>
      <c r="B286" s="1" t="n">
        <v>45219.69724537037</v>
      </c>
      <c r="C286" s="1" t="n">
        <v>46118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46118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11760-2026</t>
        </is>
      </c>
      <c r="B288" s="1" t="n">
        <v>46084.69034722223</v>
      </c>
      <c r="C288" s="1" t="n">
        <v>46118</v>
      </c>
      <c r="D288" t="inlineStr">
        <is>
          <t>VÄSTMANLANDS LÄN</t>
        </is>
      </c>
      <c r="E288" t="inlineStr">
        <is>
          <t>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5710-2026</t>
        </is>
      </c>
      <c r="B289" s="1" t="n">
        <v>46051.51982638889</v>
      </c>
      <c r="C289" s="1" t="n">
        <v>46118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46118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40690-2023</t>
        </is>
      </c>
      <c r="B291" s="1" t="n">
        <v>45170.60081018518</v>
      </c>
      <c r="C291" s="1" t="n">
        <v>46118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30087-2021</t>
        </is>
      </c>
      <c r="B292" s="1" t="n">
        <v>44363.54297453703</v>
      </c>
      <c r="C292" s="1" t="n">
        <v>46118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39836-2024</t>
        </is>
      </c>
      <c r="B293" s="1" t="n">
        <v>45553.41850694444</v>
      </c>
      <c r="C293" s="1" t="n">
        <v>46118</v>
      </c>
      <c r="D293" t="inlineStr">
        <is>
          <t>VÄSTMANLANDS LÄN</t>
        </is>
      </c>
      <c r="E293" t="inlineStr">
        <is>
          <t>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46118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46118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13375-2026</t>
        </is>
      </c>
      <c r="B296" s="1" t="n">
        <v>46094.4186574074</v>
      </c>
      <c r="C296" s="1" t="n">
        <v>46118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46118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14062-2024</t>
        </is>
      </c>
      <c r="B298" s="1" t="n">
        <v>45392.56596064815</v>
      </c>
      <c r="C298" s="1" t="n">
        <v>46118</v>
      </c>
      <c r="D298" t="inlineStr">
        <is>
          <t>VÄSTMANLANDS LÄN</t>
        </is>
      </c>
      <c r="E298" t="inlineStr">
        <is>
          <t>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46118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46118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20151-2023</t>
        </is>
      </c>
      <c r="B301" s="1" t="n">
        <v>45051</v>
      </c>
      <c r="C301" s="1" t="n">
        <v>46118</v>
      </c>
      <c r="D301" t="inlineStr">
        <is>
          <t>VÄSTMANLANDS LÄN</t>
        </is>
      </c>
      <c r="E301" t="inlineStr">
        <is>
          <t>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19593-2025</t>
        </is>
      </c>
      <c r="B302" s="1" t="n">
        <v>45770.57755787037</v>
      </c>
      <c r="C302" s="1" t="n">
        <v>46118</v>
      </c>
      <c r="D302" t="inlineStr">
        <is>
          <t>VÄSTMANLANDS LÄN</t>
        </is>
      </c>
      <c r="E302" t="inlineStr">
        <is>
          <t>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10750-2023</t>
        </is>
      </c>
      <c r="B303" s="1" t="n">
        <v>44985</v>
      </c>
      <c r="C303" s="1" t="n">
        <v>46118</v>
      </c>
      <c r="D303" t="inlineStr">
        <is>
          <t>VÄSTMANLANDS LÄN</t>
        </is>
      </c>
      <c r="E303" t="inlineStr">
        <is>
          <t>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46118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15554-2024</t>
        </is>
      </c>
      <c r="B305" s="1" t="n">
        <v>45401</v>
      </c>
      <c r="C305" s="1" t="n">
        <v>46118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38055-2023</t>
        </is>
      </c>
      <c r="B306" s="1" t="n">
        <v>45160.69415509259</v>
      </c>
      <c r="C306" s="1" t="n">
        <v>46118</v>
      </c>
      <c r="D306" t="inlineStr">
        <is>
          <t>VÄSTMANLANDS LÄN</t>
        </is>
      </c>
      <c r="E306" t="inlineStr">
        <is>
          <t>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37751-2022</t>
        </is>
      </c>
      <c r="B307" s="1" t="n">
        <v>44810.59604166666</v>
      </c>
      <c r="C307" s="1" t="n">
        <v>46118</v>
      </c>
      <c r="D307" t="inlineStr">
        <is>
          <t>VÄSTMANLANDS LÄN</t>
        </is>
      </c>
      <c r="E307" t="inlineStr">
        <is>
          <t>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27891-2023</t>
        </is>
      </c>
      <c r="B308" s="1" t="n">
        <v>45098.62</v>
      </c>
      <c r="C308" s="1" t="n">
        <v>46118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46118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15055-2026</t>
        </is>
      </c>
      <c r="B310" s="1" t="n">
        <v>46104.68164351852</v>
      </c>
      <c r="C310" s="1" t="n">
        <v>46118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9303-2024</t>
        </is>
      </c>
      <c r="B311" s="1" t="n">
        <v>45358.75983796296</v>
      </c>
      <c r="C311" s="1" t="n">
        <v>46118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60991-2023</t>
        </is>
      </c>
      <c r="B312" s="1" t="n">
        <v>45261</v>
      </c>
      <c r="C312" s="1" t="n">
        <v>46118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15828-2026</t>
        </is>
      </c>
      <c r="B313" s="1" t="n">
        <v>46107.54835648148</v>
      </c>
      <c r="C313" s="1" t="n">
        <v>46118</v>
      </c>
      <c r="D313" t="inlineStr">
        <is>
          <t>VÄSTMANLANDS LÄN</t>
        </is>
      </c>
      <c r="E313" t="inlineStr">
        <is>
          <t>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46118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28937-2024</t>
        </is>
      </c>
      <c r="B315" s="1" t="n">
        <v>45480</v>
      </c>
      <c r="C315" s="1" t="n">
        <v>46118</v>
      </c>
      <c r="D315" t="inlineStr">
        <is>
          <t>VÄSTMANLANDS LÄN</t>
        </is>
      </c>
      <c r="E315" t="inlineStr">
        <is>
          <t>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15829-2026</t>
        </is>
      </c>
      <c r="B316" s="1" t="n">
        <v>46107.55034722222</v>
      </c>
      <c r="C316" s="1" t="n">
        <v>46118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46118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19585-2025</t>
        </is>
      </c>
      <c r="B318" s="1" t="n">
        <v>45770.56731481481</v>
      </c>
      <c r="C318" s="1" t="n">
        <v>46118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46118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23389-2023</t>
        </is>
      </c>
      <c r="B320" s="1" t="n">
        <v>45076</v>
      </c>
      <c r="C320" s="1" t="n">
        <v>46118</v>
      </c>
      <c r="D320" t="inlineStr">
        <is>
          <t>VÄSTMANLANDS LÄN</t>
        </is>
      </c>
      <c r="E320" t="inlineStr">
        <is>
          <t>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2854-2022</t>
        </is>
      </c>
      <c r="B321" s="1" t="n">
        <v>44581</v>
      </c>
      <c r="C321" s="1" t="n">
        <v>46118</v>
      </c>
      <c r="D321" t="inlineStr">
        <is>
          <t>VÄSTMANLANDS LÄN</t>
        </is>
      </c>
      <c r="E321" t="inlineStr">
        <is>
          <t>KÖPING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44370-2022</t>
        </is>
      </c>
      <c r="B322" s="1" t="n">
        <v>44839</v>
      </c>
      <c r="C322" s="1" t="n">
        <v>46118</v>
      </c>
      <c r="D322" t="inlineStr">
        <is>
          <t>VÄSTMANLANDS LÄN</t>
        </is>
      </c>
      <c r="E322" t="inlineStr">
        <is>
          <t>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23825-2023</t>
        </is>
      </c>
      <c r="B323" s="1" t="n">
        <v>45078.40652777778</v>
      </c>
      <c r="C323" s="1" t="n">
        <v>46118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17816-2024</t>
        </is>
      </c>
      <c r="B324" s="1" t="n">
        <v>45418</v>
      </c>
      <c r="C324" s="1" t="n">
        <v>46118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40990-2024</t>
        </is>
      </c>
      <c r="B325" s="1" t="n">
        <v>45558</v>
      </c>
      <c r="C325" s="1" t="n">
        <v>46118</v>
      </c>
      <c r="D325" t="inlineStr">
        <is>
          <t>VÄSTMANLANDS LÄN</t>
        </is>
      </c>
      <c r="E325" t="inlineStr">
        <is>
          <t>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46118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46118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46118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46118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68714-2021</t>
        </is>
      </c>
      <c r="B330" s="1" t="n">
        <v>44529.6944212963</v>
      </c>
      <c r="C330" s="1" t="n">
        <v>46118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53061-2023</t>
        </is>
      </c>
      <c r="B331" s="1" t="n">
        <v>45227.3034837963</v>
      </c>
      <c r="C331" s="1" t="n">
        <v>46118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39332-2024</t>
        </is>
      </c>
      <c r="B332" s="1" t="n">
        <v>45551.43763888889</v>
      </c>
      <c r="C332" s="1" t="n">
        <v>46118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18361-2025</t>
        </is>
      </c>
      <c r="B333" s="1" t="n">
        <v>45762</v>
      </c>
      <c r="C333" s="1" t="n">
        <v>46118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46118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17345-2022</t>
        </is>
      </c>
      <c r="B335" s="1" t="n">
        <v>44678.5628125</v>
      </c>
      <c r="C335" s="1" t="n">
        <v>46118</v>
      </c>
      <c r="D335" t="inlineStr">
        <is>
          <t>VÄSTMANLANDS LÄN</t>
        </is>
      </c>
      <c r="E335" t="inlineStr">
        <is>
          <t>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42621-2021</t>
        </is>
      </c>
      <c r="B336" s="1" t="n">
        <v>44428.42920138889</v>
      </c>
      <c r="C336" s="1" t="n">
        <v>46118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15158-2022</t>
        </is>
      </c>
      <c r="B337" s="1" t="n">
        <v>44658</v>
      </c>
      <c r="C337" s="1" t="n">
        <v>46118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15162-2022</t>
        </is>
      </c>
      <c r="B338" s="1" t="n">
        <v>44658.50546296296</v>
      </c>
      <c r="C338" s="1" t="n">
        <v>46118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13043-2025</t>
        </is>
      </c>
      <c r="B339" s="1" t="n">
        <v>45734</v>
      </c>
      <c r="C339" s="1" t="n">
        <v>46118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13047-2025</t>
        </is>
      </c>
      <c r="B340" s="1" t="n">
        <v>45734.59141203704</v>
      </c>
      <c r="C340" s="1" t="n">
        <v>46118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63561-2021</t>
        </is>
      </c>
      <c r="B341" s="1" t="n">
        <v>44508.71445601852</v>
      </c>
      <c r="C341" s="1" t="n">
        <v>46118</v>
      </c>
      <c r="D341" t="inlineStr">
        <is>
          <t>VÄSTMANLANDS LÄN</t>
        </is>
      </c>
      <c r="E341" t="inlineStr">
        <is>
          <t>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46118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51156-2024</t>
        </is>
      </c>
      <c r="B343" s="1" t="n">
        <v>45603.57417824074</v>
      </c>
      <c r="C343" s="1" t="n">
        <v>46118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21691-2025</t>
        </is>
      </c>
      <c r="B344" s="1" t="n">
        <v>45783.49538194444</v>
      </c>
      <c r="C344" s="1" t="n">
        <v>46118</v>
      </c>
      <c r="D344" t="inlineStr">
        <is>
          <t>VÄSTMANLANDS LÄN</t>
        </is>
      </c>
      <c r="E344" t="inlineStr">
        <is>
          <t>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1387-2025</t>
        </is>
      </c>
      <c r="B345" s="1" t="n">
        <v>45667</v>
      </c>
      <c r="C345" s="1" t="n">
        <v>46118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46118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46118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46118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46118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46118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46118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46118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46118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24469-2025</t>
        </is>
      </c>
      <c r="B354" s="1" t="n">
        <v>45798</v>
      </c>
      <c r="C354" s="1" t="n">
        <v>46118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24471-2025</t>
        </is>
      </c>
      <c r="B355" s="1" t="n">
        <v>45798</v>
      </c>
      <c r="C355" s="1" t="n">
        <v>46118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28904-2024</t>
        </is>
      </c>
      <c r="B356" s="1" t="n">
        <v>45480.54915509259</v>
      </c>
      <c r="C356" s="1" t="n">
        <v>46118</v>
      </c>
      <c r="D356" t="inlineStr">
        <is>
          <t>VÄSTMANLANDS LÄN</t>
        </is>
      </c>
      <c r="E356" t="inlineStr">
        <is>
          <t>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24472-2025</t>
        </is>
      </c>
      <c r="B357" s="1" t="n">
        <v>45798.36815972222</v>
      </c>
      <c r="C357" s="1" t="n">
        <v>46118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46118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46118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24473-2025</t>
        </is>
      </c>
      <c r="B360" s="1" t="n">
        <v>45798.37075231481</v>
      </c>
      <c r="C360" s="1" t="n">
        <v>46118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24475-2025</t>
        </is>
      </c>
      <c r="B361" s="1" t="n">
        <v>45798.37363425926</v>
      </c>
      <c r="C361" s="1" t="n">
        <v>46118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24477-2025</t>
        </is>
      </c>
      <c r="B362" s="1" t="n">
        <v>45798</v>
      </c>
      <c r="C362" s="1" t="n">
        <v>46118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24479-2025</t>
        </is>
      </c>
      <c r="B363" s="1" t="n">
        <v>45798.37938657407</v>
      </c>
      <c r="C363" s="1" t="n">
        <v>46118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46118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46118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26839-2025</t>
        </is>
      </c>
      <c r="B366" s="1" t="n">
        <v>45810.65856481482</v>
      </c>
      <c r="C366" s="1" t="n">
        <v>46118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26845-2025</t>
        </is>
      </c>
      <c r="B367" s="1" t="n">
        <v>45810.66362268518</v>
      </c>
      <c r="C367" s="1" t="n">
        <v>46118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26862-2025</t>
        </is>
      </c>
      <c r="B368" s="1" t="n">
        <v>45810.69605324074</v>
      </c>
      <c r="C368" s="1" t="n">
        <v>46118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46118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27830-2025</t>
        </is>
      </c>
      <c r="B370" s="1" t="n">
        <v>45817.35802083334</v>
      </c>
      <c r="C370" s="1" t="n">
        <v>46118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5225-2025</t>
        </is>
      </c>
      <c r="B371" s="1" t="n">
        <v>45691</v>
      </c>
      <c r="C371" s="1" t="n">
        <v>46118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46118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28498-2025</t>
        </is>
      </c>
      <c r="B373" s="1" t="n">
        <v>45819.47072916666</v>
      </c>
      <c r="C373" s="1" t="n">
        <v>46118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28872-2025</t>
        </is>
      </c>
      <c r="B374" s="1" t="n">
        <v>45820.61172453704</v>
      </c>
      <c r="C374" s="1" t="n">
        <v>46118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46118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46118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31068-2025</t>
        </is>
      </c>
      <c r="B377" s="1" t="n">
        <v>45832.57855324074</v>
      </c>
      <c r="C377" s="1" t="n">
        <v>46118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31071-2025</t>
        </is>
      </c>
      <c r="B378" s="1" t="n">
        <v>45832.57935185185</v>
      </c>
      <c r="C378" s="1" t="n">
        <v>46118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46118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46118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46118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46118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46118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46118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46118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33491-2025</t>
        </is>
      </c>
      <c r="B386" s="1" t="n">
        <v>45841</v>
      </c>
      <c r="C386" s="1" t="n">
        <v>46118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33503-2025</t>
        </is>
      </c>
      <c r="B387" s="1" t="n">
        <v>45841</v>
      </c>
      <c r="C387" s="1" t="n">
        <v>46118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33508-2025</t>
        </is>
      </c>
      <c r="B388" s="1" t="n">
        <v>45841</v>
      </c>
      <c r="C388" s="1" t="n">
        <v>46118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33499-2025</t>
        </is>
      </c>
      <c r="B389" s="1" t="n">
        <v>45841</v>
      </c>
      <c r="C389" s="1" t="n">
        <v>46118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2026-04-06T10:43:09Z</dcterms:created>
  <dcterms:modified xmlns:dcterms="http://purl.org/dc/terms/" xmlns:xsi="http://www.w3.org/2001/XMLSchema-instance" xsi:type="dcterms:W3CDTF">2026-04-06T10:43:10Z</dcterms:modified>
</cp:coreProperties>
</file>