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46103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46103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46103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56380-2025</t>
        </is>
      </c>
      <c r="B16" s="1" t="n">
        <v>45974</v>
      </c>
      <c r="C16" s="1" t="n">
        <v>46103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56380-2025 artfynd.xlsx", "A 56380-2025")</f>
        <v/>
      </c>
      <c r="T16">
        <f>HYPERLINK("https://klasma.github.io/Logging_1983/kartor/A 56380-2025 karta.png", "A 56380-2025")</f>
        <v/>
      </c>
      <c r="V16">
        <f>HYPERLINK("https://klasma.github.io/Logging_1983/klagomål/A 56380-2025 FSC-klagomål.docx", "A 56380-2025")</f>
        <v/>
      </c>
      <c r="W16">
        <f>HYPERLINK("https://klasma.github.io/Logging_1983/klagomålsmail/A 56380-2025 FSC-klagomål mail.docx", "A 56380-2025")</f>
        <v/>
      </c>
      <c r="X16">
        <f>HYPERLINK("https://klasma.github.io/Logging_1983/tillsyn/A 56380-2025 tillsynsbegäran.docx", "A 56380-2025")</f>
        <v/>
      </c>
      <c r="Y16">
        <f>HYPERLINK("https://klasma.github.io/Logging_1983/tillsynsmail/A 56380-2025 tillsynsbegäran mail.docx", "A 56380-2025")</f>
        <v/>
      </c>
      <c r="Z16">
        <f>HYPERLINK("https://klasma.github.io/Logging_1983/fåglar/A 56380-2025 prioriterade fågelarter.docx", "A 56380-2025")</f>
        <v/>
      </c>
    </row>
    <row r="17" ht="15" customHeight="1">
      <c r="A17" t="inlineStr">
        <is>
          <t>A 56279-2025</t>
        </is>
      </c>
      <c r="B17" s="1" t="n">
        <v>45974</v>
      </c>
      <c r="C17" s="1" t="n">
        <v>46103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56279-2025 artfynd.xlsx", "A 56279-2025")</f>
        <v/>
      </c>
      <c r="T17">
        <f>HYPERLINK("https://klasma.github.io/Logging_1983/kartor/A 56279-2025 karta.png", "A 56279-2025")</f>
        <v/>
      </c>
      <c r="V17">
        <f>HYPERLINK("https://klasma.github.io/Logging_1983/klagomål/A 56279-2025 FSC-klagomål.docx", "A 56279-2025")</f>
        <v/>
      </c>
      <c r="W17">
        <f>HYPERLINK("https://klasma.github.io/Logging_1983/klagomålsmail/A 56279-2025 FSC-klagomål mail.docx", "A 56279-2025")</f>
        <v/>
      </c>
      <c r="X17">
        <f>HYPERLINK("https://klasma.github.io/Logging_1983/tillsyn/A 56279-2025 tillsynsbegäran.docx", "A 56279-2025")</f>
        <v/>
      </c>
      <c r="Y17">
        <f>HYPERLINK("https://klasma.github.io/Logging_1983/tillsynsmail/A 56279-2025 tillsynsbegäran mail.docx", "A 56279-2025")</f>
        <v/>
      </c>
      <c r="Z17">
        <f>HYPERLINK("https://klasma.github.io/Logging_1983/fåglar/A 56279-2025 prioriterade fågelarter.docx", "A 56279-2025")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46103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35206-2025</t>
        </is>
      </c>
      <c r="B20" s="1" t="n">
        <v>45853</v>
      </c>
      <c r="C20" s="1" t="n">
        <v>46103</v>
      </c>
      <c r="D20" t="inlineStr">
        <is>
          <t>VÄSTMANLANDS LÄN</t>
        </is>
      </c>
      <c r="E20" t="inlineStr">
        <is>
          <t>KÖPING</t>
        </is>
      </c>
      <c r="F20" t="inlineStr">
        <is>
          <t>Allmännings- och besparingsskogar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35206-2025 artfynd.xlsx", "A 35206-2025")</f>
        <v/>
      </c>
      <c r="T20">
        <f>HYPERLINK("https://klasma.github.io/Logging_1983/kartor/A 35206-2025 karta.png", "A 35206-2025")</f>
        <v/>
      </c>
      <c r="U20">
        <f>HYPERLINK("https://klasma.github.io/Logging_1983/knärot/A 35206-2025 karta knärot.png", "A 35206-2025")</f>
        <v/>
      </c>
      <c r="V20">
        <f>HYPERLINK("https://klasma.github.io/Logging_1983/klagomål/A 35206-2025 FSC-klagomål.docx", "A 35206-2025")</f>
        <v/>
      </c>
      <c r="W20">
        <f>HYPERLINK("https://klasma.github.io/Logging_1983/klagomålsmail/A 35206-2025 FSC-klagomål mail.docx", "A 35206-2025")</f>
        <v/>
      </c>
      <c r="X20">
        <f>HYPERLINK("https://klasma.github.io/Logging_1983/tillsyn/A 35206-2025 tillsynsbegäran.docx", "A 35206-2025")</f>
        <v/>
      </c>
      <c r="Y20">
        <f>HYPERLINK("https://klasma.github.io/Logging_1983/tillsynsmail/A 35206-2025 tillsynsbegäran mail.docx", "A 35206-2025")</f>
        <v/>
      </c>
      <c r="Z20">
        <f>HYPERLINK("https://klasma.github.io/Logging_1983/fåglar/A 35206-2025 prioriterade fågelarter.docx", "A 35206-2025")</f>
        <v/>
      </c>
    </row>
    <row r="21" ht="15" customHeight="1">
      <c r="A21" t="inlineStr">
        <is>
          <t>A 56287-2025</t>
        </is>
      </c>
      <c r="B21" s="1" t="n">
        <v>45974</v>
      </c>
      <c r="C21" s="1" t="n">
        <v>46103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HYPERLINK("https://klasma.github.io/Logging_1983/artfynd/A 56287-2025 artfynd.xlsx", "A 56287-2025")</f>
        <v/>
      </c>
      <c r="T21">
        <f>HYPERLINK("https://klasma.github.io/Logging_1983/kartor/A 56287-2025 karta.png", "A 56287-2025")</f>
        <v/>
      </c>
      <c r="V21">
        <f>HYPERLINK("https://klasma.github.io/Logging_1983/klagomål/A 56287-2025 FSC-klagomål.docx", "A 56287-2025")</f>
        <v/>
      </c>
      <c r="W21">
        <f>HYPERLINK("https://klasma.github.io/Logging_1983/klagomålsmail/A 56287-2025 FSC-klagomål mail.docx", "A 56287-2025")</f>
        <v/>
      </c>
      <c r="X21">
        <f>HYPERLINK("https://klasma.github.io/Logging_1983/tillsyn/A 56287-2025 tillsynsbegäran.docx", "A 56287-2025")</f>
        <v/>
      </c>
      <c r="Y21">
        <f>HYPERLINK("https://klasma.github.io/Logging_1983/tillsynsmail/A 56287-2025 tillsynsbegäran mail.docx", "A 56287-2025")</f>
        <v/>
      </c>
      <c r="Z21">
        <f>HYPERLINK("https://klasma.github.io/Logging_1983/fåglar/A 56287-2025 prioriterade fågelarter.docx", "A 56287-2025")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46103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46103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46103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46103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46103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46103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46103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46103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46103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46103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46103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46103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46103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46103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46103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46103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46103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46103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46103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46103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46103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46103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46103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46103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46103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46103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46103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46103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46103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46103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46103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46103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46103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46103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46103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46103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46103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46103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46103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46103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46103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46103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46103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46103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46103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46103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46103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46103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46103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46103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46103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23592-2021</t>
        </is>
      </c>
      <c r="B73" s="1" t="n">
        <v>44333</v>
      </c>
      <c r="C73" s="1" t="n">
        <v>46103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23596-2021</t>
        </is>
      </c>
      <c r="B74" s="1" t="n">
        <v>44333</v>
      </c>
      <c r="C74" s="1" t="n">
        <v>46103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46103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46103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46103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46103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46103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46103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46103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46103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46103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46103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46103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46103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46103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56298-2025</t>
        </is>
      </c>
      <c r="B88" s="1" t="n">
        <v>45974.60434027778</v>
      </c>
      <c r="C88" s="1" t="n">
        <v>46103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56301-2025</t>
        </is>
      </c>
      <c r="B89" s="1" t="n">
        <v>45974</v>
      </c>
      <c r="C89" s="1" t="n">
        <v>46103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38858-2025</t>
        </is>
      </c>
      <c r="B90" s="1" t="n">
        <v>45887.55859953703</v>
      </c>
      <c r="C90" s="1" t="n">
        <v>46103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56296-2025</t>
        </is>
      </c>
      <c r="B91" s="1" t="n">
        <v>45974.60321759259</v>
      </c>
      <c r="C91" s="1" t="n">
        <v>46103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15858-2025</t>
        </is>
      </c>
      <c r="B92" s="1" t="n">
        <v>45749.34443287037</v>
      </c>
      <c r="C92" s="1" t="n">
        <v>46103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56294-2025</t>
        </is>
      </c>
      <c r="B93" s="1" t="n">
        <v>45974</v>
      </c>
      <c r="C93" s="1" t="n">
        <v>46103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56293-2025</t>
        </is>
      </c>
      <c r="B94" s="1" t="n">
        <v>45974.59898148148</v>
      </c>
      <c r="C94" s="1" t="n">
        <v>46103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46103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56936-2025</t>
        </is>
      </c>
      <c r="B96" s="1" t="n">
        <v>45978.61762731482</v>
      </c>
      <c r="C96" s="1" t="n">
        <v>46103</v>
      </c>
      <c r="D96" t="inlineStr">
        <is>
          <t>VÄSTMANLANDS LÄN</t>
        </is>
      </c>
      <c r="E96" t="inlineStr">
        <is>
          <t>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46103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57048-2025</t>
        </is>
      </c>
      <c r="B98" s="1" t="n">
        <v>45979.34693287037</v>
      </c>
      <c r="C98" s="1" t="n">
        <v>46103</v>
      </c>
      <c r="D98" t="inlineStr">
        <is>
          <t>VÄSTMANLANDS LÄN</t>
        </is>
      </c>
      <c r="E98" t="inlineStr">
        <is>
          <t>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57693-2025</t>
        </is>
      </c>
      <c r="B99" s="1" t="n">
        <v>45981.45151620371</v>
      </c>
      <c r="C99" s="1" t="n">
        <v>46103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57318-2025</t>
        </is>
      </c>
      <c r="B100" s="1" t="n">
        <v>45980.01403935185</v>
      </c>
      <c r="C100" s="1" t="n">
        <v>46103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46103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46103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57572-2025</t>
        </is>
      </c>
      <c r="B103" s="1" t="n">
        <v>45980.82129629629</v>
      </c>
      <c r="C103" s="1" t="n">
        <v>46103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58079-2025</t>
        </is>
      </c>
      <c r="B104" s="1" t="n">
        <v>45982.55881944444</v>
      </c>
      <c r="C104" s="1" t="n">
        <v>46103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46103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34436-2024</t>
        </is>
      </c>
      <c r="B106" s="1" t="n">
        <v>45525.53819444445</v>
      </c>
      <c r="C106" s="1" t="n">
        <v>46103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37730-2022</t>
        </is>
      </c>
      <c r="B107" s="1" t="n">
        <v>44810.56791666667</v>
      </c>
      <c r="C107" s="1" t="n">
        <v>46103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13160-2024</t>
        </is>
      </c>
      <c r="B108" s="1" t="n">
        <v>45386</v>
      </c>
      <c r="C108" s="1" t="n">
        <v>46103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65023-2021</t>
        </is>
      </c>
      <c r="B109" s="1" t="n">
        <v>44512</v>
      </c>
      <c r="C109" s="1" t="n">
        <v>46103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46103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40823-2024</t>
        </is>
      </c>
      <c r="B111" s="1" t="n">
        <v>45558.55979166667</v>
      </c>
      <c r="C111" s="1" t="n">
        <v>46103</v>
      </c>
      <c r="D111" t="inlineStr">
        <is>
          <t>VÄSTMANLANDS LÄN</t>
        </is>
      </c>
      <c r="E111" t="inlineStr">
        <is>
          <t>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12503-2023</t>
        </is>
      </c>
      <c r="B112" s="1" t="n">
        <v>44999.88789351852</v>
      </c>
      <c r="C112" s="1" t="n">
        <v>46103</v>
      </c>
      <c r="D112" t="inlineStr">
        <is>
          <t>VÄSTMANLANDS LÄN</t>
        </is>
      </c>
      <c r="E112" t="inlineStr">
        <is>
          <t>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60072-2025</t>
        </is>
      </c>
      <c r="B113" s="1" t="n">
        <v>45993.67482638889</v>
      </c>
      <c r="C113" s="1" t="n">
        <v>46103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40702-2025</t>
        </is>
      </c>
      <c r="B114" s="1" t="n">
        <v>45897.32894675926</v>
      </c>
      <c r="C114" s="1" t="n">
        <v>46103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40703-2025</t>
        </is>
      </c>
      <c r="B115" s="1" t="n">
        <v>45897.32975694445</v>
      </c>
      <c r="C115" s="1" t="n">
        <v>46103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40480-2025</t>
        </is>
      </c>
      <c r="B116" s="1" t="n">
        <v>45895.76636574074</v>
      </c>
      <c r="C116" s="1" t="n">
        <v>46103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59724-2025</t>
        </is>
      </c>
      <c r="B117" s="1" t="n">
        <v>45992.55136574074</v>
      </c>
      <c r="C117" s="1" t="n">
        <v>46103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40700-2025</t>
        </is>
      </c>
      <c r="B118" s="1" t="n">
        <v>45897.32721064815</v>
      </c>
      <c r="C118" s="1" t="n">
        <v>46103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40705-2025</t>
        </is>
      </c>
      <c r="B119" s="1" t="n">
        <v>45897.33090277778</v>
      </c>
      <c r="C119" s="1" t="n">
        <v>46103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40502-2025</t>
        </is>
      </c>
      <c r="B120" s="1" t="n">
        <v>45896.33552083333</v>
      </c>
      <c r="C120" s="1" t="n">
        <v>46103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40706-2025</t>
        </is>
      </c>
      <c r="B121" s="1" t="n">
        <v>45897.33193287037</v>
      </c>
      <c r="C121" s="1" t="n">
        <v>46103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46103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40762-2025</t>
        </is>
      </c>
      <c r="B123" s="1" t="n">
        <v>45897.39564814815</v>
      </c>
      <c r="C123" s="1" t="n">
        <v>46103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18366-2025</t>
        </is>
      </c>
      <c r="B124" s="1" t="n">
        <v>45762</v>
      </c>
      <c r="C124" s="1" t="n">
        <v>46103</v>
      </c>
      <c r="D124" t="inlineStr">
        <is>
          <t>VÄSTMANLANDS LÄN</t>
        </is>
      </c>
      <c r="E124" t="inlineStr">
        <is>
          <t>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46103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46659-2024</t>
        </is>
      </c>
      <c r="B126" s="1" t="n">
        <v>45583.36162037037</v>
      </c>
      <c r="C126" s="1" t="n">
        <v>46103</v>
      </c>
      <c r="D126" t="inlineStr">
        <is>
          <t>VÄSTMANLANDS LÄN</t>
        </is>
      </c>
      <c r="E126" t="inlineStr">
        <is>
          <t>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34368-2025</t>
        </is>
      </c>
      <c r="B127" s="1" t="n">
        <v>45846.50275462963</v>
      </c>
      <c r="C127" s="1" t="n">
        <v>46103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46103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41676-2025</t>
        </is>
      </c>
      <c r="B129" s="1" t="n">
        <v>45902.37306712963</v>
      </c>
      <c r="C129" s="1" t="n">
        <v>46103</v>
      </c>
      <c r="D129" t="inlineStr">
        <is>
          <t>VÄSTMANLANDS LÄN</t>
        </is>
      </c>
      <c r="E129" t="inlineStr">
        <is>
          <t>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41965-2025</t>
        </is>
      </c>
      <c r="B130" s="1" t="n">
        <v>45903.47314814815</v>
      </c>
      <c r="C130" s="1" t="n">
        <v>46103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60963-2025</t>
        </is>
      </c>
      <c r="B131" s="1" t="n">
        <v>45999.66793981481</v>
      </c>
      <c r="C131" s="1" t="n">
        <v>46103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60830-2025</t>
        </is>
      </c>
      <c r="B132" s="1" t="n">
        <v>45999.46914351852</v>
      </c>
      <c r="C132" s="1" t="n">
        <v>46103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68954-2021</t>
        </is>
      </c>
      <c r="B133" s="1" t="n">
        <v>44530</v>
      </c>
      <c r="C133" s="1" t="n">
        <v>46103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41959-2025</t>
        </is>
      </c>
      <c r="B134" s="1" t="n">
        <v>45903.46909722222</v>
      </c>
      <c r="C134" s="1" t="n">
        <v>46103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46103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46103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42639-2025</t>
        </is>
      </c>
      <c r="B137" s="1" t="n">
        <v>45905.91082175926</v>
      </c>
      <c r="C137" s="1" t="n">
        <v>46103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42641-2025</t>
        </is>
      </c>
      <c r="B138" s="1" t="n">
        <v>45905.92460648148</v>
      </c>
      <c r="C138" s="1" t="n">
        <v>46103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46103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42637-2025</t>
        </is>
      </c>
      <c r="B140" s="1" t="n">
        <v>45905.90875</v>
      </c>
      <c r="C140" s="1" t="n">
        <v>46103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42638-2025</t>
        </is>
      </c>
      <c r="B141" s="1" t="n">
        <v>45905.90976851852</v>
      </c>
      <c r="C141" s="1" t="n">
        <v>46103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43179-2025</t>
        </is>
      </c>
      <c r="B142" s="1" t="n">
        <v>45910</v>
      </c>
      <c r="C142" s="1" t="n">
        <v>46103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37752-2023</t>
        </is>
      </c>
      <c r="B143" s="1" t="n">
        <v>45159</v>
      </c>
      <c r="C143" s="1" t="n">
        <v>46103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43174-2025</t>
        </is>
      </c>
      <c r="B144" s="1" t="n">
        <v>45910</v>
      </c>
      <c r="C144" s="1" t="n">
        <v>46103</v>
      </c>
      <c r="D144" t="inlineStr">
        <is>
          <t>VÄSTMANLANDS LÄN</t>
        </is>
      </c>
      <c r="E144" t="inlineStr">
        <is>
          <t>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43183-2025</t>
        </is>
      </c>
      <c r="B145" s="1" t="n">
        <v>45910</v>
      </c>
      <c r="C145" s="1" t="n">
        <v>46103</v>
      </c>
      <c r="D145" t="inlineStr">
        <is>
          <t>VÄSTMANLANDS LÄN</t>
        </is>
      </c>
      <c r="E145" t="inlineStr">
        <is>
          <t>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43192-2025</t>
        </is>
      </c>
      <c r="B146" s="1" t="n">
        <v>45910.42025462963</v>
      </c>
      <c r="C146" s="1" t="n">
        <v>46103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43171-2025</t>
        </is>
      </c>
      <c r="B147" s="1" t="n">
        <v>45910</v>
      </c>
      <c r="C147" s="1" t="n">
        <v>46103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43187-2025</t>
        </is>
      </c>
      <c r="B148" s="1" t="n">
        <v>45910</v>
      </c>
      <c r="C148" s="1" t="n">
        <v>46103</v>
      </c>
      <c r="D148" t="inlineStr">
        <is>
          <t>VÄSTMANLANDS LÄN</t>
        </is>
      </c>
      <c r="E148" t="inlineStr">
        <is>
          <t>KÖPING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43245-2025</t>
        </is>
      </c>
      <c r="B149" s="1" t="n">
        <v>45910.54754629629</v>
      </c>
      <c r="C149" s="1" t="n">
        <v>46103</v>
      </c>
      <c r="D149" t="inlineStr">
        <is>
          <t>VÄSTMANLANDS LÄN</t>
        </is>
      </c>
      <c r="E149" t="inlineStr">
        <is>
          <t>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28902-2024</t>
        </is>
      </c>
      <c r="B150" s="1" t="n">
        <v>45480.5384375</v>
      </c>
      <c r="C150" s="1" t="n">
        <v>46103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44171-2025</t>
        </is>
      </c>
      <c r="B151" s="1" t="n">
        <v>45915.60108796296</v>
      </c>
      <c r="C151" s="1" t="n">
        <v>46103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62946-2025</t>
        </is>
      </c>
      <c r="B152" s="1" t="n">
        <v>46009.44358796296</v>
      </c>
      <c r="C152" s="1" t="n">
        <v>46103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62596-2025</t>
        </is>
      </c>
      <c r="B153" s="1" t="n">
        <v>46007.91685185185</v>
      </c>
      <c r="C153" s="1" t="n">
        <v>46103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46103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55720-2022</t>
        </is>
      </c>
      <c r="B155" s="1" t="n">
        <v>44888.57140046296</v>
      </c>
      <c r="C155" s="1" t="n">
        <v>46103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10512-2022</t>
        </is>
      </c>
      <c r="B156" s="1" t="n">
        <v>44623.68829861111</v>
      </c>
      <c r="C156" s="1" t="n">
        <v>46103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46103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61083-2022</t>
        </is>
      </c>
      <c r="B158" s="1" t="n">
        <v>44915</v>
      </c>
      <c r="C158" s="1" t="n">
        <v>46103</v>
      </c>
      <c r="D158" t="inlineStr">
        <is>
          <t>VÄSTMANLANDS LÄN</t>
        </is>
      </c>
      <c r="E158" t="inlineStr">
        <is>
          <t>KÖPING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24469-2025</t>
        </is>
      </c>
      <c r="B159" s="1" t="n">
        <v>45798</v>
      </c>
      <c r="C159" s="1" t="n">
        <v>46103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20798-2022</t>
        </is>
      </c>
      <c r="B160" s="1" t="n">
        <v>44701.40878472223</v>
      </c>
      <c r="C160" s="1" t="n">
        <v>46103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24471-2025</t>
        </is>
      </c>
      <c r="B161" s="1" t="n">
        <v>45798</v>
      </c>
      <c r="C161" s="1" t="n">
        <v>46103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27261-2022</t>
        </is>
      </c>
      <c r="B162" s="1" t="n">
        <v>44741</v>
      </c>
      <c r="C162" s="1" t="n">
        <v>46103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63448-2025</t>
        </is>
      </c>
      <c r="B163" s="1" t="n">
        <v>46013.40564814815</v>
      </c>
      <c r="C163" s="1" t="n">
        <v>46103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41583-2022</t>
        </is>
      </c>
      <c r="B164" s="1" t="n">
        <v>44827</v>
      </c>
      <c r="C164" s="1" t="n">
        <v>46103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28904-2024</t>
        </is>
      </c>
      <c r="B165" s="1" t="n">
        <v>45480.54915509259</v>
      </c>
      <c r="C165" s="1" t="n">
        <v>46103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24472-2025</t>
        </is>
      </c>
      <c r="B166" s="1" t="n">
        <v>45798.36815972222</v>
      </c>
      <c r="C166" s="1" t="n">
        <v>46103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24478-2025</t>
        </is>
      </c>
      <c r="B167" s="1" t="n">
        <v>45798.37822916666</v>
      </c>
      <c r="C167" s="1" t="n">
        <v>46103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63882-2025</t>
        </is>
      </c>
      <c r="B168" s="1" t="n">
        <v>46020.57383101852</v>
      </c>
      <c r="C168" s="1" t="n">
        <v>46103</v>
      </c>
      <c r="D168" t="inlineStr">
        <is>
          <t>VÄSTMANLANDS LÄN</t>
        </is>
      </c>
      <c r="E168" t="inlineStr">
        <is>
          <t>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54870-2024</t>
        </is>
      </c>
      <c r="B169" s="1" t="n">
        <v>45618.59853009259</v>
      </c>
      <c r="C169" s="1" t="n">
        <v>46103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14664-2022</t>
        </is>
      </c>
      <c r="B170" s="1" t="n">
        <v>44655.78577546297</v>
      </c>
      <c r="C170" s="1" t="n">
        <v>46103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62449-2025</t>
        </is>
      </c>
      <c r="B171" s="1" t="n">
        <v>46007.4880324074</v>
      </c>
      <c r="C171" s="1" t="n">
        <v>46103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1440-2025</t>
        </is>
      </c>
      <c r="B172" s="1" t="n">
        <v>45669.71475694444</v>
      </c>
      <c r="C172" s="1" t="n">
        <v>46103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28394-2024</t>
        </is>
      </c>
      <c r="B173" s="1" t="n">
        <v>45477.60447916666</v>
      </c>
      <c r="C173" s="1" t="n">
        <v>46103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35684-2024</t>
        </is>
      </c>
      <c r="B174" s="1" t="n">
        <v>45532</v>
      </c>
      <c r="C174" s="1" t="n">
        <v>46103</v>
      </c>
      <c r="D174" t="inlineStr">
        <is>
          <t>VÄSTMANLANDS LÄN</t>
        </is>
      </c>
      <c r="E174" t="inlineStr">
        <is>
          <t>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63321-2025</t>
        </is>
      </c>
      <c r="B175" s="1" t="n">
        <v>46010.63621527778</v>
      </c>
      <c r="C175" s="1" t="n">
        <v>46103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47681-2025</t>
        </is>
      </c>
      <c r="B176" s="1" t="n">
        <v>45931.58202546297</v>
      </c>
      <c r="C176" s="1" t="n">
        <v>46103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47574-2025</t>
        </is>
      </c>
      <c r="B177" s="1" t="n">
        <v>45931.39986111111</v>
      </c>
      <c r="C177" s="1" t="n">
        <v>46103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24473-2025</t>
        </is>
      </c>
      <c r="B178" s="1" t="n">
        <v>45798.37075231481</v>
      </c>
      <c r="C178" s="1" t="n">
        <v>46103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24475-2025</t>
        </is>
      </c>
      <c r="B179" s="1" t="n">
        <v>45798.37363425926</v>
      </c>
      <c r="C179" s="1" t="n">
        <v>46103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24477-2025</t>
        </is>
      </c>
      <c r="B180" s="1" t="n">
        <v>45798</v>
      </c>
      <c r="C180" s="1" t="n">
        <v>46103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24479-2025</t>
        </is>
      </c>
      <c r="B181" s="1" t="n">
        <v>45798.37938657407</v>
      </c>
      <c r="C181" s="1" t="n">
        <v>46103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7370-2022</t>
        </is>
      </c>
      <c r="B182" s="1" t="n">
        <v>44606</v>
      </c>
      <c r="C182" s="1" t="n">
        <v>46103</v>
      </c>
      <c r="D182" t="inlineStr">
        <is>
          <t>VÄSTMANLANDS LÄN</t>
        </is>
      </c>
      <c r="E182" t="inlineStr">
        <is>
          <t>KÖPING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47576-2025</t>
        </is>
      </c>
      <c r="B183" s="1" t="n">
        <v>45931.40219907407</v>
      </c>
      <c r="C183" s="1" t="n">
        <v>46103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47718-2025</t>
        </is>
      </c>
      <c r="B184" s="1" t="n">
        <v>45931.62083333333</v>
      </c>
      <c r="C184" s="1" t="n">
        <v>46103</v>
      </c>
      <c r="D184" t="inlineStr">
        <is>
          <t>VÄSTMANLANDS LÄN</t>
        </is>
      </c>
      <c r="E184" t="inlineStr">
        <is>
          <t>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48276-2025</t>
        </is>
      </c>
      <c r="B185" s="1" t="n">
        <v>45933.57945601852</v>
      </c>
      <c r="C185" s="1" t="n">
        <v>46103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44906-2022</t>
        </is>
      </c>
      <c r="B186" s="1" t="n">
        <v>44840</v>
      </c>
      <c r="C186" s="1" t="n">
        <v>46103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48317-2025</t>
        </is>
      </c>
      <c r="B187" s="1" t="n">
        <v>45933.62094907407</v>
      </c>
      <c r="C187" s="1" t="n">
        <v>46103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48319-2025</t>
        </is>
      </c>
      <c r="B188" s="1" t="n">
        <v>45933.62429398148</v>
      </c>
      <c r="C188" s="1" t="n">
        <v>46103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10099-2025</t>
        </is>
      </c>
      <c r="B189" s="1" t="n">
        <v>45719.5787037037</v>
      </c>
      <c r="C189" s="1" t="n">
        <v>46103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46103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25543-2025</t>
        </is>
      </c>
      <c r="B191" s="1" t="n">
        <v>45803.43010416667</v>
      </c>
      <c r="C191" s="1" t="n">
        <v>46103</v>
      </c>
      <c r="D191" t="inlineStr">
        <is>
          <t>VÄSTMANLANDS LÄN</t>
        </is>
      </c>
      <c r="E191" t="inlineStr">
        <is>
          <t>KÖPING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48978-2025</t>
        </is>
      </c>
      <c r="B192" s="1" t="n">
        <v>45937.57011574074</v>
      </c>
      <c r="C192" s="1" t="n">
        <v>46103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48979-2025</t>
        </is>
      </c>
      <c r="B193" s="1" t="n">
        <v>45937.57126157408</v>
      </c>
      <c r="C193" s="1" t="n">
        <v>46103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48962-2025</t>
        </is>
      </c>
      <c r="B194" s="1" t="n">
        <v>45937.55361111111</v>
      </c>
      <c r="C194" s="1" t="n">
        <v>46103</v>
      </c>
      <c r="D194" t="inlineStr">
        <is>
          <t>VÄSTMANLANDS LÄN</t>
        </is>
      </c>
      <c r="E194" t="inlineStr">
        <is>
          <t>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10343-2026</t>
        </is>
      </c>
      <c r="B195" s="1" t="n">
        <v>46076.67814814814</v>
      </c>
      <c r="C195" s="1" t="n">
        <v>46103</v>
      </c>
      <c r="D195" t="inlineStr">
        <is>
          <t>VÄSTMANLANDS LÄN</t>
        </is>
      </c>
      <c r="E195" t="inlineStr">
        <is>
          <t>KÖPING</t>
        </is>
      </c>
      <c r="F195" t="inlineStr">
        <is>
          <t>Allmännings- och besparingsskogar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65740-2021</t>
        </is>
      </c>
      <c r="B196" s="1" t="n">
        <v>44516.75021990741</v>
      </c>
      <c r="C196" s="1" t="n">
        <v>46103</v>
      </c>
      <c r="D196" t="inlineStr">
        <is>
          <t>VÄSTMANLANDS LÄN</t>
        </is>
      </c>
      <c r="E196" t="inlineStr">
        <is>
          <t>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46103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39646-2023</t>
        </is>
      </c>
      <c r="B198" s="1" t="n">
        <v>45166</v>
      </c>
      <c r="C198" s="1" t="n">
        <v>46103</v>
      </c>
      <c r="D198" t="inlineStr">
        <is>
          <t>VÄSTMANLANDS LÄN</t>
        </is>
      </c>
      <c r="E198" t="inlineStr">
        <is>
          <t>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46103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51132-2023</t>
        </is>
      </c>
      <c r="B200" s="1" t="n">
        <v>45219.32967592592</v>
      </c>
      <c r="C200" s="1" t="n">
        <v>46103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1181-2025</t>
        </is>
      </c>
      <c r="B201" s="1" t="n">
        <v>45667</v>
      </c>
      <c r="C201" s="1" t="n">
        <v>46103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16907-2024</t>
        </is>
      </c>
      <c r="B202" s="1" t="n">
        <v>45411.63599537037</v>
      </c>
      <c r="C202" s="1" t="n">
        <v>46103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13041-2025</t>
        </is>
      </c>
      <c r="B203" s="1" t="n">
        <v>45734</v>
      </c>
      <c r="C203" s="1" t="n">
        <v>46103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17295-2023</t>
        </is>
      </c>
      <c r="B204" s="1" t="n">
        <v>45035.48342592592</v>
      </c>
      <c r="C204" s="1" t="n">
        <v>46103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52481-2025</t>
        </is>
      </c>
      <c r="B205" s="1" t="n">
        <v>45954.47333333334</v>
      </c>
      <c r="C205" s="1" t="n">
        <v>46103</v>
      </c>
      <c r="D205" t="inlineStr">
        <is>
          <t>VÄSTMANLANDS LÄN</t>
        </is>
      </c>
      <c r="E205" t="inlineStr">
        <is>
          <t>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53351-2025</t>
        </is>
      </c>
      <c r="B206" s="1" t="n">
        <v>45959.44415509259</v>
      </c>
      <c r="C206" s="1" t="n">
        <v>46103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45714-2021</t>
        </is>
      </c>
      <c r="B207" s="1" t="n">
        <v>44441</v>
      </c>
      <c r="C207" s="1" t="n">
        <v>46103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61897-2022</t>
        </is>
      </c>
      <c r="B208" s="1" t="n">
        <v>44917</v>
      </c>
      <c r="C208" s="1" t="n">
        <v>46103</v>
      </c>
      <c r="D208" t="inlineStr">
        <is>
          <t>VÄSTMANLANDS LÄN</t>
        </is>
      </c>
      <c r="E208" t="inlineStr">
        <is>
          <t>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41472-2024</t>
        </is>
      </c>
      <c r="B209" s="1" t="n">
        <v>45560.43570601852</v>
      </c>
      <c r="C209" s="1" t="n">
        <v>46103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4414-2026</t>
        </is>
      </c>
      <c r="B210" s="1" t="n">
        <v>46044</v>
      </c>
      <c r="C210" s="1" t="n">
        <v>46103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54204-2025</t>
        </is>
      </c>
      <c r="B211" s="1" t="n">
        <v>45964.5841087963</v>
      </c>
      <c r="C211" s="1" t="n">
        <v>46103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4418-2026</t>
        </is>
      </c>
      <c r="B212" s="1" t="n">
        <v>46044</v>
      </c>
      <c r="C212" s="1" t="n">
        <v>46103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54730-2025</t>
        </is>
      </c>
      <c r="B213" s="1" t="n">
        <v>45966.55922453704</v>
      </c>
      <c r="C213" s="1" t="n">
        <v>46103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46103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46103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55114-2025</t>
        </is>
      </c>
      <c r="B216" s="1" t="n">
        <v>45968.38443287037</v>
      </c>
      <c r="C216" s="1" t="n">
        <v>46103</v>
      </c>
      <c r="D216" t="inlineStr">
        <is>
          <t>VÄSTMANLANDS LÄN</t>
        </is>
      </c>
      <c r="E216" t="inlineStr">
        <is>
          <t>KÖPING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46103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15551-2024</t>
        </is>
      </c>
      <c r="B218" s="1" t="n">
        <v>45401.63582175926</v>
      </c>
      <c r="C218" s="1" t="n">
        <v>46103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5711-2026</t>
        </is>
      </c>
      <c r="B219" s="1" t="n">
        <v>46051.52146990741</v>
      </c>
      <c r="C219" s="1" t="n">
        <v>46103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11760-2026</t>
        </is>
      </c>
      <c r="B220" s="1" t="n">
        <v>46084.69034722223</v>
      </c>
      <c r="C220" s="1" t="n">
        <v>46103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45035.65481481481</v>
      </c>
      <c r="C221" s="1" t="n">
        <v>46103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5710-2026</t>
        </is>
      </c>
      <c r="B222" s="1" t="n">
        <v>46051.51982638889</v>
      </c>
      <c r="C222" s="1" t="n">
        <v>46103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46103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46103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5712-2026</t>
        </is>
      </c>
      <c r="B225" s="1" t="n">
        <v>46051.52265046296</v>
      </c>
      <c r="C225" s="1" t="n">
        <v>46103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51407-2023</t>
        </is>
      </c>
      <c r="B226" s="1" t="n">
        <v>45219.69122685185</v>
      </c>
      <c r="C226" s="1" t="n">
        <v>46103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46103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46103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28374-2024</t>
        </is>
      </c>
      <c r="B229" s="1" t="n">
        <v>45477.58703703704</v>
      </c>
      <c r="C229" s="1" t="n">
        <v>46103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46103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13375-2026</t>
        </is>
      </c>
      <c r="B231" s="1" t="n">
        <v>46094.4186574074</v>
      </c>
      <c r="C231" s="1" t="n">
        <v>46103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46103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65582-2021</t>
        </is>
      </c>
      <c r="B233" s="1" t="n">
        <v>44516</v>
      </c>
      <c r="C233" s="1" t="n">
        <v>46103</v>
      </c>
      <c r="D233" t="inlineStr">
        <is>
          <t>VÄSTMANLANDS LÄN</t>
        </is>
      </c>
      <c r="E233" t="inlineStr">
        <is>
          <t>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44408-2022</t>
        </is>
      </c>
      <c r="B234" s="1" t="n">
        <v>44839</v>
      </c>
      <c r="C234" s="1" t="n">
        <v>46103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30141-2022</t>
        </is>
      </c>
      <c r="B235" s="1" t="n">
        <v>44757.48153935185</v>
      </c>
      <c r="C235" s="1" t="n">
        <v>46103</v>
      </c>
      <c r="D235" t="inlineStr">
        <is>
          <t>VÄSTMANLANDS LÄN</t>
        </is>
      </c>
      <c r="E235" t="inlineStr">
        <is>
          <t>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26839-2025</t>
        </is>
      </c>
      <c r="B236" s="1" t="n">
        <v>45810.65856481482</v>
      </c>
      <c r="C236" s="1" t="n">
        <v>46103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26845-2025</t>
        </is>
      </c>
      <c r="B237" s="1" t="n">
        <v>45810.66362268518</v>
      </c>
      <c r="C237" s="1" t="n">
        <v>46103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26862-2025</t>
        </is>
      </c>
      <c r="B238" s="1" t="n">
        <v>45810.69605324074</v>
      </c>
      <c r="C238" s="1" t="n">
        <v>46103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27207-2025</t>
        </is>
      </c>
      <c r="B239" s="1" t="n">
        <v>45812.40445601852</v>
      </c>
      <c r="C239" s="1" t="n">
        <v>46103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46103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46103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46103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27830-2025</t>
        </is>
      </c>
      <c r="B243" s="1" t="n">
        <v>45817.35802083334</v>
      </c>
      <c r="C243" s="1" t="n">
        <v>46103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5225-2025</t>
        </is>
      </c>
      <c r="B244" s="1" t="n">
        <v>45691</v>
      </c>
      <c r="C244" s="1" t="n">
        <v>46103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28073-2025</t>
        </is>
      </c>
      <c r="B245" s="1" t="n">
        <v>45817.67819444444</v>
      </c>
      <c r="C245" s="1" t="n">
        <v>46103</v>
      </c>
      <c r="D245" t="inlineStr">
        <is>
          <t>VÄSTMANLANDS LÄN</t>
        </is>
      </c>
      <c r="E245" t="inlineStr">
        <is>
          <t>KÖPING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44814-2023</t>
        </is>
      </c>
      <c r="B246" s="1" t="n">
        <v>45190</v>
      </c>
      <c r="C246" s="1" t="n">
        <v>46103</v>
      </c>
      <c r="D246" t="inlineStr">
        <is>
          <t>VÄSTMANLANDS LÄN</t>
        </is>
      </c>
      <c r="E246" t="inlineStr">
        <is>
          <t>KÖPING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28498-2025</t>
        </is>
      </c>
      <c r="B247" s="1" t="n">
        <v>45819.47072916666</v>
      </c>
      <c r="C247" s="1" t="n">
        <v>46103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28872-2025</t>
        </is>
      </c>
      <c r="B248" s="1" t="n">
        <v>45820.61172453704</v>
      </c>
      <c r="C248" s="1" t="n">
        <v>46103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33932-2024</t>
        </is>
      </c>
      <c r="B249" s="1" t="n">
        <v>45523.43164351852</v>
      </c>
      <c r="C249" s="1" t="n">
        <v>46103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18162-2025</t>
        </is>
      </c>
      <c r="B250" s="1" t="n">
        <v>45761</v>
      </c>
      <c r="C250" s="1" t="n">
        <v>46103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29346-2025</t>
        </is>
      </c>
      <c r="B251" s="1" t="n">
        <v>45824.51021990741</v>
      </c>
      <c r="C251" s="1" t="n">
        <v>46103</v>
      </c>
      <c r="D251" t="inlineStr">
        <is>
          <t>VÄSTMANLANDS LÄN</t>
        </is>
      </c>
      <c r="E251" t="inlineStr">
        <is>
          <t>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46103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46103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6948-2023</t>
        </is>
      </c>
      <c r="B254" s="1" t="n">
        <v>44967.58497685185</v>
      </c>
      <c r="C254" s="1" t="n">
        <v>46103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13847-2025</t>
        </is>
      </c>
      <c r="B255" s="1" t="n">
        <v>45737.56431712963</v>
      </c>
      <c r="C255" s="1" t="n">
        <v>46103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30136-2025</t>
        </is>
      </c>
      <c r="B256" s="1" t="n">
        <v>45826.87413194445</v>
      </c>
      <c r="C256" s="1" t="n">
        <v>46103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4981-2024</t>
        </is>
      </c>
      <c r="B257" s="1" t="n">
        <v>45329</v>
      </c>
      <c r="C257" s="1" t="n">
        <v>46103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31068-2025</t>
        </is>
      </c>
      <c r="B258" s="1" t="n">
        <v>45832.57855324074</v>
      </c>
      <c r="C258" s="1" t="n">
        <v>46103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51190-2024</t>
        </is>
      </c>
      <c r="B259" s="1" t="n">
        <v>45603.61458333334</v>
      </c>
      <c r="C259" s="1" t="n">
        <v>46103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31071-2025</t>
        </is>
      </c>
      <c r="B260" s="1" t="n">
        <v>45832.57935185185</v>
      </c>
      <c r="C260" s="1" t="n">
        <v>46103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31582-2025</t>
        </is>
      </c>
      <c r="B261" s="1" t="n">
        <v>45833.68644675926</v>
      </c>
      <c r="C261" s="1" t="n">
        <v>46103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46103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31496-2025</t>
        </is>
      </c>
      <c r="B263" s="1" t="n">
        <v>45833</v>
      </c>
      <c r="C263" s="1" t="n">
        <v>46103</v>
      </c>
      <c r="D263" t="inlineStr">
        <is>
          <t>VÄSTMANLANDS LÄN</t>
        </is>
      </c>
      <c r="E263" t="inlineStr">
        <is>
          <t>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44621-2023</t>
        </is>
      </c>
      <c r="B264" s="1" t="n">
        <v>45189.64144675926</v>
      </c>
      <c r="C264" s="1" t="n">
        <v>46103</v>
      </c>
      <c r="D264" t="inlineStr">
        <is>
          <t>VÄSTMANLANDS LÄN</t>
        </is>
      </c>
      <c r="E264" t="inlineStr">
        <is>
          <t>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31839-2025</t>
        </is>
      </c>
      <c r="B265" s="1" t="n">
        <v>45834</v>
      </c>
      <c r="C265" s="1" t="n">
        <v>46103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31830-2025</t>
        </is>
      </c>
      <c r="B266" s="1" t="n">
        <v>45834.5888425926</v>
      </c>
      <c r="C266" s="1" t="n">
        <v>46103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30147-2022</t>
        </is>
      </c>
      <c r="B267" s="1" t="n">
        <v>44757.49366898148</v>
      </c>
      <c r="C267" s="1" t="n">
        <v>46103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31738-2025</t>
        </is>
      </c>
      <c r="B268" s="1" t="n">
        <v>45834</v>
      </c>
      <c r="C268" s="1" t="n">
        <v>46103</v>
      </c>
      <c r="D268" t="inlineStr">
        <is>
          <t>VÄSTMANLANDS LÄN</t>
        </is>
      </c>
      <c r="E268" t="inlineStr">
        <is>
          <t>KÖPING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46103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31580-2025</t>
        </is>
      </c>
      <c r="B270" s="1" t="n">
        <v>45833</v>
      </c>
      <c r="C270" s="1" t="n">
        <v>46103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43567-2022</t>
        </is>
      </c>
      <c r="B271" s="1" t="n">
        <v>44837</v>
      </c>
      <c r="C271" s="1" t="n">
        <v>46103</v>
      </c>
      <c r="D271" t="inlineStr">
        <is>
          <t>VÄSTMANLANDS LÄN</t>
        </is>
      </c>
      <c r="E271" t="inlineStr">
        <is>
          <t>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33505-2025</t>
        </is>
      </c>
      <c r="B272" s="1" t="n">
        <v>45841</v>
      </c>
      <c r="C272" s="1" t="n">
        <v>46103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33491-2025</t>
        </is>
      </c>
      <c r="B273" s="1" t="n">
        <v>45841</v>
      </c>
      <c r="C273" s="1" t="n">
        <v>46103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46103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46124-2022</t>
        </is>
      </c>
      <c r="B275" s="1" t="n">
        <v>44847</v>
      </c>
      <c r="C275" s="1" t="n">
        <v>46103</v>
      </c>
      <c r="D275" t="inlineStr">
        <is>
          <t>VÄSTMANLANDS LÄN</t>
        </is>
      </c>
      <c r="E275" t="inlineStr">
        <is>
          <t>KÖPING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46126-2022</t>
        </is>
      </c>
      <c r="B276" s="1" t="n">
        <v>44847</v>
      </c>
      <c r="C276" s="1" t="n">
        <v>46103</v>
      </c>
      <c r="D276" t="inlineStr">
        <is>
          <t>VÄSTMANLANDS LÄN</t>
        </is>
      </c>
      <c r="E276" t="inlineStr">
        <is>
          <t>KÖPING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33503-2025</t>
        </is>
      </c>
      <c r="B277" s="1" t="n">
        <v>45841</v>
      </c>
      <c r="C277" s="1" t="n">
        <v>46103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33508-2025</t>
        </is>
      </c>
      <c r="B278" s="1" t="n">
        <v>45841</v>
      </c>
      <c r="C278" s="1" t="n">
        <v>46103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33499-2025</t>
        </is>
      </c>
      <c r="B279" s="1" t="n">
        <v>45841</v>
      </c>
      <c r="C279" s="1" t="n">
        <v>46103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46103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46103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1290-2023</t>
        </is>
      </c>
      <c r="B282" s="1" t="n">
        <v>44936.47363425926</v>
      </c>
      <c r="C282" s="1" t="n">
        <v>46103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46103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61322-2023</t>
        </is>
      </c>
      <c r="B284" s="1" t="n">
        <v>45264.57892361111</v>
      </c>
      <c r="C284" s="1" t="n">
        <v>46103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21157-2025</t>
        </is>
      </c>
      <c r="B285" s="1" t="n">
        <v>45779</v>
      </c>
      <c r="C285" s="1" t="n">
        <v>46103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46103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53996-2021</t>
        </is>
      </c>
      <c r="B287" s="1" t="n">
        <v>44470</v>
      </c>
      <c r="C287" s="1" t="n">
        <v>46103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46103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46103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46103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30139-2025</t>
        </is>
      </c>
      <c r="B291" s="1" t="n">
        <v>45826</v>
      </c>
      <c r="C291" s="1" t="n">
        <v>46103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46103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46103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46103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46103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46103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46103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46103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36726-2025</t>
        </is>
      </c>
      <c r="B299" s="1" t="n">
        <v>45873</v>
      </c>
      <c r="C299" s="1" t="n">
        <v>46103</v>
      </c>
      <c r="D299" t="inlineStr">
        <is>
          <t>VÄSTMANLANDS LÄN</t>
        </is>
      </c>
      <c r="E299" t="inlineStr">
        <is>
          <t>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46103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46103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46103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52799-2021</t>
        </is>
      </c>
      <c r="B303" s="1" t="n">
        <v>44467</v>
      </c>
      <c r="C303" s="1" t="n">
        <v>46103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46103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19953-2025</t>
        </is>
      </c>
      <c r="B305" s="1" t="n">
        <v>45771</v>
      </c>
      <c r="C305" s="1" t="n">
        <v>46103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46103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46103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38854-2025</t>
        </is>
      </c>
      <c r="B308" s="1" t="n">
        <v>45887.55680555556</v>
      </c>
      <c r="C308" s="1" t="n">
        <v>46103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46103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46103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46103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46103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46103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46103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46103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46103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46103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46103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46103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46103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46103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46103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46103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46103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46103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46103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46103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46103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46103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46103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46103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46103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46103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46103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46103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46103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46103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46103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46103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46103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46103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46103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46103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46103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46103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46103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46103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46103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46103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46103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46103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46103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46103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46103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46103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28937-2024</t>
        </is>
      </c>
      <c r="B356" s="1" t="n">
        <v>45480</v>
      </c>
      <c r="C356" s="1" t="n">
        <v>46103</v>
      </c>
      <c r="D356" t="inlineStr">
        <is>
          <t>VÄSTMANLANDS LÄN</t>
        </is>
      </c>
      <c r="E356" t="inlineStr">
        <is>
          <t>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46103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19585-2025</t>
        </is>
      </c>
      <c r="B358" s="1" t="n">
        <v>45770.56731481481</v>
      </c>
      <c r="C358" s="1" t="n">
        <v>46103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59735-2022</t>
        </is>
      </c>
      <c r="B359" s="1" t="n">
        <v>44908.45452546296</v>
      </c>
      <c r="C359" s="1" t="n">
        <v>46103</v>
      </c>
      <c r="D359" t="inlineStr">
        <is>
          <t>VÄSTMANLANDS LÄN</t>
        </is>
      </c>
      <c r="E359" t="inlineStr">
        <is>
          <t>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23389-2023</t>
        </is>
      </c>
      <c r="B360" s="1" t="n">
        <v>45076</v>
      </c>
      <c r="C360" s="1" t="n">
        <v>46103</v>
      </c>
      <c r="D360" t="inlineStr">
        <is>
          <t>VÄSTMANLANDS LÄN</t>
        </is>
      </c>
      <c r="E360" t="inlineStr">
        <is>
          <t>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2854-2022</t>
        </is>
      </c>
      <c r="B361" s="1" t="n">
        <v>44581</v>
      </c>
      <c r="C361" s="1" t="n">
        <v>46103</v>
      </c>
      <c r="D361" t="inlineStr">
        <is>
          <t>VÄSTMANLANDS LÄN</t>
        </is>
      </c>
      <c r="E361" t="inlineStr">
        <is>
          <t>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46103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23825-2023</t>
        </is>
      </c>
      <c r="B363" s="1" t="n">
        <v>45078.40652777778</v>
      </c>
      <c r="C363" s="1" t="n">
        <v>46103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17816-2024</t>
        </is>
      </c>
      <c r="B364" s="1" t="n">
        <v>45418</v>
      </c>
      <c r="C364" s="1" t="n">
        <v>46103</v>
      </c>
      <c r="D364" t="inlineStr">
        <is>
          <t>VÄSTMANLANDS LÄN</t>
        </is>
      </c>
      <c r="E364" t="inlineStr">
        <is>
          <t>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40990-2024</t>
        </is>
      </c>
      <c r="B365" s="1" t="n">
        <v>45558</v>
      </c>
      <c r="C365" s="1" t="n">
        <v>46103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49289-2024</t>
        </is>
      </c>
      <c r="B366" s="1" t="n">
        <v>45595.51947916667</v>
      </c>
      <c r="C366" s="1" t="n">
        <v>46103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25804-2022</t>
        </is>
      </c>
      <c r="B367" s="1" t="n">
        <v>44733</v>
      </c>
      <c r="C367" s="1" t="n">
        <v>46103</v>
      </c>
      <c r="D367" t="inlineStr">
        <is>
          <t>VÄSTMANLANDS LÄN</t>
        </is>
      </c>
      <c r="E367" t="inlineStr">
        <is>
          <t>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63236-2023</t>
        </is>
      </c>
      <c r="B368" s="1" t="n">
        <v>45273.65958333333</v>
      </c>
      <c r="C368" s="1" t="n">
        <v>46103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30079-2022</t>
        </is>
      </c>
      <c r="B369" s="1" t="n">
        <v>44757.3716087963</v>
      </c>
      <c r="C369" s="1" t="n">
        <v>46103</v>
      </c>
      <c r="D369" t="inlineStr">
        <is>
          <t>VÄSTMANLANDS LÄN</t>
        </is>
      </c>
      <c r="E369" t="inlineStr">
        <is>
          <t>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68714-2021</t>
        </is>
      </c>
      <c r="B370" s="1" t="n">
        <v>44529.6944212963</v>
      </c>
      <c r="C370" s="1" t="n">
        <v>46103</v>
      </c>
      <c r="D370" t="inlineStr">
        <is>
          <t>VÄSTMANLANDS LÄN</t>
        </is>
      </c>
      <c r="E370" t="inlineStr">
        <is>
          <t>KÖPING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53061-2023</t>
        </is>
      </c>
      <c r="B371" s="1" t="n">
        <v>45227.3034837963</v>
      </c>
      <c r="C371" s="1" t="n">
        <v>46103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39332-2024</t>
        </is>
      </c>
      <c r="B372" s="1" t="n">
        <v>45551.43763888889</v>
      </c>
      <c r="C372" s="1" t="n">
        <v>46103</v>
      </c>
      <c r="D372" t="inlineStr">
        <is>
          <t>VÄSTMANLANDS LÄN</t>
        </is>
      </c>
      <c r="E372" t="inlineStr">
        <is>
          <t>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18361-2025</t>
        </is>
      </c>
      <c r="B373" s="1" t="n">
        <v>45762</v>
      </c>
      <c r="C373" s="1" t="n">
        <v>46103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46103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17345-2022</t>
        </is>
      </c>
      <c r="B375" s="1" t="n">
        <v>44678.5628125</v>
      </c>
      <c r="C375" s="1" t="n">
        <v>46103</v>
      </c>
      <c r="D375" t="inlineStr">
        <is>
          <t>VÄSTMANLANDS LÄN</t>
        </is>
      </c>
      <c r="E375" t="inlineStr">
        <is>
          <t>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42621-2021</t>
        </is>
      </c>
      <c r="B376" s="1" t="n">
        <v>44428.42920138889</v>
      </c>
      <c r="C376" s="1" t="n">
        <v>46103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15158-2022</t>
        </is>
      </c>
      <c r="B377" s="1" t="n">
        <v>44658</v>
      </c>
      <c r="C377" s="1" t="n">
        <v>46103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15162-2022</t>
        </is>
      </c>
      <c r="B378" s="1" t="n">
        <v>44658.50546296296</v>
      </c>
      <c r="C378" s="1" t="n">
        <v>46103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13043-2025</t>
        </is>
      </c>
      <c r="B379" s="1" t="n">
        <v>45734</v>
      </c>
      <c r="C379" s="1" t="n">
        <v>46103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13047-2025</t>
        </is>
      </c>
      <c r="B380" s="1" t="n">
        <v>45734.59141203704</v>
      </c>
      <c r="C380" s="1" t="n">
        <v>46103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63561-2021</t>
        </is>
      </c>
      <c r="B381" s="1" t="n">
        <v>44508.71445601852</v>
      </c>
      <c r="C381" s="1" t="n">
        <v>46103</v>
      </c>
      <c r="D381" t="inlineStr">
        <is>
          <t>VÄSTMANLANDS LÄN</t>
        </is>
      </c>
      <c r="E381" t="inlineStr">
        <is>
          <t>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21163-2025</t>
        </is>
      </c>
      <c r="B382" s="1" t="n">
        <v>45779.38344907408</v>
      </c>
      <c r="C382" s="1" t="n">
        <v>46103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51156-2024</t>
        </is>
      </c>
      <c r="B383" s="1" t="n">
        <v>45603.57417824074</v>
      </c>
      <c r="C383" s="1" t="n">
        <v>46103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21691-2025</t>
        </is>
      </c>
      <c r="B384" s="1" t="n">
        <v>45783.49538194444</v>
      </c>
      <c r="C384" s="1" t="n">
        <v>46103</v>
      </c>
      <c r="D384" t="inlineStr">
        <is>
          <t>VÄSTMANLANDS LÄN</t>
        </is>
      </c>
      <c r="E384" t="inlineStr">
        <is>
          <t>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1387-2025</t>
        </is>
      </c>
      <c r="B385" s="1" t="n">
        <v>45667</v>
      </c>
      <c r="C385" s="1" t="n">
        <v>46103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57496-2024</t>
        </is>
      </c>
      <c r="B386" s="1" t="n">
        <v>45630.37325231481</v>
      </c>
      <c r="C386" s="1" t="n">
        <v>46103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50409-2024</t>
        </is>
      </c>
      <c r="B387" s="1" t="n">
        <v>45601.36454861111</v>
      </c>
      <c r="C387" s="1" t="n">
        <v>46103</v>
      </c>
      <c r="D387" t="inlineStr">
        <is>
          <t>VÄSTMANLANDS LÄN</t>
        </is>
      </c>
      <c r="E387" t="inlineStr">
        <is>
          <t>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2026-03-22T11:34:11Z</dcterms:created>
  <dcterms:modified xmlns:dcterms="http://purl.org/dc/terms/" xmlns:xsi="http://www.w3.org/2001/XMLSchema-instance" xsi:type="dcterms:W3CDTF">2026-03-22T11:34:12Z</dcterms:modified>
</cp:coreProperties>
</file>